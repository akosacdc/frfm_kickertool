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akosvezsenyi\frfm_kickertool\"/>
    </mc:Choice>
  </mc:AlternateContent>
  <xr:revisionPtr revIDLastSave="0" documentId="13_ncr:1_{6410C465-B15C-42D6-9B95-6D3E00C30428}" xr6:coauthVersionLast="47" xr6:coauthVersionMax="47" xr10:uidLastSave="{00000000-0000-0000-0000-000000000000}"/>
  <bookViews>
    <workbookView xWindow="0" yWindow="360" windowWidth="29040" windowHeight="15720" activeTab="2" xr2:uid="{00000000-000D-0000-FFFF-FFFF00000000}"/>
  </bookViews>
  <sheets>
    <sheet name="Points Lookup" sheetId="1" r:id="rId1"/>
    <sheet name="Ranking Podium" sheetId="2" r:id="rId2"/>
    <sheet name="Mens Doubles" sheetId="3" r:id="rId3"/>
    <sheet name="Mens Classic Doubles" sheetId="4" r:id="rId4"/>
    <sheet name="Womens Doubles" sheetId="5" r:id="rId5"/>
    <sheet name="Womens Classic Doubles" sheetId="6" r:id="rId6"/>
    <sheet name="Mens Singles" sheetId="7" r:id="rId7"/>
    <sheet name="Womens Singles" sheetId="8" r:id="rId8"/>
    <sheet name="Mixed Doubles" sheetId="9" r:id="rId9"/>
    <sheet name="Junior Doubles" sheetId="10" r:id="rId10"/>
    <sheet name="Junior Classic Doubles" sheetId="11" r:id="rId11"/>
    <sheet name="Junior Singles" sheetId="12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2" l="1"/>
  <c r="C10" i="12"/>
  <c r="E9" i="12"/>
  <c r="E8" i="12"/>
  <c r="E7" i="12"/>
  <c r="L5" i="12"/>
  <c r="F5" i="12"/>
  <c r="N3" i="12"/>
  <c r="M3" i="12"/>
  <c r="C9" i="12" s="1"/>
  <c r="L3" i="12"/>
  <c r="G3" i="12"/>
  <c r="F3" i="12"/>
  <c r="E15" i="11"/>
  <c r="C15" i="11"/>
  <c r="E14" i="11"/>
  <c r="C14" i="11"/>
  <c r="E13" i="11"/>
  <c r="C13" i="11"/>
  <c r="E12" i="11"/>
  <c r="C12" i="11"/>
  <c r="E11" i="11"/>
  <c r="C11" i="11"/>
  <c r="E10" i="11"/>
  <c r="C10" i="11"/>
  <c r="E9" i="11"/>
  <c r="C9" i="11"/>
  <c r="E8" i="11"/>
  <c r="C8" i="11"/>
  <c r="E7" i="11"/>
  <c r="L3" i="11"/>
  <c r="D10" i="11" s="1"/>
  <c r="E15" i="10"/>
  <c r="E14" i="10"/>
  <c r="E13" i="10"/>
  <c r="E12" i="10"/>
  <c r="E11" i="10"/>
  <c r="E10" i="10"/>
  <c r="E9" i="10"/>
  <c r="E8" i="10"/>
  <c r="E7" i="10"/>
  <c r="L3" i="10"/>
  <c r="K3" i="10"/>
  <c r="H3" i="10"/>
  <c r="G3" i="10"/>
  <c r="F3" i="10"/>
  <c r="E91" i="9"/>
  <c r="C91" i="9"/>
  <c r="E90" i="9"/>
  <c r="C90" i="9"/>
  <c r="E89" i="9"/>
  <c r="C89" i="9"/>
  <c r="E88" i="9"/>
  <c r="C88" i="9"/>
  <c r="E87" i="9"/>
  <c r="C87" i="9"/>
  <c r="E86" i="9"/>
  <c r="C86" i="9"/>
  <c r="E85" i="9"/>
  <c r="C85" i="9"/>
  <c r="E84" i="9"/>
  <c r="C84" i="9"/>
  <c r="E83" i="9"/>
  <c r="C83" i="9"/>
  <c r="E82" i="9"/>
  <c r="C82" i="9"/>
  <c r="E81" i="9"/>
  <c r="C81" i="9"/>
  <c r="E80" i="9"/>
  <c r="C80" i="9"/>
  <c r="E79" i="9"/>
  <c r="C79" i="9"/>
  <c r="E78" i="9"/>
  <c r="C78" i="9"/>
  <c r="E77" i="9"/>
  <c r="C77" i="9"/>
  <c r="E76" i="9"/>
  <c r="C76" i="9"/>
  <c r="E75" i="9"/>
  <c r="C75" i="9"/>
  <c r="E74" i="9"/>
  <c r="C74" i="9"/>
  <c r="E73" i="9"/>
  <c r="C73" i="9"/>
  <c r="E72" i="9"/>
  <c r="C72" i="9"/>
  <c r="E71" i="9"/>
  <c r="C71" i="9"/>
  <c r="E70" i="9"/>
  <c r="C70" i="9"/>
  <c r="E69" i="9"/>
  <c r="C69" i="9"/>
  <c r="E68" i="9"/>
  <c r="C68" i="9"/>
  <c r="E67" i="9"/>
  <c r="C67" i="9"/>
  <c r="E66" i="9"/>
  <c r="C66" i="9"/>
  <c r="E65" i="9"/>
  <c r="C65" i="9"/>
  <c r="E64" i="9"/>
  <c r="C64" i="9"/>
  <c r="E63" i="9"/>
  <c r="C63" i="9"/>
  <c r="E62" i="9"/>
  <c r="C62" i="9"/>
  <c r="E61" i="9"/>
  <c r="C61" i="9"/>
  <c r="E60" i="9"/>
  <c r="C60" i="9"/>
  <c r="E59" i="9"/>
  <c r="C59" i="9"/>
  <c r="E58" i="9"/>
  <c r="C58" i="9"/>
  <c r="E57" i="9"/>
  <c r="C57" i="9"/>
  <c r="E56" i="9"/>
  <c r="C56" i="9"/>
  <c r="E55" i="9"/>
  <c r="C55" i="9"/>
  <c r="E54" i="9"/>
  <c r="C54" i="9"/>
  <c r="E53" i="9"/>
  <c r="C53" i="9"/>
  <c r="E52" i="9"/>
  <c r="C52" i="9"/>
  <c r="E51" i="9"/>
  <c r="C51" i="9"/>
  <c r="E50" i="9"/>
  <c r="C50" i="9"/>
  <c r="E49" i="9"/>
  <c r="C49" i="9"/>
  <c r="E48" i="9"/>
  <c r="C48" i="9"/>
  <c r="E47" i="9"/>
  <c r="C47" i="9"/>
  <c r="E46" i="9"/>
  <c r="C46" i="9"/>
  <c r="E45" i="9"/>
  <c r="C45" i="9"/>
  <c r="E44" i="9"/>
  <c r="C44" i="9"/>
  <c r="E43" i="9"/>
  <c r="C43" i="9"/>
  <c r="E42" i="9"/>
  <c r="C42" i="9"/>
  <c r="E41" i="9"/>
  <c r="C41" i="9"/>
  <c r="E40" i="9"/>
  <c r="C40" i="9"/>
  <c r="E39" i="9"/>
  <c r="C39" i="9"/>
  <c r="E38" i="9"/>
  <c r="C38" i="9"/>
  <c r="E37" i="9"/>
  <c r="C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R3" i="9"/>
  <c r="C22" i="9" s="1"/>
  <c r="Q3" i="9"/>
  <c r="P3" i="9"/>
  <c r="O3" i="9"/>
  <c r="N3" i="9"/>
  <c r="M3" i="9"/>
  <c r="L3" i="9"/>
  <c r="K3" i="9"/>
  <c r="J3" i="9"/>
  <c r="I3" i="9"/>
  <c r="H3" i="9"/>
  <c r="G3" i="9"/>
  <c r="C30" i="9" s="1"/>
  <c r="F3" i="9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R3" i="8"/>
  <c r="Q3" i="8"/>
  <c r="P3" i="8"/>
  <c r="O3" i="8"/>
  <c r="N3" i="8"/>
  <c r="M3" i="8"/>
  <c r="L3" i="8"/>
  <c r="K3" i="8"/>
  <c r="J3" i="8"/>
  <c r="I3" i="8"/>
  <c r="H3" i="8"/>
  <c r="G3" i="8"/>
  <c r="C19" i="8" s="1"/>
  <c r="F3" i="8"/>
  <c r="E84" i="7"/>
  <c r="C84" i="7"/>
  <c r="E83" i="7"/>
  <c r="C83" i="7"/>
  <c r="E82" i="7"/>
  <c r="C82" i="7"/>
  <c r="E81" i="7"/>
  <c r="C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E18" i="7"/>
  <c r="E17" i="7"/>
  <c r="E16" i="7"/>
  <c r="E15" i="7"/>
  <c r="C15" i="7"/>
  <c r="E14" i="7"/>
  <c r="E13" i="7"/>
  <c r="E12" i="7"/>
  <c r="E11" i="7"/>
  <c r="E10" i="7"/>
  <c r="E9" i="7"/>
  <c r="E8" i="7"/>
  <c r="E7" i="7"/>
  <c r="O3" i="7"/>
  <c r="N3" i="7"/>
  <c r="M3" i="7"/>
  <c r="L3" i="7"/>
  <c r="K3" i="7"/>
  <c r="J3" i="7"/>
  <c r="C11" i="7" s="1"/>
  <c r="I3" i="7"/>
  <c r="F3" i="7"/>
  <c r="C18" i="7" s="1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E12" i="6"/>
  <c r="C12" i="6"/>
  <c r="E11" i="6"/>
  <c r="C11" i="6"/>
  <c r="E10" i="6"/>
  <c r="C10" i="6"/>
  <c r="E9" i="6"/>
  <c r="C9" i="6"/>
  <c r="E8" i="6"/>
  <c r="C8" i="6"/>
  <c r="E7" i="6"/>
  <c r="M3" i="6"/>
  <c r="L3" i="6"/>
  <c r="K3" i="6"/>
  <c r="J3" i="6"/>
  <c r="E96" i="5"/>
  <c r="C96" i="5"/>
  <c r="E95" i="5"/>
  <c r="C95" i="5"/>
  <c r="E94" i="5"/>
  <c r="C94" i="5"/>
  <c r="E93" i="5"/>
  <c r="C93" i="5"/>
  <c r="E92" i="5"/>
  <c r="C92" i="5"/>
  <c r="E91" i="5"/>
  <c r="C91" i="5"/>
  <c r="E90" i="5"/>
  <c r="C90" i="5"/>
  <c r="E89" i="5"/>
  <c r="C89" i="5"/>
  <c r="E88" i="5"/>
  <c r="C88" i="5"/>
  <c r="E87" i="5"/>
  <c r="C87" i="5"/>
  <c r="E86" i="5"/>
  <c r="C86" i="5"/>
  <c r="E85" i="5"/>
  <c r="C85" i="5"/>
  <c r="E84" i="5"/>
  <c r="C84" i="5"/>
  <c r="E83" i="5"/>
  <c r="C83" i="5"/>
  <c r="E82" i="5"/>
  <c r="C82" i="5"/>
  <c r="E81" i="5"/>
  <c r="C81" i="5"/>
  <c r="E80" i="5"/>
  <c r="C80" i="5"/>
  <c r="E79" i="5"/>
  <c r="C79" i="5"/>
  <c r="E78" i="5"/>
  <c r="C78" i="5"/>
  <c r="E77" i="5"/>
  <c r="C77" i="5"/>
  <c r="E76" i="5"/>
  <c r="C76" i="5"/>
  <c r="E75" i="5"/>
  <c r="C75" i="5"/>
  <c r="E74" i="5"/>
  <c r="C74" i="5"/>
  <c r="E73" i="5"/>
  <c r="C73" i="5"/>
  <c r="E72" i="5"/>
  <c r="C72" i="5"/>
  <c r="E71" i="5"/>
  <c r="C71" i="5"/>
  <c r="E70" i="5"/>
  <c r="C70" i="5"/>
  <c r="E69" i="5"/>
  <c r="C69" i="5"/>
  <c r="E68" i="5"/>
  <c r="C68" i="5"/>
  <c r="E67" i="5"/>
  <c r="C67" i="5"/>
  <c r="E66" i="5"/>
  <c r="C66" i="5"/>
  <c r="E65" i="5"/>
  <c r="C65" i="5"/>
  <c r="E64" i="5"/>
  <c r="C64" i="5"/>
  <c r="E63" i="5"/>
  <c r="C63" i="5"/>
  <c r="E62" i="5"/>
  <c r="C62" i="5"/>
  <c r="E61" i="5"/>
  <c r="C61" i="5"/>
  <c r="E60" i="5"/>
  <c r="C60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V3" i="5"/>
  <c r="U3" i="5"/>
  <c r="T3" i="5"/>
  <c r="S3" i="5"/>
  <c r="R3" i="5"/>
  <c r="Q3" i="5"/>
  <c r="P3" i="5"/>
  <c r="O3" i="5"/>
  <c r="N3" i="5"/>
  <c r="M3" i="5"/>
  <c r="L3" i="5"/>
  <c r="C29" i="5" s="1"/>
  <c r="K3" i="5"/>
  <c r="C28" i="5" s="1"/>
  <c r="J3" i="5"/>
  <c r="I3" i="5"/>
  <c r="H3" i="5"/>
  <c r="C32" i="5" s="1"/>
  <c r="G3" i="5"/>
  <c r="C34" i="5" s="1"/>
  <c r="F3" i="5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E11" i="4"/>
  <c r="E10" i="4"/>
  <c r="E9" i="4"/>
  <c r="E8" i="4"/>
  <c r="E7" i="4"/>
  <c r="M3" i="4"/>
  <c r="L3" i="4"/>
  <c r="K3" i="4"/>
  <c r="J3" i="4"/>
  <c r="I3" i="4"/>
  <c r="E348" i="3"/>
  <c r="C348" i="3"/>
  <c r="E347" i="3"/>
  <c r="C347" i="3"/>
  <c r="E346" i="3"/>
  <c r="C346" i="3"/>
  <c r="E345" i="3"/>
  <c r="C345" i="3"/>
  <c r="E344" i="3"/>
  <c r="C344" i="3"/>
  <c r="E343" i="3"/>
  <c r="C343" i="3"/>
  <c r="E342" i="3"/>
  <c r="C342" i="3"/>
  <c r="E341" i="3"/>
  <c r="C341" i="3"/>
  <c r="E340" i="3"/>
  <c r="C340" i="3"/>
  <c r="E339" i="3"/>
  <c r="C339" i="3"/>
  <c r="E338" i="3"/>
  <c r="C338" i="3"/>
  <c r="E337" i="3"/>
  <c r="C337" i="3"/>
  <c r="E336" i="3"/>
  <c r="C336" i="3"/>
  <c r="E335" i="3"/>
  <c r="C335" i="3"/>
  <c r="E334" i="3"/>
  <c r="C334" i="3"/>
  <c r="E333" i="3"/>
  <c r="C333" i="3"/>
  <c r="E332" i="3"/>
  <c r="C332" i="3"/>
  <c r="E331" i="3"/>
  <c r="C331" i="3"/>
  <c r="E330" i="3"/>
  <c r="C330" i="3"/>
  <c r="E329" i="3"/>
  <c r="C329" i="3"/>
  <c r="E328" i="3"/>
  <c r="C328" i="3"/>
  <c r="E327" i="3"/>
  <c r="C327" i="3"/>
  <c r="E326" i="3"/>
  <c r="C326" i="3"/>
  <c r="E325" i="3"/>
  <c r="C325" i="3"/>
  <c r="E324" i="3"/>
  <c r="C324" i="3"/>
  <c r="E323" i="3"/>
  <c r="C323" i="3"/>
  <c r="E322" i="3"/>
  <c r="C322" i="3"/>
  <c r="E321" i="3"/>
  <c r="C321" i="3"/>
  <c r="E320" i="3"/>
  <c r="C320" i="3"/>
  <c r="E319" i="3"/>
  <c r="C319" i="3"/>
  <c r="E318" i="3"/>
  <c r="C318" i="3"/>
  <c r="E317" i="3"/>
  <c r="C317" i="3"/>
  <c r="E316" i="3"/>
  <c r="C316" i="3"/>
  <c r="E315" i="3"/>
  <c r="C315" i="3"/>
  <c r="E314" i="3"/>
  <c r="C314" i="3"/>
  <c r="E313" i="3"/>
  <c r="C313" i="3"/>
  <c r="E312" i="3"/>
  <c r="C312" i="3"/>
  <c r="E311" i="3"/>
  <c r="C311" i="3"/>
  <c r="E310" i="3"/>
  <c r="C310" i="3"/>
  <c r="E309" i="3"/>
  <c r="C309" i="3"/>
  <c r="E308" i="3"/>
  <c r="C308" i="3"/>
  <c r="E307" i="3"/>
  <c r="C307" i="3"/>
  <c r="E306" i="3"/>
  <c r="C306" i="3"/>
  <c r="E305" i="3"/>
  <c r="C305" i="3"/>
  <c r="E304" i="3"/>
  <c r="C304" i="3"/>
  <c r="E303" i="3"/>
  <c r="C303" i="3"/>
  <c r="E302" i="3"/>
  <c r="C302" i="3"/>
  <c r="E301" i="3"/>
  <c r="C301" i="3"/>
  <c r="E300" i="3"/>
  <c r="C300" i="3"/>
  <c r="E299" i="3"/>
  <c r="C299" i="3"/>
  <c r="E298" i="3"/>
  <c r="C298" i="3"/>
  <c r="E297" i="3"/>
  <c r="C297" i="3"/>
  <c r="E296" i="3"/>
  <c r="C296" i="3"/>
  <c r="E295" i="3"/>
  <c r="C295" i="3"/>
  <c r="E294" i="3"/>
  <c r="C294" i="3"/>
  <c r="E293" i="3"/>
  <c r="C293" i="3"/>
  <c r="E292" i="3"/>
  <c r="C292" i="3"/>
  <c r="E291" i="3"/>
  <c r="C291" i="3"/>
  <c r="E290" i="3"/>
  <c r="C290" i="3"/>
  <c r="E289" i="3"/>
  <c r="C289" i="3"/>
  <c r="E288" i="3"/>
  <c r="C288" i="3"/>
  <c r="E287" i="3"/>
  <c r="C287" i="3"/>
  <c r="E286" i="3"/>
  <c r="C286" i="3"/>
  <c r="E285" i="3"/>
  <c r="C285" i="3"/>
  <c r="E284" i="3"/>
  <c r="C284" i="3"/>
  <c r="E283" i="3"/>
  <c r="C283" i="3"/>
  <c r="E282" i="3"/>
  <c r="C282" i="3"/>
  <c r="E281" i="3"/>
  <c r="C281" i="3"/>
  <c r="E280" i="3"/>
  <c r="C280" i="3"/>
  <c r="E279" i="3"/>
  <c r="C279" i="3"/>
  <c r="E278" i="3"/>
  <c r="C278" i="3"/>
  <c r="E277" i="3"/>
  <c r="C277" i="3"/>
  <c r="E276" i="3"/>
  <c r="C276" i="3"/>
  <c r="E275" i="3"/>
  <c r="C275" i="3"/>
  <c r="E274" i="3"/>
  <c r="C274" i="3"/>
  <c r="E273" i="3"/>
  <c r="C273" i="3"/>
  <c r="E272" i="3"/>
  <c r="C272" i="3"/>
  <c r="E271" i="3"/>
  <c r="C271" i="3"/>
  <c r="E270" i="3"/>
  <c r="C270" i="3"/>
  <c r="E269" i="3"/>
  <c r="C269" i="3"/>
  <c r="E268" i="3"/>
  <c r="C268" i="3"/>
  <c r="E267" i="3"/>
  <c r="C267" i="3"/>
  <c r="E266" i="3"/>
  <c r="C266" i="3"/>
  <c r="E265" i="3"/>
  <c r="C265" i="3"/>
  <c r="E264" i="3"/>
  <c r="C264" i="3"/>
  <c r="E263" i="3"/>
  <c r="C263" i="3"/>
  <c r="E262" i="3"/>
  <c r="C262" i="3"/>
  <c r="E261" i="3"/>
  <c r="C261" i="3"/>
  <c r="E260" i="3"/>
  <c r="C260" i="3"/>
  <c r="E259" i="3"/>
  <c r="C259" i="3"/>
  <c r="E258" i="3"/>
  <c r="C258" i="3"/>
  <c r="E257" i="3"/>
  <c r="C257" i="3"/>
  <c r="E256" i="3"/>
  <c r="C256" i="3"/>
  <c r="E255" i="3"/>
  <c r="C255" i="3"/>
  <c r="E254" i="3"/>
  <c r="C254" i="3"/>
  <c r="E253" i="3"/>
  <c r="C253" i="3"/>
  <c r="E252" i="3"/>
  <c r="C252" i="3"/>
  <c r="E251" i="3"/>
  <c r="C251" i="3"/>
  <c r="E250" i="3"/>
  <c r="C250" i="3"/>
  <c r="E249" i="3"/>
  <c r="C249" i="3"/>
  <c r="E248" i="3"/>
  <c r="C248" i="3"/>
  <c r="E247" i="3"/>
  <c r="C247" i="3"/>
  <c r="E246" i="3"/>
  <c r="C246" i="3"/>
  <c r="E245" i="3"/>
  <c r="C245" i="3"/>
  <c r="E244" i="3"/>
  <c r="C244" i="3"/>
  <c r="E243" i="3"/>
  <c r="C243" i="3"/>
  <c r="E242" i="3"/>
  <c r="C242" i="3"/>
  <c r="E241" i="3"/>
  <c r="C241" i="3"/>
  <c r="E240" i="3"/>
  <c r="C240" i="3"/>
  <c r="E239" i="3"/>
  <c r="C239" i="3"/>
  <c r="E238" i="3"/>
  <c r="C238" i="3"/>
  <c r="E237" i="3"/>
  <c r="C237" i="3"/>
  <c r="E236" i="3"/>
  <c r="C236" i="3"/>
  <c r="E235" i="3"/>
  <c r="C235" i="3"/>
  <c r="E234" i="3"/>
  <c r="C234" i="3"/>
  <c r="E233" i="3"/>
  <c r="C233" i="3"/>
  <c r="E232" i="3"/>
  <c r="C232" i="3"/>
  <c r="E231" i="3"/>
  <c r="C231" i="3"/>
  <c r="E230" i="3"/>
  <c r="C230" i="3"/>
  <c r="E229" i="3"/>
  <c r="C229" i="3"/>
  <c r="E228" i="3"/>
  <c r="C228" i="3"/>
  <c r="E227" i="3"/>
  <c r="C227" i="3"/>
  <c r="E226" i="3"/>
  <c r="C226" i="3"/>
  <c r="E225" i="3"/>
  <c r="C225" i="3"/>
  <c r="E224" i="3"/>
  <c r="C224" i="3"/>
  <c r="E223" i="3"/>
  <c r="C223" i="3"/>
  <c r="E222" i="3"/>
  <c r="C222" i="3"/>
  <c r="E221" i="3"/>
  <c r="C221" i="3"/>
  <c r="E220" i="3"/>
  <c r="C220" i="3"/>
  <c r="E219" i="3"/>
  <c r="C219" i="3"/>
  <c r="E218" i="3"/>
  <c r="C218" i="3"/>
  <c r="E217" i="3"/>
  <c r="C217" i="3"/>
  <c r="E216" i="3"/>
  <c r="C216" i="3"/>
  <c r="E215" i="3"/>
  <c r="C215" i="3"/>
  <c r="E214" i="3"/>
  <c r="C214" i="3"/>
  <c r="E213" i="3"/>
  <c r="C213" i="3"/>
  <c r="E212" i="3"/>
  <c r="C212" i="3"/>
  <c r="E211" i="3"/>
  <c r="C211" i="3"/>
  <c r="E210" i="3"/>
  <c r="C210" i="3"/>
  <c r="E209" i="3"/>
  <c r="C209" i="3"/>
  <c r="E208" i="3"/>
  <c r="C208" i="3"/>
  <c r="E207" i="3"/>
  <c r="C207" i="3"/>
  <c r="E206" i="3"/>
  <c r="C206" i="3"/>
  <c r="E205" i="3"/>
  <c r="C205" i="3"/>
  <c r="E204" i="3"/>
  <c r="C204" i="3"/>
  <c r="E203" i="3"/>
  <c r="C203" i="3"/>
  <c r="E202" i="3"/>
  <c r="C202" i="3"/>
  <c r="E201" i="3"/>
  <c r="C201" i="3"/>
  <c r="E200" i="3"/>
  <c r="C200" i="3"/>
  <c r="E199" i="3"/>
  <c r="C199" i="3"/>
  <c r="E198" i="3"/>
  <c r="C198" i="3"/>
  <c r="E197" i="3"/>
  <c r="C197" i="3"/>
  <c r="E196" i="3"/>
  <c r="C196" i="3"/>
  <c r="E195" i="3"/>
  <c r="C195" i="3"/>
  <c r="E194" i="3"/>
  <c r="C194" i="3"/>
  <c r="E193" i="3"/>
  <c r="C193" i="3"/>
  <c r="E192" i="3"/>
  <c r="C192" i="3"/>
  <c r="E191" i="3"/>
  <c r="C191" i="3"/>
  <c r="E190" i="3"/>
  <c r="C190" i="3"/>
  <c r="E189" i="3"/>
  <c r="C189" i="3"/>
  <c r="E188" i="3"/>
  <c r="C188" i="3"/>
  <c r="E187" i="3"/>
  <c r="C187" i="3"/>
  <c r="E186" i="3"/>
  <c r="C186" i="3"/>
  <c r="E185" i="3"/>
  <c r="C185" i="3"/>
  <c r="E184" i="3"/>
  <c r="C184" i="3"/>
  <c r="E183" i="3"/>
  <c r="C183" i="3"/>
  <c r="E182" i="3"/>
  <c r="C182" i="3"/>
  <c r="E181" i="3"/>
  <c r="C181" i="3"/>
  <c r="E180" i="3"/>
  <c r="C180" i="3"/>
  <c r="E179" i="3"/>
  <c r="C179" i="3"/>
  <c r="E178" i="3"/>
  <c r="C178" i="3"/>
  <c r="E177" i="3"/>
  <c r="C177" i="3"/>
  <c r="E176" i="3"/>
  <c r="C176" i="3"/>
  <c r="E175" i="3"/>
  <c r="C175" i="3"/>
  <c r="E174" i="3"/>
  <c r="C174" i="3"/>
  <c r="E173" i="3"/>
  <c r="C173" i="3"/>
  <c r="E172" i="3"/>
  <c r="C172" i="3"/>
  <c r="E171" i="3"/>
  <c r="C171" i="3"/>
  <c r="E170" i="3"/>
  <c r="C170" i="3"/>
  <c r="E169" i="3"/>
  <c r="C169" i="3"/>
  <c r="E168" i="3"/>
  <c r="C168" i="3"/>
  <c r="E167" i="3"/>
  <c r="C167" i="3"/>
  <c r="E166" i="3"/>
  <c r="C166" i="3"/>
  <c r="E165" i="3"/>
  <c r="C165" i="3"/>
  <c r="E164" i="3"/>
  <c r="C164" i="3"/>
  <c r="E163" i="3"/>
  <c r="C163" i="3"/>
  <c r="E162" i="3"/>
  <c r="C162" i="3"/>
  <c r="E161" i="3"/>
  <c r="C161" i="3"/>
  <c r="E160" i="3"/>
  <c r="C160" i="3"/>
  <c r="E159" i="3"/>
  <c r="C159" i="3"/>
  <c r="E158" i="3"/>
  <c r="C158" i="3"/>
  <c r="E157" i="3"/>
  <c r="C157" i="3"/>
  <c r="E156" i="3"/>
  <c r="C156" i="3"/>
  <c r="E155" i="3"/>
  <c r="C155" i="3"/>
  <c r="E154" i="3"/>
  <c r="C154" i="3"/>
  <c r="E153" i="3"/>
  <c r="C153" i="3"/>
  <c r="E152" i="3"/>
  <c r="C152" i="3"/>
  <c r="E151" i="3"/>
  <c r="C151" i="3"/>
  <c r="E150" i="3"/>
  <c r="C150" i="3"/>
  <c r="E149" i="3"/>
  <c r="C149" i="3"/>
  <c r="E148" i="3"/>
  <c r="C148" i="3"/>
  <c r="E147" i="3"/>
  <c r="C147" i="3"/>
  <c r="E146" i="3"/>
  <c r="C146" i="3"/>
  <c r="E145" i="3"/>
  <c r="C145" i="3"/>
  <c r="E144" i="3"/>
  <c r="C144" i="3"/>
  <c r="E143" i="3"/>
  <c r="C143" i="3"/>
  <c r="E142" i="3"/>
  <c r="C142" i="3"/>
  <c r="E141" i="3"/>
  <c r="C141" i="3"/>
  <c r="E140" i="3"/>
  <c r="C140" i="3"/>
  <c r="E139" i="3"/>
  <c r="C139" i="3"/>
  <c r="E138" i="3"/>
  <c r="C138" i="3"/>
  <c r="E137" i="3"/>
  <c r="C137" i="3"/>
  <c r="E136" i="3"/>
  <c r="C136" i="3"/>
  <c r="E135" i="3"/>
  <c r="C135" i="3"/>
  <c r="E134" i="3"/>
  <c r="C134" i="3"/>
  <c r="E133" i="3"/>
  <c r="C133" i="3"/>
  <c r="E132" i="3"/>
  <c r="C132" i="3"/>
  <c r="E131" i="3"/>
  <c r="C131" i="3"/>
  <c r="E130" i="3"/>
  <c r="C130" i="3"/>
  <c r="E129" i="3"/>
  <c r="C129" i="3"/>
  <c r="E128" i="3"/>
  <c r="C128" i="3"/>
  <c r="E127" i="3"/>
  <c r="C127" i="3"/>
  <c r="E126" i="3"/>
  <c r="C126" i="3"/>
  <c r="E125" i="3"/>
  <c r="C125" i="3"/>
  <c r="E124" i="3"/>
  <c r="C124" i="3"/>
  <c r="E123" i="3"/>
  <c r="C123" i="3"/>
  <c r="E122" i="3"/>
  <c r="C122" i="3"/>
  <c r="E121" i="3"/>
  <c r="C121" i="3"/>
  <c r="E120" i="3"/>
  <c r="C120" i="3"/>
  <c r="E119" i="3"/>
  <c r="C119" i="3"/>
  <c r="E118" i="3"/>
  <c r="C118" i="3"/>
  <c r="E117" i="3"/>
  <c r="C117" i="3"/>
  <c r="E116" i="3"/>
  <c r="C116" i="3"/>
  <c r="E115" i="3"/>
  <c r="C115" i="3"/>
  <c r="E114" i="3"/>
  <c r="C114" i="3"/>
  <c r="E113" i="3"/>
  <c r="C113" i="3"/>
  <c r="E112" i="3"/>
  <c r="C112" i="3"/>
  <c r="E111" i="3"/>
  <c r="C111" i="3"/>
  <c r="E110" i="3"/>
  <c r="C110" i="3"/>
  <c r="E109" i="3"/>
  <c r="C109" i="3"/>
  <c r="E108" i="3"/>
  <c r="C108" i="3"/>
  <c r="E107" i="3"/>
  <c r="C107" i="3"/>
  <c r="E106" i="3"/>
  <c r="C106" i="3"/>
  <c r="E105" i="3"/>
  <c r="C105" i="3"/>
  <c r="E104" i="3"/>
  <c r="C104" i="3"/>
  <c r="E103" i="3"/>
  <c r="C103" i="3"/>
  <c r="E102" i="3"/>
  <c r="C102" i="3"/>
  <c r="E101" i="3"/>
  <c r="C101" i="3"/>
  <c r="E100" i="3"/>
  <c r="C100" i="3"/>
  <c r="E99" i="3"/>
  <c r="C99" i="3"/>
  <c r="E98" i="3"/>
  <c r="C98" i="3"/>
  <c r="E97" i="3"/>
  <c r="C97" i="3"/>
  <c r="E96" i="3"/>
  <c r="C96" i="3"/>
  <c r="E95" i="3"/>
  <c r="C95" i="3"/>
  <c r="E94" i="3"/>
  <c r="C94" i="3"/>
  <c r="E93" i="3"/>
  <c r="C93" i="3"/>
  <c r="E92" i="3"/>
  <c r="C92" i="3"/>
  <c r="E91" i="3"/>
  <c r="C91" i="3"/>
  <c r="E90" i="3"/>
  <c r="C90" i="3"/>
  <c r="E89" i="3"/>
  <c r="C89" i="3"/>
  <c r="E88" i="3"/>
  <c r="C88" i="3"/>
  <c r="E87" i="3"/>
  <c r="C87" i="3"/>
  <c r="E86" i="3"/>
  <c r="C86" i="3"/>
  <c r="E85" i="3"/>
  <c r="C85" i="3"/>
  <c r="E84" i="3"/>
  <c r="C84" i="3"/>
  <c r="E83" i="3"/>
  <c r="C83" i="3"/>
  <c r="E82" i="3"/>
  <c r="C82" i="3"/>
  <c r="E81" i="3"/>
  <c r="C81" i="3"/>
  <c r="E80" i="3"/>
  <c r="C80" i="3"/>
  <c r="E79" i="3"/>
  <c r="C79" i="3"/>
  <c r="E78" i="3"/>
  <c r="C78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T3" i="3"/>
  <c r="S3" i="3"/>
  <c r="C17" i="3" s="1"/>
  <c r="R3" i="3"/>
  <c r="Q3" i="3"/>
  <c r="P3" i="3"/>
  <c r="O3" i="3"/>
  <c r="N3" i="3"/>
  <c r="M3" i="3"/>
  <c r="L3" i="3"/>
  <c r="C63" i="3" s="1"/>
  <c r="K3" i="3"/>
  <c r="C53" i="3" s="1"/>
  <c r="J3" i="3"/>
  <c r="C30" i="3" s="1"/>
  <c r="I3" i="3"/>
  <c r="H3" i="3"/>
  <c r="C59" i="3" s="1"/>
  <c r="G3" i="3"/>
  <c r="F3" i="3"/>
  <c r="C40" i="3" s="1"/>
  <c r="C52" i="3" l="1"/>
  <c r="C58" i="3"/>
  <c r="D60" i="4"/>
  <c r="C14" i="9"/>
  <c r="C7" i="11"/>
  <c r="C27" i="3"/>
  <c r="C7" i="6"/>
  <c r="C13" i="5"/>
  <c r="C21" i="5"/>
  <c r="C29" i="9"/>
  <c r="C10" i="7"/>
  <c r="C31" i="5"/>
  <c r="D12" i="6"/>
  <c r="C31" i="3"/>
  <c r="C14" i="8"/>
  <c r="D19" i="3"/>
  <c r="G10" i="10"/>
  <c r="D10" i="12"/>
  <c r="D27" i="5"/>
  <c r="C24" i="9"/>
  <c r="C8" i="12"/>
  <c r="C8" i="8"/>
  <c r="D51" i="9"/>
  <c r="C10" i="5"/>
  <c r="C13" i="9"/>
  <c r="D25" i="8"/>
  <c r="D11" i="11"/>
  <c r="D51" i="4"/>
  <c r="C15" i="5"/>
  <c r="C20" i="8"/>
  <c r="D32" i="4"/>
  <c r="D70" i="7"/>
  <c r="C9" i="8"/>
  <c r="C21" i="8"/>
  <c r="C18" i="9"/>
  <c r="C35" i="3"/>
  <c r="D50" i="4"/>
  <c r="D10" i="7"/>
  <c r="C14" i="7"/>
  <c r="D63" i="7"/>
  <c r="C12" i="8"/>
  <c r="D28" i="8"/>
  <c r="D35" i="3"/>
  <c r="C62" i="3"/>
  <c r="D55" i="4"/>
  <c r="C27" i="5"/>
  <c r="C33" i="5"/>
  <c r="D12" i="8"/>
  <c r="C22" i="8"/>
  <c r="D12" i="11"/>
  <c r="D336" i="3"/>
  <c r="C22" i="5"/>
  <c r="D64" i="3"/>
  <c r="C51" i="3"/>
  <c r="C7" i="4"/>
  <c r="D15" i="6"/>
  <c r="C13" i="8"/>
  <c r="C23" i="8"/>
  <c r="C8" i="9"/>
  <c r="C7" i="12"/>
  <c r="D13" i="11"/>
  <c r="D7" i="12"/>
  <c r="D90" i="9"/>
  <c r="D99" i="3"/>
  <c r="C21" i="9"/>
  <c r="F15" i="10"/>
  <c r="D67" i="3"/>
  <c r="D115" i="3"/>
  <c r="C11" i="8"/>
  <c r="D19" i="9"/>
  <c r="G13" i="10"/>
  <c r="D14" i="11"/>
  <c r="D147" i="3"/>
  <c r="D82" i="5"/>
  <c r="C24" i="3"/>
  <c r="C68" i="3"/>
  <c r="D163" i="3"/>
  <c r="D12" i="4"/>
  <c r="C16" i="5"/>
  <c r="C9" i="7"/>
  <c r="C7" i="8"/>
  <c r="C18" i="8"/>
  <c r="D195" i="3"/>
  <c r="D28" i="4"/>
  <c r="D54" i="5"/>
  <c r="D18" i="8"/>
  <c r="G14" i="10"/>
  <c r="D15" i="11"/>
  <c r="D44" i="4"/>
  <c r="C17" i="5"/>
  <c r="D34" i="8"/>
  <c r="C43" i="3"/>
  <c r="D41" i="3"/>
  <c r="C48" i="3"/>
  <c r="D164" i="3"/>
  <c r="D217" i="3"/>
  <c r="D73" i="3"/>
  <c r="C37" i="3"/>
  <c r="D260" i="3"/>
  <c r="D244" i="3"/>
  <c r="D228" i="3"/>
  <c r="D196" i="3"/>
  <c r="D116" i="3"/>
  <c r="D121" i="3"/>
  <c r="C42" i="3"/>
  <c r="D180" i="3"/>
  <c r="D329" i="3"/>
  <c r="D265" i="3"/>
  <c r="D201" i="3"/>
  <c r="D89" i="3"/>
  <c r="D9" i="3"/>
  <c r="D339" i="3"/>
  <c r="D323" i="3"/>
  <c r="D307" i="3"/>
  <c r="D291" i="3"/>
  <c r="D275" i="3"/>
  <c r="D259" i="3"/>
  <c r="D243" i="3"/>
  <c r="D227" i="3"/>
  <c r="D211" i="3"/>
  <c r="D212" i="3"/>
  <c r="C47" i="3"/>
  <c r="D297" i="3"/>
  <c r="D233" i="3"/>
  <c r="D169" i="3"/>
  <c r="D153" i="3"/>
  <c r="C45" i="3"/>
  <c r="C29" i="3"/>
  <c r="D100" i="3"/>
  <c r="D52" i="3"/>
  <c r="D137" i="3"/>
  <c r="D292" i="3"/>
  <c r="D345" i="3"/>
  <c r="D313" i="3"/>
  <c r="D105" i="3"/>
  <c r="D25" i="3"/>
  <c r="C44" i="3"/>
  <c r="D308" i="3"/>
  <c r="C49" i="3"/>
  <c r="C33" i="3"/>
  <c r="D324" i="3"/>
  <c r="D276" i="3"/>
  <c r="D148" i="3"/>
  <c r="D68" i="3"/>
  <c r="D20" i="3"/>
  <c r="D185" i="3"/>
  <c r="D57" i="3"/>
  <c r="D340" i="3"/>
  <c r="D132" i="3"/>
  <c r="D84" i="3"/>
  <c r="D36" i="3"/>
  <c r="D281" i="3"/>
  <c r="D249" i="3"/>
  <c r="D51" i="3"/>
  <c r="C14" i="3"/>
  <c r="D83" i="3"/>
  <c r="D131" i="3"/>
  <c r="C46" i="3"/>
  <c r="D179" i="3"/>
  <c r="D7" i="4"/>
  <c r="F11" i="10"/>
  <c r="D11" i="3"/>
  <c r="C22" i="3"/>
  <c r="D27" i="3"/>
  <c r="C38" i="3"/>
  <c r="D43" i="3"/>
  <c r="C54" i="3"/>
  <c r="D59" i="3"/>
  <c r="C70" i="3"/>
  <c r="D75" i="3"/>
  <c r="D91" i="3"/>
  <c r="D107" i="3"/>
  <c r="D123" i="3"/>
  <c r="D139" i="3"/>
  <c r="D155" i="3"/>
  <c r="D171" i="3"/>
  <c r="D187" i="3"/>
  <c r="D203" i="3"/>
  <c r="D219" i="3"/>
  <c r="D235" i="3"/>
  <c r="D251" i="3"/>
  <c r="D267" i="3"/>
  <c r="D283" i="3"/>
  <c r="D299" i="3"/>
  <c r="D315" i="3"/>
  <c r="D331" i="3"/>
  <c r="D347" i="3"/>
  <c r="C9" i="4"/>
  <c r="D14" i="4"/>
  <c r="D30" i="4"/>
  <c r="D46" i="4"/>
  <c r="C8" i="5"/>
  <c r="D13" i="5"/>
  <c r="C24" i="5"/>
  <c r="D29" i="5"/>
  <c r="D45" i="5"/>
  <c r="D61" i="5"/>
  <c r="D77" i="5"/>
  <c r="D93" i="5"/>
  <c r="D7" i="6"/>
  <c r="C12" i="7"/>
  <c r="D17" i="7"/>
  <c r="D33" i="7"/>
  <c r="D49" i="7"/>
  <c r="D65" i="7"/>
  <c r="D81" i="7"/>
  <c r="C15" i="8"/>
  <c r="D20" i="8"/>
  <c r="D36" i="8"/>
  <c r="C16" i="9"/>
  <c r="D21" i="9"/>
  <c r="C32" i="9"/>
  <c r="D37" i="9"/>
  <c r="D53" i="9"/>
  <c r="D69" i="9"/>
  <c r="D85" i="9"/>
  <c r="C9" i="10"/>
  <c r="F12" i="10"/>
  <c r="G15" i="10"/>
  <c r="D22" i="5"/>
  <c r="D16" i="6"/>
  <c r="D22" i="3"/>
  <c r="D38" i="3"/>
  <c r="D54" i="3"/>
  <c r="C65" i="3"/>
  <c r="D70" i="3"/>
  <c r="D86" i="3"/>
  <c r="D102" i="3"/>
  <c r="D118" i="3"/>
  <c r="D134" i="3"/>
  <c r="D150" i="3"/>
  <c r="D166" i="3"/>
  <c r="D182" i="3"/>
  <c r="D198" i="3"/>
  <c r="D214" i="3"/>
  <c r="D230" i="3"/>
  <c r="D246" i="3"/>
  <c r="D262" i="3"/>
  <c r="D278" i="3"/>
  <c r="D294" i="3"/>
  <c r="D310" i="3"/>
  <c r="D326" i="3"/>
  <c r="D342" i="3"/>
  <c r="D9" i="4"/>
  <c r="D25" i="4"/>
  <c r="D41" i="4"/>
  <c r="D57" i="4"/>
  <c r="D8" i="5"/>
  <c r="C19" i="5"/>
  <c r="D24" i="5"/>
  <c r="C35" i="5"/>
  <c r="D40" i="5"/>
  <c r="D56" i="5"/>
  <c r="D72" i="5"/>
  <c r="D88" i="5"/>
  <c r="C13" i="6"/>
  <c r="D18" i="6"/>
  <c r="C7" i="7"/>
  <c r="D12" i="7"/>
  <c r="D28" i="7"/>
  <c r="D44" i="7"/>
  <c r="D60" i="7"/>
  <c r="D76" i="7"/>
  <c r="C10" i="8"/>
  <c r="D15" i="8"/>
  <c r="D31" i="8"/>
  <c r="C11" i="9"/>
  <c r="D16" i="9"/>
  <c r="C27" i="9"/>
  <c r="D32" i="9"/>
  <c r="D48" i="9"/>
  <c r="D64" i="9"/>
  <c r="D80" i="9"/>
  <c r="D9" i="10"/>
  <c r="G12" i="10"/>
  <c r="C36" i="3"/>
  <c r="D11" i="5"/>
  <c r="D59" i="5"/>
  <c r="D31" i="7"/>
  <c r="D67" i="9"/>
  <c r="C12" i="3"/>
  <c r="D17" i="3"/>
  <c r="C28" i="3"/>
  <c r="D33" i="3"/>
  <c r="D49" i="3"/>
  <c r="C60" i="3"/>
  <c r="D65" i="3"/>
  <c r="D81" i="3"/>
  <c r="D97" i="3"/>
  <c r="D113" i="3"/>
  <c r="D129" i="3"/>
  <c r="D145" i="3"/>
  <c r="D161" i="3"/>
  <c r="D177" i="3"/>
  <c r="D193" i="3"/>
  <c r="D209" i="3"/>
  <c r="D225" i="3"/>
  <c r="D241" i="3"/>
  <c r="D257" i="3"/>
  <c r="D273" i="3"/>
  <c r="D289" i="3"/>
  <c r="D305" i="3"/>
  <c r="D321" i="3"/>
  <c r="D337" i="3"/>
  <c r="D20" i="4"/>
  <c r="D36" i="4"/>
  <c r="D52" i="4"/>
  <c r="C14" i="5"/>
  <c r="D19" i="5"/>
  <c r="C30" i="5"/>
  <c r="D35" i="5"/>
  <c r="D51" i="5"/>
  <c r="D67" i="5"/>
  <c r="D83" i="5"/>
  <c r="D13" i="6"/>
  <c r="D7" i="7"/>
  <c r="D23" i="7"/>
  <c r="D39" i="7"/>
  <c r="D55" i="7"/>
  <c r="D71" i="7"/>
  <c r="D10" i="8"/>
  <c r="D26" i="8"/>
  <c r="D11" i="9"/>
  <c r="D27" i="9"/>
  <c r="D43" i="9"/>
  <c r="D59" i="9"/>
  <c r="D75" i="9"/>
  <c r="D91" i="9"/>
  <c r="D79" i="7"/>
  <c r="C25" i="9"/>
  <c r="D46" i="9"/>
  <c r="C7" i="3"/>
  <c r="D12" i="3"/>
  <c r="C23" i="3"/>
  <c r="D28" i="3"/>
  <c r="C39" i="3"/>
  <c r="D44" i="3"/>
  <c r="C55" i="3"/>
  <c r="D60" i="3"/>
  <c r="D76" i="3"/>
  <c r="D92" i="3"/>
  <c r="D108" i="3"/>
  <c r="D124" i="3"/>
  <c r="D140" i="3"/>
  <c r="D156" i="3"/>
  <c r="D172" i="3"/>
  <c r="D188" i="3"/>
  <c r="D204" i="3"/>
  <c r="D220" i="3"/>
  <c r="D236" i="3"/>
  <c r="D252" i="3"/>
  <c r="D268" i="3"/>
  <c r="D284" i="3"/>
  <c r="D300" i="3"/>
  <c r="D316" i="3"/>
  <c r="D332" i="3"/>
  <c r="D348" i="3"/>
  <c r="C10" i="4"/>
  <c r="D15" i="4"/>
  <c r="D31" i="4"/>
  <c r="D47" i="4"/>
  <c r="C9" i="5"/>
  <c r="D14" i="5"/>
  <c r="C25" i="5"/>
  <c r="D30" i="5"/>
  <c r="D46" i="5"/>
  <c r="D62" i="5"/>
  <c r="D78" i="5"/>
  <c r="D94" i="5"/>
  <c r="D8" i="6"/>
  <c r="C13" i="7"/>
  <c r="D18" i="7"/>
  <c r="D34" i="7"/>
  <c r="D50" i="7"/>
  <c r="D66" i="7"/>
  <c r="D82" i="7"/>
  <c r="C16" i="8"/>
  <c r="D21" i="8"/>
  <c r="D37" i="8"/>
  <c r="C17" i="9"/>
  <c r="D22" i="9"/>
  <c r="C33" i="9"/>
  <c r="D38" i="9"/>
  <c r="D54" i="9"/>
  <c r="D70" i="9"/>
  <c r="D86" i="9"/>
  <c r="D7" i="11"/>
  <c r="C20" i="3"/>
  <c r="D75" i="5"/>
  <c r="D83" i="9"/>
  <c r="C15" i="3"/>
  <c r="C9" i="9"/>
  <c r="D62" i="9"/>
  <c r="D7" i="3"/>
  <c r="C18" i="3"/>
  <c r="D23" i="3"/>
  <c r="C34" i="3"/>
  <c r="D39" i="3"/>
  <c r="C50" i="3"/>
  <c r="D55" i="3"/>
  <c r="C66" i="3"/>
  <c r="D71" i="3"/>
  <c r="D87" i="3"/>
  <c r="D103" i="3"/>
  <c r="D119" i="3"/>
  <c r="D135" i="3"/>
  <c r="D151" i="3"/>
  <c r="D167" i="3"/>
  <c r="D183" i="3"/>
  <c r="D199" i="3"/>
  <c r="D215" i="3"/>
  <c r="D231" i="3"/>
  <c r="D247" i="3"/>
  <c r="D263" i="3"/>
  <c r="D279" i="3"/>
  <c r="D295" i="3"/>
  <c r="D311" i="3"/>
  <c r="D327" i="3"/>
  <c r="D343" i="3"/>
  <c r="D10" i="4"/>
  <c r="D26" i="4"/>
  <c r="D42" i="4"/>
  <c r="D58" i="4"/>
  <c r="D9" i="5"/>
  <c r="C20" i="5"/>
  <c r="D25" i="5"/>
  <c r="D41" i="5"/>
  <c r="D57" i="5"/>
  <c r="D73" i="5"/>
  <c r="D89" i="5"/>
  <c r="D19" i="6"/>
  <c r="C8" i="7"/>
  <c r="D13" i="7"/>
  <c r="D29" i="7"/>
  <c r="D45" i="7"/>
  <c r="D61" i="7"/>
  <c r="D77" i="7"/>
  <c r="D16" i="8"/>
  <c r="D32" i="8"/>
  <c r="C12" i="9"/>
  <c r="D17" i="9"/>
  <c r="C28" i="9"/>
  <c r="D33" i="9"/>
  <c r="D49" i="9"/>
  <c r="D65" i="9"/>
  <c r="D81" i="9"/>
  <c r="D86" i="5"/>
  <c r="D29" i="8"/>
  <c r="C13" i="3"/>
  <c r="D18" i="3"/>
  <c r="D34" i="3"/>
  <c r="D50" i="3"/>
  <c r="C61" i="3"/>
  <c r="D66" i="3"/>
  <c r="D82" i="3"/>
  <c r="D98" i="3"/>
  <c r="D114" i="3"/>
  <c r="D130" i="3"/>
  <c r="D146" i="3"/>
  <c r="D162" i="3"/>
  <c r="D178" i="3"/>
  <c r="D194" i="3"/>
  <c r="D210" i="3"/>
  <c r="D226" i="3"/>
  <c r="D242" i="3"/>
  <c r="D258" i="3"/>
  <c r="D274" i="3"/>
  <c r="D290" i="3"/>
  <c r="D306" i="3"/>
  <c r="D322" i="3"/>
  <c r="D338" i="3"/>
  <c r="D21" i="4"/>
  <c r="D37" i="4"/>
  <c r="D53" i="4"/>
  <c r="D20" i="5"/>
  <c r="D36" i="5"/>
  <c r="D52" i="5"/>
  <c r="D68" i="5"/>
  <c r="D84" i="5"/>
  <c r="D14" i="6"/>
  <c r="D8" i="7"/>
  <c r="C19" i="7"/>
  <c r="D24" i="7"/>
  <c r="D40" i="7"/>
  <c r="D56" i="7"/>
  <c r="D72" i="7"/>
  <c r="D11" i="8"/>
  <c r="D27" i="8"/>
  <c r="C7" i="9"/>
  <c r="D12" i="9"/>
  <c r="C23" i="9"/>
  <c r="D28" i="9"/>
  <c r="D44" i="9"/>
  <c r="D60" i="9"/>
  <c r="D76" i="9"/>
  <c r="F13" i="10"/>
  <c r="D70" i="5"/>
  <c r="D78" i="9"/>
  <c r="C8" i="3"/>
  <c r="D13" i="3"/>
  <c r="D29" i="3"/>
  <c r="D45" i="3"/>
  <c r="C56" i="3"/>
  <c r="D61" i="3"/>
  <c r="D77" i="3"/>
  <c r="D93" i="3"/>
  <c r="D109" i="3"/>
  <c r="D125" i="3"/>
  <c r="D141" i="3"/>
  <c r="D157" i="3"/>
  <c r="D173" i="3"/>
  <c r="D189" i="3"/>
  <c r="D205" i="3"/>
  <c r="D221" i="3"/>
  <c r="D237" i="3"/>
  <c r="D253" i="3"/>
  <c r="D269" i="3"/>
  <c r="D285" i="3"/>
  <c r="D301" i="3"/>
  <c r="D317" i="3"/>
  <c r="D333" i="3"/>
  <c r="C11" i="4"/>
  <c r="D16" i="4"/>
  <c r="D48" i="4"/>
  <c r="D15" i="5"/>
  <c r="C26" i="5"/>
  <c r="D31" i="5"/>
  <c r="D47" i="5"/>
  <c r="D63" i="5"/>
  <c r="D79" i="5"/>
  <c r="D95" i="5"/>
  <c r="D9" i="6"/>
  <c r="D19" i="7"/>
  <c r="D35" i="7"/>
  <c r="D51" i="7"/>
  <c r="D67" i="7"/>
  <c r="D83" i="7"/>
  <c r="C17" i="8"/>
  <c r="D22" i="8"/>
  <c r="D38" i="8"/>
  <c r="D7" i="9"/>
  <c r="D23" i="9"/>
  <c r="C34" i="9"/>
  <c r="D39" i="9"/>
  <c r="D55" i="9"/>
  <c r="D71" i="9"/>
  <c r="D87" i="9"/>
  <c r="F10" i="10"/>
  <c r="D8" i="11"/>
  <c r="D23" i="4"/>
  <c r="D38" i="5"/>
  <c r="D42" i="7"/>
  <c r="D58" i="7"/>
  <c r="D74" i="7"/>
  <c r="D8" i="3"/>
  <c r="C19" i="3"/>
  <c r="D24" i="3"/>
  <c r="D40" i="3"/>
  <c r="D56" i="3"/>
  <c r="C67" i="3"/>
  <c r="D72" i="3"/>
  <c r="D88" i="3"/>
  <c r="D104" i="3"/>
  <c r="D120" i="3"/>
  <c r="D136" i="3"/>
  <c r="D152" i="3"/>
  <c r="D168" i="3"/>
  <c r="D184" i="3"/>
  <c r="D200" i="3"/>
  <c r="D216" i="3"/>
  <c r="D232" i="3"/>
  <c r="D248" i="3"/>
  <c r="D264" i="3"/>
  <c r="D280" i="3"/>
  <c r="D296" i="3"/>
  <c r="D312" i="3"/>
  <c r="D328" i="3"/>
  <c r="D344" i="3"/>
  <c r="D11" i="4"/>
  <c r="D27" i="4"/>
  <c r="D43" i="4"/>
  <c r="D59" i="4"/>
  <c r="D10" i="5"/>
  <c r="D26" i="5"/>
  <c r="D42" i="5"/>
  <c r="D58" i="5"/>
  <c r="D74" i="5"/>
  <c r="D90" i="5"/>
  <c r="D20" i="6"/>
  <c r="D14" i="7"/>
  <c r="D30" i="7"/>
  <c r="D46" i="7"/>
  <c r="D62" i="7"/>
  <c r="D78" i="7"/>
  <c r="D17" i="8"/>
  <c r="D33" i="8"/>
  <c r="D18" i="9"/>
  <c r="D34" i="9"/>
  <c r="D50" i="9"/>
  <c r="D66" i="9"/>
  <c r="D82" i="9"/>
  <c r="D8" i="12"/>
  <c r="D22" i="4"/>
  <c r="D38" i="4"/>
  <c r="D54" i="4"/>
  <c r="D21" i="5"/>
  <c r="D37" i="5"/>
  <c r="D53" i="5"/>
  <c r="D69" i="5"/>
  <c r="D85" i="5"/>
  <c r="D9" i="7"/>
  <c r="D25" i="7"/>
  <c r="D41" i="7"/>
  <c r="D57" i="7"/>
  <c r="D73" i="7"/>
  <c r="D13" i="9"/>
  <c r="D29" i="9"/>
  <c r="D45" i="9"/>
  <c r="D61" i="9"/>
  <c r="D77" i="9"/>
  <c r="C9" i="3"/>
  <c r="D14" i="3"/>
  <c r="C25" i="3"/>
  <c r="D30" i="3"/>
  <c r="C41" i="3"/>
  <c r="D46" i="3"/>
  <c r="C57" i="3"/>
  <c r="D62" i="3"/>
  <c r="D78" i="3"/>
  <c r="D94" i="3"/>
  <c r="D110" i="3"/>
  <c r="D126" i="3"/>
  <c r="D142" i="3"/>
  <c r="D158" i="3"/>
  <c r="D174" i="3"/>
  <c r="D190" i="3"/>
  <c r="D206" i="3"/>
  <c r="D222" i="3"/>
  <c r="D238" i="3"/>
  <c r="D254" i="3"/>
  <c r="D270" i="3"/>
  <c r="D286" i="3"/>
  <c r="D302" i="3"/>
  <c r="D318" i="3"/>
  <c r="D334" i="3"/>
  <c r="C12" i="4"/>
  <c r="D17" i="4"/>
  <c r="D33" i="4"/>
  <c r="D49" i="4"/>
  <c r="C11" i="5"/>
  <c r="D16" i="5"/>
  <c r="D32" i="5"/>
  <c r="D48" i="5"/>
  <c r="D64" i="5"/>
  <c r="D80" i="5"/>
  <c r="D96" i="5"/>
  <c r="D10" i="6"/>
  <c r="D20" i="7"/>
  <c r="D36" i="7"/>
  <c r="D52" i="7"/>
  <c r="D68" i="7"/>
  <c r="D84" i="7"/>
  <c r="D7" i="8"/>
  <c r="D23" i="8"/>
  <c r="D8" i="9"/>
  <c r="C19" i="9"/>
  <c r="D24" i="9"/>
  <c r="C35" i="9"/>
  <c r="D40" i="9"/>
  <c r="D56" i="9"/>
  <c r="D72" i="9"/>
  <c r="D88" i="9"/>
  <c r="D9" i="11"/>
  <c r="F14" i="10"/>
  <c r="D9" i="12"/>
  <c r="D91" i="5"/>
  <c r="D35" i="9"/>
  <c r="D39" i="4"/>
  <c r="D30" i="9"/>
  <c r="C10" i="3"/>
  <c r="D15" i="3"/>
  <c r="C26" i="3"/>
  <c r="D31" i="3"/>
  <c r="D47" i="3"/>
  <c r="D63" i="3"/>
  <c r="D79" i="3"/>
  <c r="D95" i="3"/>
  <c r="D111" i="3"/>
  <c r="D127" i="3"/>
  <c r="D143" i="3"/>
  <c r="D159" i="3"/>
  <c r="D175" i="3"/>
  <c r="D191" i="3"/>
  <c r="D207" i="3"/>
  <c r="D223" i="3"/>
  <c r="D239" i="3"/>
  <c r="D255" i="3"/>
  <c r="D271" i="3"/>
  <c r="D287" i="3"/>
  <c r="D303" i="3"/>
  <c r="D319" i="3"/>
  <c r="D335" i="3"/>
  <c r="D18" i="4"/>
  <c r="D34" i="4"/>
  <c r="C12" i="5"/>
  <c r="D17" i="5"/>
  <c r="D33" i="5"/>
  <c r="D49" i="5"/>
  <c r="D65" i="5"/>
  <c r="D81" i="5"/>
  <c r="D11" i="6"/>
  <c r="C16" i="7"/>
  <c r="D21" i="7"/>
  <c r="D37" i="7"/>
  <c r="D53" i="7"/>
  <c r="D69" i="7"/>
  <c r="D8" i="8"/>
  <c r="D24" i="8"/>
  <c r="D9" i="9"/>
  <c r="C20" i="9"/>
  <c r="D25" i="9"/>
  <c r="C36" i="9"/>
  <c r="D41" i="9"/>
  <c r="D57" i="9"/>
  <c r="D73" i="9"/>
  <c r="D89" i="9"/>
  <c r="F7" i="10"/>
  <c r="G11" i="10"/>
  <c r="D43" i="5"/>
  <c r="D15" i="7"/>
  <c r="D47" i="7"/>
  <c r="D26" i="7"/>
  <c r="D13" i="8"/>
  <c r="D14" i="9"/>
  <c r="D10" i="3"/>
  <c r="C21" i="3"/>
  <c r="D26" i="3"/>
  <c r="D42" i="3"/>
  <c r="D58" i="3"/>
  <c r="C69" i="3"/>
  <c r="D74" i="3"/>
  <c r="D90" i="3"/>
  <c r="D106" i="3"/>
  <c r="D122" i="3"/>
  <c r="D138" i="3"/>
  <c r="D154" i="3"/>
  <c r="D170" i="3"/>
  <c r="D186" i="3"/>
  <c r="D202" i="3"/>
  <c r="D218" i="3"/>
  <c r="D234" i="3"/>
  <c r="D250" i="3"/>
  <c r="D266" i="3"/>
  <c r="D282" i="3"/>
  <c r="D298" i="3"/>
  <c r="D314" i="3"/>
  <c r="D330" i="3"/>
  <c r="D346" i="3"/>
  <c r="C8" i="4"/>
  <c r="D13" i="4"/>
  <c r="D29" i="4"/>
  <c r="D45" i="4"/>
  <c r="C7" i="5"/>
  <c r="D12" i="5"/>
  <c r="C23" i="5"/>
  <c r="D28" i="5"/>
  <c r="D44" i="5"/>
  <c r="D60" i="5"/>
  <c r="D76" i="5"/>
  <c r="D92" i="5"/>
  <c r="D16" i="7"/>
  <c r="D32" i="7"/>
  <c r="D48" i="7"/>
  <c r="D64" i="7"/>
  <c r="D80" i="7"/>
  <c r="D19" i="8"/>
  <c r="D35" i="8"/>
  <c r="C15" i="9"/>
  <c r="D20" i="9"/>
  <c r="C31" i="9"/>
  <c r="D36" i="9"/>
  <c r="D52" i="9"/>
  <c r="D68" i="9"/>
  <c r="D84" i="9"/>
  <c r="C8" i="10"/>
  <c r="C16" i="3"/>
  <c r="D21" i="3"/>
  <c r="C32" i="3"/>
  <c r="D37" i="3"/>
  <c r="D53" i="3"/>
  <c r="C64" i="3"/>
  <c r="D69" i="3"/>
  <c r="D85" i="3"/>
  <c r="D101" i="3"/>
  <c r="D117" i="3"/>
  <c r="D133" i="3"/>
  <c r="D149" i="3"/>
  <c r="D165" i="3"/>
  <c r="D181" i="3"/>
  <c r="D197" i="3"/>
  <c r="D213" i="3"/>
  <c r="D229" i="3"/>
  <c r="D245" i="3"/>
  <c r="D261" i="3"/>
  <c r="D277" i="3"/>
  <c r="D293" i="3"/>
  <c r="D309" i="3"/>
  <c r="D325" i="3"/>
  <c r="D341" i="3"/>
  <c r="D8" i="4"/>
  <c r="D24" i="4"/>
  <c r="D40" i="4"/>
  <c r="D56" i="4"/>
  <c r="D7" i="5"/>
  <c r="C18" i="5"/>
  <c r="D23" i="5"/>
  <c r="D39" i="5"/>
  <c r="D55" i="5"/>
  <c r="D71" i="5"/>
  <c r="D87" i="5"/>
  <c r="D17" i="6"/>
  <c r="D11" i="7"/>
  <c r="D27" i="7"/>
  <c r="D43" i="7"/>
  <c r="D59" i="7"/>
  <c r="D75" i="7"/>
  <c r="D14" i="8"/>
  <c r="D30" i="8"/>
  <c r="C10" i="9"/>
  <c r="D15" i="9"/>
  <c r="C26" i="9"/>
  <c r="D31" i="9"/>
  <c r="D47" i="9"/>
  <c r="D63" i="9"/>
  <c r="D79" i="9"/>
  <c r="D8" i="10"/>
  <c r="C11" i="3"/>
  <c r="D16" i="3"/>
  <c r="D32" i="3"/>
  <c r="D48" i="3"/>
  <c r="D80" i="3"/>
  <c r="D96" i="3"/>
  <c r="D112" i="3"/>
  <c r="D128" i="3"/>
  <c r="D144" i="3"/>
  <c r="D160" i="3"/>
  <c r="D176" i="3"/>
  <c r="D192" i="3"/>
  <c r="D208" i="3"/>
  <c r="D224" i="3"/>
  <c r="D240" i="3"/>
  <c r="D256" i="3"/>
  <c r="D272" i="3"/>
  <c r="D288" i="3"/>
  <c r="D304" i="3"/>
  <c r="D320" i="3"/>
  <c r="D19" i="4"/>
  <c r="D35" i="4"/>
  <c r="D18" i="5"/>
  <c r="D34" i="5"/>
  <c r="D50" i="5"/>
  <c r="D66" i="5"/>
  <c r="C17" i="7"/>
  <c r="D22" i="7"/>
  <c r="D38" i="7"/>
  <c r="D54" i="7"/>
  <c r="D9" i="8"/>
  <c r="D10" i="9"/>
  <c r="D26" i="9"/>
  <c r="D42" i="9"/>
  <c r="D58" i="9"/>
  <c r="D74" i="9"/>
  <c r="C13" i="10" l="1"/>
  <c r="C10" i="10"/>
  <c r="C15" i="10"/>
  <c r="D15" i="10"/>
  <c r="C12" i="10"/>
  <c r="D13" i="10"/>
  <c r="D12" i="10"/>
  <c r="D7" i="10"/>
  <c r="C7" i="10"/>
  <c r="D14" i="10"/>
  <c r="C14" i="10"/>
  <c r="D11" i="10"/>
  <c r="C11" i="10"/>
  <c r="D10" i="10"/>
</calcChain>
</file>

<file path=xl/sharedStrings.xml><?xml version="1.0" encoding="utf-8"?>
<sst xmlns="http://schemas.openxmlformats.org/spreadsheetml/2006/main" count="1894" uniqueCount="697">
  <si>
    <t>Regional Rank</t>
  </si>
  <si>
    <t>Points</t>
  </si>
  <si>
    <t>Category</t>
  </si>
  <si>
    <t>1st</t>
  </si>
  <si>
    <t>2nd</t>
  </si>
  <si>
    <t>3rd</t>
  </si>
  <si>
    <t>4th</t>
  </si>
  <si>
    <t>R8</t>
  </si>
  <si>
    <t>R16</t>
  </si>
  <si>
    <t>R32</t>
  </si>
  <si>
    <t>R64</t>
  </si>
  <si>
    <t>R128</t>
  </si>
  <si>
    <t>R256</t>
  </si>
  <si>
    <t>ITSF World Series 1000</t>
  </si>
  <si>
    <t>ITSF 750</t>
  </si>
  <si>
    <t>ITSF 500</t>
  </si>
  <si>
    <t>ITSF 250</t>
  </si>
  <si>
    <t>Campionatul National</t>
  </si>
  <si>
    <t>Oficial</t>
  </si>
  <si>
    <t>Amical</t>
  </si>
  <si>
    <t>Turneele ITSF 250 și 500 pot fi upgradate cu 20% mai multe puncte dacă numărul de participanți este foarte mare</t>
  </si>
  <si>
    <t>Mens Doubles</t>
  </si>
  <si>
    <t>Bogdan Panoiu</t>
  </si>
  <si>
    <t>Eugen Dumitrescu</t>
  </si>
  <si>
    <t>Lucian Giura</t>
  </si>
  <si>
    <t>Mens Classic Doubles</t>
  </si>
  <si>
    <t>Adrian Pavelescu</t>
  </si>
  <si>
    <t>Womens Doubles</t>
  </si>
  <si>
    <t>Ecaterina Sarbulescu</t>
  </si>
  <si>
    <t>Ana Bobe</t>
  </si>
  <si>
    <t>Silvia Pintilii</t>
  </si>
  <si>
    <t>Womens Classic Doubles</t>
  </si>
  <si>
    <t>Mens Singles</t>
  </si>
  <si>
    <t>Womens Singles</t>
  </si>
  <si>
    <t>Mixed Doubles</t>
  </si>
  <si>
    <t>Junior Doubles</t>
  </si>
  <si>
    <t>Szocs Hunor</t>
  </si>
  <si>
    <t>Matel Mark</t>
  </si>
  <si>
    <t>Bogdan Pănoiu</t>
  </si>
  <si>
    <t>Vlad Lăzăroiu</t>
  </si>
  <si>
    <t>Ecaterina Sârbulescu</t>
  </si>
  <si>
    <t>Junior Singles</t>
  </si>
  <si>
    <t>Hunor Szőcs</t>
  </si>
  <si>
    <t>Dragoș Cîrlan</t>
  </si>
  <si>
    <t>Anita Farkas</t>
  </si>
  <si>
    <t>Space Rebels x Kali Caffe</t>
  </si>
  <si>
    <t>Pro-Am Doubles #2</t>
  </si>
  <si>
    <t>Pro-Am Doubles #3</t>
  </si>
  <si>
    <t>Leonhart WS Monster DYP Attack</t>
  </si>
  <si>
    <t>Dominators Foosball Championship</t>
  </si>
  <si>
    <t>August Tournament</t>
  </si>
  <si>
    <t>Pro-Am Doubles #5</t>
  </si>
  <si>
    <t>Wolfpack Open #3</t>
  </si>
  <si>
    <t>Open National Hoenheim</t>
  </si>
  <si>
    <t>Hungarian Leonhart Open</t>
  </si>
  <si>
    <t>Polish Leonhart Championshi</t>
  </si>
  <si>
    <t>Saarland Open</t>
  </si>
  <si>
    <t>Bonzini World Series</t>
  </si>
  <si>
    <t>Varna</t>
  </si>
  <si>
    <t>Leonhart World Series</t>
  </si>
  <si>
    <t>Goal Diggers Cup - Round 1 - MDYP</t>
  </si>
  <si>
    <t>Goal Diggers Cup - Round 1 - OD</t>
  </si>
  <si>
    <t>Goal Diggers Cup - Round 2 - OD</t>
  </si>
  <si>
    <t>Goal Diggers Cup - Round 2 - MDYP</t>
  </si>
  <si>
    <t>Csiki Csocso - Monster DYP</t>
  </si>
  <si>
    <t>Csiki Csocso - Open Doubles</t>
  </si>
  <si>
    <t>Csiki Csocso - Foosball Fun League DYP</t>
  </si>
  <si>
    <t>Butterfly Reapers - Winter DYP</t>
  </si>
  <si>
    <t>Butterfly Reapers - Valentines DYP</t>
  </si>
  <si>
    <t>Butterfly Reapers - Spin Doubles OD</t>
  </si>
  <si>
    <t>Transylvanian Slingers - Ch. 13</t>
  </si>
  <si>
    <t>Transylvanian Slingers - Ch. 14</t>
  </si>
  <si>
    <t>Wolfpack Open 01</t>
  </si>
  <si>
    <t>Wolfpack Invitational OD</t>
  </si>
  <si>
    <t>Wolfpack Invitational MDYP</t>
  </si>
  <si>
    <t>Wolfpack MDYP 01</t>
  </si>
  <si>
    <t>Wolfpack MDYP 02</t>
  </si>
  <si>
    <t>Wolfpack MDYP 03</t>
  </si>
  <si>
    <t>Wolfpack MDYP 04</t>
  </si>
  <si>
    <t>Wolfpack MDYP 05</t>
  </si>
  <si>
    <t>Wolfpack Summer Camp MDYP</t>
  </si>
  <si>
    <t>Wolfpack ProAM DYP 1</t>
  </si>
  <si>
    <t>Wolfpack ProAM DYP 2</t>
  </si>
  <si>
    <t>Wolfpack ProAM DYP 3</t>
  </si>
  <si>
    <t>Underworld Cup DYP 01</t>
  </si>
  <si>
    <t>Underworld Cup DYP 02</t>
  </si>
  <si>
    <t>Underworld Cup DYP 03</t>
  </si>
  <si>
    <t>Underworld Cup DYP 04</t>
  </si>
  <si>
    <t>Underworld Cup DYP 05</t>
  </si>
  <si>
    <t>Kali OD 01</t>
  </si>
  <si>
    <t>Kali OD 02</t>
  </si>
  <si>
    <t>Summer Kick-Off MDYP</t>
  </si>
  <si>
    <t>Summer Kick-Off OD</t>
  </si>
  <si>
    <t>Space Rebels</t>
  </si>
  <si>
    <t>Wolfpack</t>
  </si>
  <si>
    <t>Ace Bucharest</t>
  </si>
  <si>
    <t>Csiki Csocso</t>
  </si>
  <si>
    <t>Butterfly Reapers</t>
  </si>
  <si>
    <t>ITSF</t>
  </si>
  <si>
    <t>Goal Diggers</t>
  </si>
  <si>
    <t>Phoenix Foosball Cluj</t>
  </si>
  <si>
    <t>12 Month Rolling</t>
  </si>
  <si>
    <t>Rank</t>
  </si>
  <si>
    <t>Name</t>
  </si>
  <si>
    <t>Tournaments Played</t>
  </si>
  <si>
    <t>Total Points</t>
  </si>
  <si>
    <t>Best 7 Total Points</t>
  </si>
  <si>
    <t>ITSF 1000</t>
  </si>
  <si>
    <t>Nicolae Dragomir</t>
  </si>
  <si>
    <t>Andrei Musteata-Cacoveanu</t>
  </si>
  <si>
    <t>Alex State</t>
  </si>
  <si>
    <t>Najib Malli</t>
  </si>
  <si>
    <t>Hunor Szocs</t>
  </si>
  <si>
    <t>Stefanut Jianu</t>
  </si>
  <si>
    <t>Alex Iamandi</t>
  </si>
  <si>
    <t>Alex Mocanu</t>
  </si>
  <si>
    <t>Roman Pazushkin</t>
  </si>
  <si>
    <t>Florin Nicolae</t>
  </si>
  <si>
    <t>Ionut Constantin</t>
  </si>
  <si>
    <t>Cosmin Frone</t>
  </si>
  <si>
    <t>Dragos Cirlan</t>
  </si>
  <si>
    <t>Cristian Marinescu</t>
  </si>
  <si>
    <t>Marius Visalon</t>
  </si>
  <si>
    <t>Alexandru Gavrilescu</t>
  </si>
  <si>
    <t>Alexandru Tone</t>
  </si>
  <si>
    <t>Mykola Poroshyn</t>
  </si>
  <si>
    <t>Bogdan Cernat</t>
  </si>
  <si>
    <t>Alpar Szarvas</t>
  </si>
  <si>
    <t>Levente Eross</t>
  </si>
  <si>
    <t>Mircea Manta</t>
  </si>
  <si>
    <t>Sandor Oszkar</t>
  </si>
  <si>
    <t>Stefan Dutu</t>
  </si>
  <si>
    <t>Cristian Cojocaru</t>
  </si>
  <si>
    <t>Alexandru Ilie</t>
  </si>
  <si>
    <t>Iulian Labaditis</t>
  </si>
  <si>
    <t>Gabriel Matei</t>
  </si>
  <si>
    <t>Costin Ilie</t>
  </si>
  <si>
    <t>Andrei Nedelcu</t>
  </si>
  <si>
    <t>Razvan Iordache</t>
  </si>
  <si>
    <t>Csongor Szabo</t>
  </si>
  <si>
    <t>Szabolcs Csiszer</t>
  </si>
  <si>
    <t>Vajna Gabor</t>
  </si>
  <si>
    <t>Buzas Szilard</t>
  </si>
  <si>
    <t>Kolumban Istvan</t>
  </si>
  <si>
    <t>David Zakarias</t>
  </si>
  <si>
    <t>Szebi Demeter</t>
  </si>
  <si>
    <t>Ferencz Hamzni</t>
  </si>
  <si>
    <t>Alexandru Frone</t>
  </si>
  <si>
    <t>Vlad Talimba</t>
  </si>
  <si>
    <t>Alexandru Megan</t>
  </si>
  <si>
    <t>Ionut Nicolae</t>
  </si>
  <si>
    <t>Calin Iordache</t>
  </si>
  <si>
    <t>Adrian Chirachu</t>
  </si>
  <si>
    <t>Gogu Stere</t>
  </si>
  <si>
    <t>Zsolt Gal</t>
  </si>
  <si>
    <t>Balazs Szoke</t>
  </si>
  <si>
    <t>Iulian Burnescu</t>
  </si>
  <si>
    <t>Andrei Duta</t>
  </si>
  <si>
    <t>Cristian Balas</t>
  </si>
  <si>
    <t>Serban Obreja</t>
  </si>
  <si>
    <t>Radu Toma</t>
  </si>
  <si>
    <t>Alin Cosmin Pojar</t>
  </si>
  <si>
    <t>Catalin Dorobantu</t>
  </si>
  <si>
    <t>Toma Tone</t>
  </si>
  <si>
    <t>Andrei Martin</t>
  </si>
  <si>
    <t>Andrei Mocanu</t>
  </si>
  <si>
    <t>Marius Popa</t>
  </si>
  <si>
    <t>Luca Popa</t>
  </si>
  <si>
    <t>Vlad Lazaroiu</t>
  </si>
  <si>
    <t>Razvan Motoc</t>
  </si>
  <si>
    <t>Tamas Mitra</t>
  </si>
  <si>
    <t>Sandor Lestyan</t>
  </si>
  <si>
    <t>Janos Kovacs</t>
  </si>
  <si>
    <t>Ciprian Tănase</t>
  </si>
  <si>
    <t>Marius Haba</t>
  </si>
  <si>
    <t>Andras Tobias</t>
  </si>
  <si>
    <t>Hunor Venczel</t>
  </si>
  <si>
    <t>Dragos Clapa</t>
  </si>
  <si>
    <t>Adrian Stan</t>
  </si>
  <si>
    <t>Alexandru Petrut</t>
  </si>
  <si>
    <t>Elod Bartos</t>
  </si>
  <si>
    <t>Lucian Posteuca</t>
  </si>
  <si>
    <t>Paul Ionescu</t>
  </si>
  <si>
    <t>Hunor Istvandi</t>
  </si>
  <si>
    <t>Balint Lorand</t>
  </si>
  <si>
    <t>Attila Joo</t>
  </si>
  <si>
    <t>Andrei Andreianu</t>
  </si>
  <si>
    <t>Antonio Spita</t>
  </si>
  <si>
    <t>Vlad Barchizeanu</t>
  </si>
  <si>
    <t>Vlad Zaharia</t>
  </si>
  <si>
    <t>Stefan Curghi</t>
  </si>
  <si>
    <t>Catalin Bichi</t>
  </si>
  <si>
    <t>Andrei Scurtu</t>
  </si>
  <si>
    <t>Bogdan Teletin</t>
  </si>
  <si>
    <t>Mátyas Nagy</t>
  </si>
  <si>
    <t>Stefan Usturoiu</t>
  </si>
  <si>
    <t>Mihai Savin</t>
  </si>
  <si>
    <t>Andrei Gherman</t>
  </si>
  <si>
    <t>David Hunyadi</t>
  </si>
  <si>
    <t>Hunor Lado</t>
  </si>
  <si>
    <t>Robert Demenyi</t>
  </si>
  <si>
    <t>Ionut Bugaru</t>
  </si>
  <si>
    <t>Norbert Bako</t>
  </si>
  <si>
    <t>Teodor Pripoae</t>
  </si>
  <si>
    <t>Levente Calo</t>
  </si>
  <si>
    <t>Barna Kovacs</t>
  </si>
  <si>
    <t>Patrick Raileanu</t>
  </si>
  <si>
    <t>Victor Merla</t>
  </si>
  <si>
    <t>Akos Vezsenyi</t>
  </si>
  <si>
    <t>Hunor Miklos</t>
  </si>
  <si>
    <t>Alexandru Coman</t>
  </si>
  <si>
    <t>Bogdan Marinescu</t>
  </si>
  <si>
    <t>Sergiu Neagoe</t>
  </si>
  <si>
    <t>Catalin Techiu</t>
  </si>
  <si>
    <t>Catalin Matei</t>
  </si>
  <si>
    <t>Claudiu Tudorache</t>
  </si>
  <si>
    <t>Alpar Veres</t>
  </si>
  <si>
    <t>Barni Szakacs</t>
  </si>
  <si>
    <t>David Cigolia</t>
  </si>
  <si>
    <t>Szilard Dobriban</t>
  </si>
  <si>
    <t>Nep Árpad</t>
  </si>
  <si>
    <t>Flavian Iordache</t>
  </si>
  <si>
    <t>Bogdan Alamita</t>
  </si>
  <si>
    <t>Simo Attila</t>
  </si>
  <si>
    <t>Kovacs Barni</t>
  </si>
  <si>
    <t>Csiki Attila</t>
  </si>
  <si>
    <t>Peter Robert</t>
  </si>
  <si>
    <t>Catalin Teclu</t>
  </si>
  <si>
    <t>Rubla Braileanu</t>
  </si>
  <si>
    <t>Catalin Brunchi</t>
  </si>
  <si>
    <t>Andrei Pirvulescu</t>
  </si>
  <si>
    <t>Radu Moraru</t>
  </si>
  <si>
    <t>Marius Ghinea</t>
  </si>
  <si>
    <t>Aliz Laszlo</t>
  </si>
  <si>
    <t>Aron Peterfi</t>
  </si>
  <si>
    <t>Peter Peterfi</t>
  </si>
  <si>
    <t>Zoltan Eros</t>
  </si>
  <si>
    <t>Samuil Vladimirov</t>
  </si>
  <si>
    <t>Laci Mihaly</t>
  </si>
  <si>
    <t>Tamas Bara</t>
  </si>
  <si>
    <t>Patrick Borsi</t>
  </si>
  <si>
    <t>Laszlo Kassay</t>
  </si>
  <si>
    <t xml:space="preserve">Lado Csongor </t>
  </si>
  <si>
    <t>Petres Zsolt</t>
  </si>
  <si>
    <t xml:space="preserve">Szasz Istvan </t>
  </si>
  <si>
    <t>Orsi Igyarto</t>
  </si>
  <si>
    <t>Madalin Valentinescu</t>
  </si>
  <si>
    <t>Florin Pinbalescu</t>
  </si>
  <si>
    <t>Dragos Gorea</t>
  </si>
  <si>
    <t>Cristian Dragomir</t>
  </si>
  <si>
    <t>Ionut Bulgaru</t>
  </si>
  <si>
    <t>Vlad Gorea</t>
  </si>
  <si>
    <t>Csaba Molnar</t>
  </si>
  <si>
    <t>Gabriel Boangher</t>
  </si>
  <si>
    <t>Teo Coruga</t>
  </si>
  <si>
    <t>Radu Bosta</t>
  </si>
  <si>
    <t>Bodo Adelin</t>
  </si>
  <si>
    <t>Nagy Ors-Tamas</t>
  </si>
  <si>
    <t>Szekely Schnedarek-Tamas</t>
  </si>
  <si>
    <t>Jacint-Raymond Czucza</t>
  </si>
  <si>
    <t>Szabolcs Kerekes</t>
  </si>
  <si>
    <t>Bodrogi Balazs</t>
  </si>
  <si>
    <t>Istvan Attila Nyisztor</t>
  </si>
  <si>
    <t>Zsombor Lorenzovici</t>
  </si>
  <si>
    <t>Laszlo Ordogh</t>
  </si>
  <si>
    <t>Andrei Diaconita</t>
  </si>
  <si>
    <t>Damian Mititelu</t>
  </si>
  <si>
    <t>Mihaly Laszlo</t>
  </si>
  <si>
    <t>Domokos Attila</t>
  </si>
  <si>
    <t xml:space="preserve">Csiszar Norbert </t>
  </si>
  <si>
    <t>Razvan Urse</t>
  </si>
  <si>
    <t>Stefan Mititelu</t>
  </si>
  <si>
    <t>Henri de Hillerin</t>
  </si>
  <si>
    <t>Vitalii Hmeii</t>
  </si>
  <si>
    <t>Marian Chirea</t>
  </si>
  <si>
    <t>Marius Vatrea</t>
  </si>
  <si>
    <t>Cristian Simache</t>
  </si>
  <si>
    <t>Bodor Alpar</t>
  </si>
  <si>
    <t>Derzsi Szilard</t>
  </si>
  <si>
    <t>Dumitru Szilamer</t>
  </si>
  <si>
    <t>Cristian Simiache</t>
  </si>
  <si>
    <t>Alexandru Balan</t>
  </si>
  <si>
    <t>Adrian Chiracu</t>
  </si>
  <si>
    <t>Dezso Balint</t>
  </si>
  <si>
    <t>David Alamita</t>
  </si>
  <si>
    <t>Ionut Danail</t>
  </si>
  <si>
    <t>Andrei Marina</t>
  </si>
  <si>
    <t>Catalin Neacsu</t>
  </si>
  <si>
    <t>Toma Blogu</t>
  </si>
  <si>
    <t>Vladimir Ghenu</t>
  </si>
  <si>
    <t>Mihai Licu</t>
  </si>
  <si>
    <t>Alex Matache</t>
  </si>
  <si>
    <t>Luca Ionescu</t>
  </si>
  <si>
    <t>Relu Statescu</t>
  </si>
  <si>
    <t>Augustin Cibotari</t>
  </si>
  <si>
    <t>Alex Carnu</t>
  </si>
  <si>
    <t>Adrian Lazaroiu</t>
  </si>
  <si>
    <t>Marcus Hautz</t>
  </si>
  <si>
    <t>Mircea Dumitrescu</t>
  </si>
  <si>
    <t>Bogdan Lacatus</t>
  </si>
  <si>
    <t>Claudiu Neagu</t>
  </si>
  <si>
    <t>Andrei Marcu</t>
  </si>
  <si>
    <t>Nandor Virag</t>
  </si>
  <si>
    <t>Valentin Vasile</t>
  </si>
  <si>
    <t>Robert Zarnescu</t>
  </si>
  <si>
    <t>Mihai Purdelea</t>
  </si>
  <si>
    <t>Victor Rusu</t>
  </si>
  <si>
    <t>Cristian Haba</t>
  </si>
  <si>
    <t>Alin Ene</t>
  </si>
  <si>
    <t xml:space="preserve">Lorand Turkosi </t>
  </si>
  <si>
    <t>Ali Atwi</t>
  </si>
  <si>
    <t>Hussein Awada</t>
  </si>
  <si>
    <t>Bogdan Croitoru</t>
  </si>
  <si>
    <t>Florin Ungureanu</t>
  </si>
  <si>
    <t>Mathe Zsolt</t>
  </si>
  <si>
    <t>Razvan Miron</t>
  </si>
  <si>
    <t>Razvan Radulescu</t>
  </si>
  <si>
    <t>Catalin Saftoiu</t>
  </si>
  <si>
    <t>Dan Dragulin</t>
  </si>
  <si>
    <t>Robert Chirita</t>
  </si>
  <si>
    <t>Sorin Mutu</t>
  </si>
  <si>
    <t>Paul Nistorescu</t>
  </si>
  <si>
    <t>Hamza Ain Tommar</t>
  </si>
  <si>
    <t>Remi Mebtouche</t>
  </si>
  <si>
    <t>Alexandru Preda</t>
  </si>
  <si>
    <t>Catalin Moise</t>
  </si>
  <si>
    <t>Iulian Marcu</t>
  </si>
  <si>
    <t>Cristi Visan</t>
  </si>
  <si>
    <t>Andrei Zloteanu</t>
  </si>
  <si>
    <t>David Tanko</t>
  </si>
  <si>
    <t>Tommy König</t>
  </si>
  <si>
    <t>Iulian Minea</t>
  </si>
  <si>
    <t>Ahmed Mehrez</t>
  </si>
  <si>
    <t>Bogdan Popescu</t>
  </si>
  <si>
    <t>Viorel Andrei</t>
  </si>
  <si>
    <t>Felix Onofrei</t>
  </si>
  <si>
    <t>Alexandru Stirbu</t>
  </si>
  <si>
    <t>Ionita Vlad</t>
  </si>
  <si>
    <t>Andrei Cristea</t>
  </si>
  <si>
    <t>Adrian Chioncel</t>
  </si>
  <si>
    <t>Radu Cristian Moca</t>
  </si>
  <si>
    <t>Andrei Vasilache</t>
  </si>
  <si>
    <t>Alex Neagu</t>
  </si>
  <si>
    <t>Vicent Clerc</t>
  </si>
  <si>
    <t>Attila Jeszenszky</t>
  </si>
  <si>
    <t>Rahhanh Jens</t>
  </si>
  <si>
    <t>Razvan Aromanesei</t>
  </si>
  <si>
    <t>Emanuel Bancila</t>
  </si>
  <si>
    <t>Catalin Gradinaru</t>
  </si>
  <si>
    <t>Istavan Brasoveanu</t>
  </si>
  <si>
    <t>Sergiu Rotari</t>
  </si>
  <si>
    <t>Benji Zerkula</t>
  </si>
  <si>
    <t>Alexandru Negotei</t>
  </si>
  <si>
    <t>Marius Baraitaru</t>
  </si>
  <si>
    <t>Vlad Sandru</t>
  </si>
  <si>
    <t>Alex Pakucs</t>
  </si>
  <si>
    <t>Andrei Brasoveanu</t>
  </si>
  <si>
    <t>Sergiu Cociu</t>
  </si>
  <si>
    <t>Andrei Popa</t>
  </si>
  <si>
    <t>Daniel Foamete</t>
  </si>
  <si>
    <t>Kalman Bencze</t>
  </si>
  <si>
    <t>Edi Tanczos</t>
  </si>
  <si>
    <t>Laszlo Szocs</t>
  </si>
  <si>
    <t>Lori Both</t>
  </si>
  <si>
    <t>Paul Dobromir</t>
  </si>
  <si>
    <t>Marius Avram</t>
  </si>
  <si>
    <t>Alexandru Ungureanu</t>
  </si>
  <si>
    <t>Iacob Dumitru</t>
  </si>
  <si>
    <t>Mihnea Bucur</t>
  </si>
  <si>
    <t>Mario Petcu</t>
  </si>
  <si>
    <t>Alexandru Dumitru</t>
  </si>
  <si>
    <t>Silviu Costache</t>
  </si>
  <si>
    <t>Florin Chioncel</t>
  </si>
  <si>
    <t>Codrin Codrin</t>
  </si>
  <si>
    <t>George Stan</t>
  </si>
  <si>
    <t>Florin Manolescu</t>
  </si>
  <si>
    <t>Jerom Nicoara</t>
  </si>
  <si>
    <t>Laurentiu Vasile</t>
  </si>
  <si>
    <t>Florin Gradinaru</t>
  </si>
  <si>
    <t>Cosmin Stanciu</t>
  </si>
  <si>
    <t>Adam Kovacs</t>
  </si>
  <si>
    <t>Lehel Bodo</t>
  </si>
  <si>
    <t>Daroczi Balazs</t>
  </si>
  <si>
    <t>Lucian Cristian</t>
  </si>
  <si>
    <t>Mihai Popescu</t>
  </si>
  <si>
    <t>Denis Costan</t>
  </si>
  <si>
    <t>Cristi Nedelciu</t>
  </si>
  <si>
    <t>Mircea Smarandache</t>
  </si>
  <si>
    <t>Lucian Frunza</t>
  </si>
  <si>
    <t>Liviu Precu</t>
  </si>
  <si>
    <t>Ion Popescu</t>
  </si>
  <si>
    <t>Andrei Ciupan</t>
  </si>
  <si>
    <t>Benjamin Zerkula</t>
  </si>
  <si>
    <t>David Antonio</t>
  </si>
  <si>
    <t>Dorin Saramet</t>
  </si>
  <si>
    <t>Constantin Liculescu</t>
  </si>
  <si>
    <t>Ariel Pontes</t>
  </si>
  <si>
    <t>Ivan Ferencz</t>
  </si>
  <si>
    <t>Andrei Gird</t>
  </si>
  <si>
    <t>Alexandru Axinte</t>
  </si>
  <si>
    <t>Teodor Vinersariu</t>
  </si>
  <si>
    <t>Alexandru Ifrim</t>
  </si>
  <si>
    <t>Snorri Vidars</t>
  </si>
  <si>
    <t>Andrei Dobrescu</t>
  </si>
  <si>
    <t>Vlad Nauncef</t>
  </si>
  <si>
    <t>Costi Cirstea</t>
  </si>
  <si>
    <t>Emanuel Maxim</t>
  </si>
  <si>
    <t>Vlad Solomon</t>
  </si>
  <si>
    <t>Mihai Iancu</t>
  </si>
  <si>
    <t>Alexandru Stanciu</t>
  </si>
  <si>
    <t>Andrei Serban</t>
  </si>
  <si>
    <t>Tudor Sava</t>
  </si>
  <si>
    <t>Robert Acatrinei</t>
  </si>
  <si>
    <t>Lucian Cerbu</t>
  </si>
  <si>
    <t>Adam Hamdan</t>
  </si>
  <si>
    <t>Silviu Craciun</t>
  </si>
  <si>
    <t>Anthony Mehanna</t>
  </si>
  <si>
    <t>Daniel Moisescu</t>
  </si>
  <si>
    <t>Cosmin Ciobotea</t>
  </si>
  <si>
    <t>Giovanni Harduin</t>
  </si>
  <si>
    <t>Alexandru Andrei</t>
  </si>
  <si>
    <t>Samer Dahoud</t>
  </si>
  <si>
    <t>Jeremy Brehault</t>
  </si>
  <si>
    <t>Yoann Fisher</t>
  </si>
  <si>
    <t>Bogdan Turcu</t>
  </si>
  <si>
    <t>Sergiu Duda</t>
  </si>
  <si>
    <t>Lidor Dandeker</t>
  </si>
  <si>
    <t>Gabriel Luna</t>
  </si>
  <si>
    <t>Luca Ciceu</t>
  </si>
  <si>
    <t>Dorin Ilie</t>
  </si>
  <si>
    <t>Fabrizio Ghita</t>
  </si>
  <si>
    <t>Vlad Ghentu</t>
  </si>
  <si>
    <t>Razvan Costea</t>
  </si>
  <si>
    <t>Florin Amzoiu</t>
  </si>
  <si>
    <t>Daniel Amariei</t>
  </si>
  <si>
    <t>Cristian Zetea</t>
  </si>
  <si>
    <t>Rares Gireada</t>
  </si>
  <si>
    <t>Razvan Ciobanu</t>
  </si>
  <si>
    <t>Andrei Nutu</t>
  </si>
  <si>
    <t>Theo Grecu</t>
  </si>
  <si>
    <t>Dan Popa</t>
  </si>
  <si>
    <t>Mihai Ciobota</t>
  </si>
  <si>
    <t>Axel Croy</t>
  </si>
  <si>
    <t>Glenn Genereaux</t>
  </si>
  <si>
    <t>Szigyarto Boti</t>
  </si>
  <si>
    <t>Sebestyen Zoltan</t>
  </si>
  <si>
    <t>Szabo Laszlo</t>
  </si>
  <si>
    <t>Meszaros Tibor</t>
  </si>
  <si>
    <t>Laczko Alpar</t>
  </si>
  <si>
    <t>Laszlo Peter</t>
  </si>
  <si>
    <t>Balint Andras</t>
  </si>
  <si>
    <t>Meszaros Tubor</t>
  </si>
  <si>
    <t>Zsombori Attila</t>
  </si>
  <si>
    <t>Hajdu Levente</t>
  </si>
  <si>
    <t>Bereczki-Orban Andras</t>
  </si>
  <si>
    <t>Nyisztor Istvan</t>
  </si>
  <si>
    <t>Tamas Mark</t>
  </si>
  <si>
    <t>Hegyi Arpad</t>
  </si>
  <si>
    <t>Szabo Attila</t>
  </si>
  <si>
    <t>Both Lorant</t>
  </si>
  <si>
    <t>Csibi-Kuti Tamas</t>
  </si>
  <si>
    <t>Lurcza Akos</t>
  </si>
  <si>
    <t>Szentes Zsolt</t>
  </si>
  <si>
    <t>Szocs Botond</t>
  </si>
  <si>
    <t>FLORIAN SOVAC</t>
  </si>
  <si>
    <t>ALEXANDRU DRAGOMIR</t>
  </si>
  <si>
    <t>Alex Frone</t>
  </si>
  <si>
    <t>Radu Eduard</t>
  </si>
  <si>
    <t>Constantin Albert</t>
  </si>
  <si>
    <t>Moisescu Ionut</t>
  </si>
  <si>
    <t>Robert Petrut</t>
  </si>
  <si>
    <t>Alex Petrut</t>
  </si>
  <si>
    <t>Paolo Gavrea</t>
  </si>
  <si>
    <t>Alex Tone</t>
  </si>
  <si>
    <t>Cosmin Pojar</t>
  </si>
  <si>
    <t>Iamandi Alexandru</t>
  </si>
  <si>
    <t>Antonio Messina</t>
  </si>
  <si>
    <t>Alex Poroshyn</t>
  </si>
  <si>
    <t>Sebastian Andrei</t>
  </si>
  <si>
    <t>Giuliano Bentivoglio</t>
  </si>
  <si>
    <t>Sebastian Sliwakowski</t>
  </si>
  <si>
    <t>Marcus Has</t>
  </si>
  <si>
    <t>Dylan Doe</t>
  </si>
  <si>
    <t>Antonio Doe</t>
  </si>
  <si>
    <t>Tulkos Tamas</t>
  </si>
  <si>
    <t>Gyulai Bertalan</t>
  </si>
  <si>
    <t>Yaya Oums</t>
  </si>
  <si>
    <t>Kali Classic Doubles</t>
  </si>
  <si>
    <t>Andrei Musteata</t>
  </si>
  <si>
    <t>Ciprian Tanase</t>
  </si>
  <si>
    <t>Alpas Szarvas</t>
  </si>
  <si>
    <t>Eross Levente</t>
  </si>
  <si>
    <t>Gal Zsolt</t>
  </si>
  <si>
    <t>Vicenet Clerc</t>
  </si>
  <si>
    <t>Alexandru Iamandi</t>
  </si>
  <si>
    <t>Alexandru State</t>
  </si>
  <si>
    <t>3. Pielachtal Leonhart Masters</t>
  </si>
  <si>
    <t>FUS Slovak Rosengart</t>
  </si>
  <si>
    <t>3. Sudburgerland Open</t>
  </si>
  <si>
    <t>Hall of Fame</t>
  </si>
  <si>
    <t>Pielachtal Tornado Masters</t>
  </si>
  <si>
    <t>Tornado World Series</t>
  </si>
  <si>
    <t>Varna Masters</t>
  </si>
  <si>
    <t>Annamaria Labaditis</t>
  </si>
  <si>
    <t>Valentina Marin</t>
  </si>
  <si>
    <t>Isabela Oancea</t>
  </si>
  <si>
    <t>Julieta Pop</t>
  </si>
  <si>
    <t>Otilia Ciocirlan</t>
  </si>
  <si>
    <t>Gabriela Fratila</t>
  </si>
  <si>
    <t>Diana Dumitru</t>
  </si>
  <si>
    <t>Diana Lita</t>
  </si>
  <si>
    <t>Diana Dan</t>
  </si>
  <si>
    <t>Alina Pipko</t>
  </si>
  <si>
    <t>Alexandra Croitoru</t>
  </si>
  <si>
    <t>Alexandra Stanciu</t>
  </si>
  <si>
    <t>Mihaela Ivancea</t>
  </si>
  <si>
    <t>Adina Costache</t>
  </si>
  <si>
    <t>Andreea Constandinescu</t>
  </si>
  <si>
    <t>Roxana Constantinescu</t>
  </si>
  <si>
    <t>Andreea Nimigean</t>
  </si>
  <si>
    <t>Maria Tanase</t>
  </si>
  <si>
    <t>Amina Pazushkina</t>
  </si>
  <si>
    <t>Arina Pazushkina</t>
  </si>
  <si>
    <t>Alexandra Bitoiu</t>
  </si>
  <si>
    <t>Alina Scurtu</t>
  </si>
  <si>
    <t>Teodora Musteata-Cacoveanu</t>
  </si>
  <si>
    <t>Iulia Cernat</t>
  </si>
  <si>
    <t>Diana Nicapopi</t>
  </si>
  <si>
    <t>Kiana Pascenco</t>
  </si>
  <si>
    <t>Orsolya Virag</t>
  </si>
  <si>
    <t>Ana Burs</t>
  </si>
  <si>
    <t>Catalina Done</t>
  </si>
  <si>
    <t>Ana Isac</t>
  </si>
  <si>
    <t>Raluca Pica</t>
  </si>
  <si>
    <t>Adonia Kurko</t>
  </si>
  <si>
    <t>Ioana Dinu</t>
  </si>
  <si>
    <t>Irenke Boldizsar</t>
  </si>
  <si>
    <t>Ildiko Fulop</t>
  </si>
  <si>
    <t>Catalina Neacsu</t>
  </si>
  <si>
    <t>Rheea Kurko</t>
  </si>
  <si>
    <t>Roxana Coman</t>
  </si>
  <si>
    <t>Andreea Roata Dumitru</t>
  </si>
  <si>
    <t>Eszter Sandor</t>
  </si>
  <si>
    <t>Clara Brasoveanu</t>
  </si>
  <si>
    <t>Eniko Ienei</t>
  </si>
  <si>
    <t>Andreia Milea</t>
  </si>
  <si>
    <t>Ana-Maria Barna</t>
  </si>
  <si>
    <t>Catalina Dobre</t>
  </si>
  <si>
    <t>Mihaela Papuc</t>
  </si>
  <si>
    <t>Ioana Cucoreanu</t>
  </si>
  <si>
    <t>Delia Nitu</t>
  </si>
  <si>
    <t>Corina Vlad</t>
  </si>
  <si>
    <t>Mihaela Budescu</t>
  </si>
  <si>
    <t>Ioana Oprea</t>
  </si>
  <si>
    <t>Irina Dumitrescu</t>
  </si>
  <si>
    <t>Dana Cucoreanu</t>
  </si>
  <si>
    <t>Denisa Ghica</t>
  </si>
  <si>
    <t>Madalina Popescu</t>
  </si>
  <si>
    <t>Mariia Mizhevska</t>
  </si>
  <si>
    <t>Andreea Maria</t>
  </si>
  <si>
    <t>Monaco Vittoria</t>
  </si>
  <si>
    <t>Andreea Stirbu</t>
  </si>
  <si>
    <t>Teodora Jianu</t>
  </si>
  <si>
    <t>Loredana Andrei</t>
  </si>
  <si>
    <t>Cristina Ion</t>
  </si>
  <si>
    <t>Mia Mihaela</t>
  </si>
  <si>
    <t>Teodora Baciu</t>
  </si>
  <si>
    <t>Roxana Craciun</t>
  </si>
  <si>
    <t>Diana Junique</t>
  </si>
  <si>
    <t>Miruna Nafureanu</t>
  </si>
  <si>
    <t>Andreea Haba</t>
  </si>
  <si>
    <t>Alexandra Radulescu</t>
  </si>
  <si>
    <t>Ioana Ghitulescu</t>
  </si>
  <si>
    <t>Corina Popa</t>
  </si>
  <si>
    <t>Silvia Pompieru</t>
  </si>
  <si>
    <t>Elena Stirbu</t>
  </si>
  <si>
    <t>Andreea Buican</t>
  </si>
  <si>
    <t>Iulia Balta</t>
  </si>
  <si>
    <t>Daniela Albu</t>
  </si>
  <si>
    <t>Ana Maria Ene</t>
  </si>
  <si>
    <t>Madalina Postelicu</t>
  </si>
  <si>
    <t>Ana Maria Vioiu</t>
  </si>
  <si>
    <t>Adriana Manescu</t>
  </si>
  <si>
    <t>Roxana Drilia</t>
  </si>
  <si>
    <t>Maria Soloman</t>
  </si>
  <si>
    <t>Teodora Chiru</t>
  </si>
  <si>
    <t>Madalina Burtea</t>
  </si>
  <si>
    <t>Cristina Marcu</t>
  </si>
  <si>
    <t>Derya Cakmak</t>
  </si>
  <si>
    <t>Mihalyfalvi Monika</t>
  </si>
  <si>
    <t>Kiss Borbala</t>
  </si>
  <si>
    <t>DARIA POPA</t>
  </si>
  <si>
    <t>CROTORU AEXANDRA</t>
  </si>
  <si>
    <t>IULIANA TURLACU</t>
  </si>
  <si>
    <t>Sabina Mihai</t>
  </si>
  <si>
    <t>Miruna Albu</t>
  </si>
  <si>
    <t>Anda Popa</t>
  </si>
  <si>
    <t>Igyarto Orsolya</t>
  </si>
  <si>
    <t>Delia Barchizeanu</t>
  </si>
  <si>
    <t>Denisse Tone</t>
  </si>
  <si>
    <t>Diana Nicoleta</t>
  </si>
  <si>
    <t>Irina Ornea</t>
  </si>
  <si>
    <t>Alina Apetrei</t>
  </si>
  <si>
    <t>Wolfpack Open 02</t>
  </si>
  <si>
    <t>Summer Kick-Off</t>
  </si>
  <si>
    <t>Szabo Csongor</t>
  </si>
  <si>
    <t>Oszkar Sandor</t>
  </si>
  <si>
    <t>Ravan Motoc</t>
  </si>
  <si>
    <t>Tobias Andras</t>
  </si>
  <si>
    <t>Alin Pojar</t>
  </si>
  <si>
    <t>Hunor Istvani</t>
  </si>
  <si>
    <t>Kovacs Barna</t>
  </si>
  <si>
    <t>Nagy Matyas</t>
  </si>
  <si>
    <t>Tudor Teofanescu</t>
  </si>
  <si>
    <t>Vlad Moca-Grama</t>
  </si>
  <si>
    <t>Mihaita Savin</t>
  </si>
  <si>
    <t>Poroshyn Mykola</t>
  </si>
  <si>
    <t>Urse Razvan</t>
  </si>
  <si>
    <t>Demenyi Robert</t>
  </si>
  <si>
    <t>London Masters II</t>
  </si>
  <si>
    <t>Titanilla Bacs</t>
  </si>
  <si>
    <t>Ildiko Bodor</t>
  </si>
  <si>
    <t xml:space="preserve">Scheitli Krisztina </t>
  </si>
  <si>
    <t>Borbala Kiss</t>
  </si>
  <si>
    <t>Gorea Tunde</t>
  </si>
  <si>
    <t>Ioana Luca</t>
  </si>
  <si>
    <t>Teodora Musteata</t>
  </si>
  <si>
    <t>Dobre Catalina</t>
  </si>
  <si>
    <t>Transylvanian Slingers - Ch. 12</t>
  </si>
  <si>
    <t>Kali Vday MD</t>
  </si>
  <si>
    <t>Summer Kick-Off MD</t>
  </si>
  <si>
    <t>Mihály László</t>
  </si>
  <si>
    <t>Nagy Mátyás</t>
  </si>
  <si>
    <t>Makó Dominika</t>
  </si>
  <si>
    <t>Orsi Virag</t>
  </si>
  <si>
    <t>Larisa Blanaru</t>
  </si>
  <si>
    <t>Daniela Bulete</t>
  </si>
  <si>
    <t>Carolina Ivancenco</t>
  </si>
  <si>
    <t>Diana Janique</t>
  </si>
  <si>
    <t>Isabela Weinstein</t>
  </si>
  <si>
    <t>Cristi Balas</t>
  </si>
  <si>
    <t>Anca Antohe</t>
  </si>
  <si>
    <t>Albu Miruna</t>
  </si>
  <si>
    <t>Popa Anda</t>
  </si>
  <si>
    <t>Robert Acatrine</t>
  </si>
  <si>
    <t>Ivancea Mihaela</t>
  </si>
  <si>
    <t>Mititelu Damian</t>
  </si>
  <si>
    <t>Mick Kunath</t>
  </si>
  <si>
    <t>Mitra Tamas</t>
  </si>
  <si>
    <t>Nagy Dorottya</t>
  </si>
  <si>
    <t>Wolfpack Bucharest Challenger #9 OS</t>
  </si>
  <si>
    <t>Sofia Grand Masters</t>
  </si>
  <si>
    <t>Reg</t>
  </si>
  <si>
    <t>North East Open</t>
  </si>
  <si>
    <t>Vienna Open</t>
  </si>
  <si>
    <t>Hills Pro</t>
  </si>
  <si>
    <t>European Tornado Open</t>
  </si>
  <si>
    <t>Bonzini Worlds</t>
  </si>
  <si>
    <t>Bonn Open</t>
  </si>
  <si>
    <t>Croatia Open</t>
  </si>
  <si>
    <t>Garlando Worlds</t>
  </si>
  <si>
    <t>Tornado Worlds</t>
  </si>
  <si>
    <t>Leonhart Worlds</t>
  </si>
  <si>
    <t>Sofia Grand</t>
  </si>
  <si>
    <t>Bad Neustadt</t>
  </si>
  <si>
    <t>Montreuil</t>
  </si>
  <si>
    <t>P4P Championships</t>
  </si>
  <si>
    <t>Niki Adams</t>
  </si>
  <si>
    <t>Issy</t>
  </si>
  <si>
    <t>Austrian Leo Open</t>
  </si>
  <si>
    <t>Open Evry</t>
  </si>
  <si>
    <t>Hoenheim</t>
  </si>
  <si>
    <t>WS 1000</t>
  </si>
  <si>
    <t>Wolfpack Bucharest
MiniChallenger #1 OD</t>
  </si>
  <si>
    <t>Wolfpack Bucharest 
MiniChallenger #3 OD</t>
  </si>
  <si>
    <t>Wolfpack Bucharest 
MiniChallenger #4 OD MD</t>
  </si>
  <si>
    <t>Wolfpack Bucharest 
MiniChallenger #5 OD</t>
  </si>
  <si>
    <t>Wolfpack Bucharest 
MiniChallenger #6 OD</t>
  </si>
  <si>
    <t>Wolfpack Bucharest 
MiniChallenger #7 OD</t>
  </si>
  <si>
    <t>Wolfpack Bucharest 
MiniChallenger #8 OD</t>
  </si>
  <si>
    <t>Wolfpack Bucharest 
MiniChallenger #9 OD MD</t>
  </si>
  <si>
    <t>Space Rebels MiniChallenger #1 OD</t>
  </si>
  <si>
    <t>Space Rebels MiniChallenger #2 OD</t>
  </si>
  <si>
    <t>Under Cup</t>
  </si>
  <si>
    <t>Space Rebels Challenger</t>
  </si>
  <si>
    <t>Local</t>
  </si>
  <si>
    <t>Richard Marsh</t>
  </si>
  <si>
    <t>Stephen Lyall</t>
  </si>
  <si>
    <t>Nume</t>
  </si>
  <si>
    <t>Under Cup Jan 2023</t>
  </si>
  <si>
    <t>Space Rebels Challenger Feb 2023</t>
  </si>
  <si>
    <t>Wolfpack Bucharest
MiniChallenger #1 OS</t>
  </si>
  <si>
    <t>Wolfpack Bucharest 
MiniChallenger #2 OS MD</t>
  </si>
  <si>
    <t>Wolfpack Bucharest 
MiniChallenger #3 OS</t>
  </si>
  <si>
    <t>Space Rebels MiniChallenger #1 OS</t>
  </si>
  <si>
    <t>Tornado Worlsd</t>
  </si>
  <si>
    <t>Transylvanian Slingers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</si>
</sst>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mmm\-yyyy"/>
    <numFmt numFmtId="166" formatCode="mmm&quot;-&quot;yyyy"/>
  </numFmts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FFFFFF"/>
      <name val="&quot;Proxima Nova&quot;"/>
    </font>
    <font>
      <b/>
      <sz val="9"/>
      <color rgb="FF000000"/>
      <name val="&quot;Proxima Nova&quot;"/>
    </font>
    <font>
      <sz val="10"/>
      <color theme="1"/>
      <name val="Arial"/>
      <scheme val="minor"/>
    </font>
    <font>
      <sz val="9"/>
      <color rgb="FF000000"/>
      <name val="&quot;Proxima Nova&quot;"/>
    </font>
    <font>
      <b/>
      <sz val="10"/>
      <color rgb="FFFFFFFF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6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8" fillId="11" borderId="0" xfId="0" applyFont="1" applyFill="1" applyAlignment="1">
      <alignment horizontal="center" wrapText="1"/>
    </xf>
    <xf numFmtId="0" fontId="6" fillId="12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wrapText="1"/>
    </xf>
    <xf numFmtId="0" fontId="8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wrapText="1"/>
    </xf>
    <xf numFmtId="164" fontId="8" fillId="13" borderId="0" xfId="0" applyNumberFormat="1" applyFont="1" applyFill="1" applyAlignment="1">
      <alignment horizontal="center" wrapText="1"/>
    </xf>
    <xf numFmtId="164" fontId="8" fillId="14" borderId="0" xfId="0" applyNumberFormat="1" applyFont="1" applyFill="1" applyAlignment="1">
      <alignment horizontal="center" vertical="center" wrapText="1"/>
    </xf>
    <xf numFmtId="164" fontId="8" fillId="14" borderId="0" xfId="0" applyNumberFormat="1" applyFont="1" applyFill="1" applyAlignment="1">
      <alignment horizontal="center" wrapText="1"/>
    </xf>
    <xf numFmtId="0" fontId="8" fillId="13" borderId="0" xfId="0" applyFont="1" applyFill="1" applyAlignment="1">
      <alignment horizontal="center" wrapText="1"/>
    </xf>
    <xf numFmtId="0" fontId="8" fillId="10" borderId="11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8" fillId="1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3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8" fillId="11" borderId="0" xfId="0" applyFont="1" applyFill="1" applyAlignment="1">
      <alignment horizontal="center" vertical="top" wrapText="1"/>
    </xf>
    <xf numFmtId="165" fontId="8" fillId="13" borderId="0" xfId="0" applyNumberFormat="1" applyFont="1" applyFill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8" fillId="11" borderId="0" xfId="0" applyFont="1" applyFill="1" applyAlignment="1">
      <alignment horizontal="center" vertical="center" wrapText="1"/>
    </xf>
    <xf numFmtId="164" fontId="8" fillId="13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top"/>
    </xf>
    <xf numFmtId="166" fontId="8" fillId="13" borderId="0" xfId="0" applyNumberFormat="1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center" textRotation="255"/>
    </xf>
    <xf numFmtId="0" fontId="0" fillId="0" borderId="0" xfId="0"/>
    <xf numFmtId="0" fontId="8" fillId="10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showGridLines="0" topLeftCell="C1" workbookViewId="0"/>
  </sheetViews>
  <sheetFormatPr defaultColWidth="12.5703125" defaultRowHeight="15.75" customHeight="1"/>
  <cols>
    <col min="1" max="2" width="12.5703125" hidden="1" customWidth="1"/>
    <col min="3" max="3" width="21.140625" customWidth="1"/>
  </cols>
  <sheetData>
    <row r="1" spans="1: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4">
        <v>1</v>
      </c>
      <c r="B2" s="4">
        <v>20</v>
      </c>
      <c r="C2" s="5" t="s">
        <v>13</v>
      </c>
      <c r="D2" s="6">
        <v>1000</v>
      </c>
      <c r="E2" s="6">
        <v>900</v>
      </c>
      <c r="F2" s="6">
        <v>800</v>
      </c>
      <c r="G2" s="6">
        <v>700</v>
      </c>
      <c r="H2" s="6">
        <v>600</v>
      </c>
      <c r="I2" s="6">
        <v>500</v>
      </c>
      <c r="J2" s="6">
        <v>400</v>
      </c>
      <c r="K2" s="6">
        <v>300</v>
      </c>
      <c r="L2" s="6">
        <v>200</v>
      </c>
      <c r="M2" s="6">
        <v>100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4">
        <v>2</v>
      </c>
      <c r="B3" s="4">
        <v>18</v>
      </c>
      <c r="C3" s="5" t="s">
        <v>14</v>
      </c>
      <c r="D3" s="6">
        <v>750</v>
      </c>
      <c r="E3" s="6">
        <v>675</v>
      </c>
      <c r="F3" s="6">
        <v>600</v>
      </c>
      <c r="G3" s="6">
        <v>525</v>
      </c>
      <c r="H3" s="6">
        <v>450</v>
      </c>
      <c r="I3" s="6">
        <v>375</v>
      </c>
      <c r="J3" s="6">
        <v>300</v>
      </c>
      <c r="K3" s="6">
        <v>225</v>
      </c>
      <c r="L3" s="6">
        <v>150</v>
      </c>
      <c r="M3" s="6">
        <v>75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>
      <c r="A4" s="4">
        <v>3</v>
      </c>
      <c r="B4" s="4">
        <v>16</v>
      </c>
      <c r="C4" s="5" t="s">
        <v>15</v>
      </c>
      <c r="D4" s="6">
        <v>500</v>
      </c>
      <c r="E4" s="6">
        <v>450</v>
      </c>
      <c r="F4" s="6">
        <v>400</v>
      </c>
      <c r="G4" s="6">
        <v>350</v>
      </c>
      <c r="H4" s="6">
        <v>300</v>
      </c>
      <c r="I4" s="6">
        <v>250</v>
      </c>
      <c r="J4" s="6">
        <v>200</v>
      </c>
      <c r="K4" s="6">
        <v>150</v>
      </c>
      <c r="L4" s="6">
        <v>100</v>
      </c>
      <c r="M4" s="6">
        <v>50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4">
        <v>4</v>
      </c>
      <c r="B5" s="4">
        <v>14</v>
      </c>
      <c r="C5" s="5" t="s">
        <v>16</v>
      </c>
      <c r="D5" s="6">
        <v>250</v>
      </c>
      <c r="E5" s="6">
        <v>225</v>
      </c>
      <c r="F5" s="6">
        <v>200</v>
      </c>
      <c r="G5" s="6">
        <v>175</v>
      </c>
      <c r="H5" s="6">
        <v>150</v>
      </c>
      <c r="I5" s="6">
        <v>125</v>
      </c>
      <c r="J5" s="6">
        <v>100</v>
      </c>
      <c r="K5" s="6">
        <v>75</v>
      </c>
      <c r="L5" s="6">
        <v>50</v>
      </c>
      <c r="M5" s="6">
        <v>25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>
      <c r="A6" s="4">
        <v>5</v>
      </c>
      <c r="B6" s="4">
        <v>12</v>
      </c>
      <c r="C6" s="5" t="s">
        <v>17</v>
      </c>
      <c r="D6" s="6">
        <v>200</v>
      </c>
      <c r="E6" s="6">
        <v>180</v>
      </c>
      <c r="F6" s="6">
        <v>160</v>
      </c>
      <c r="G6" s="6">
        <v>140</v>
      </c>
      <c r="H6" s="6">
        <v>120</v>
      </c>
      <c r="I6" s="6">
        <v>100</v>
      </c>
      <c r="J6" s="6">
        <v>80</v>
      </c>
      <c r="K6" s="6">
        <v>60</v>
      </c>
      <c r="L6" s="6">
        <v>40</v>
      </c>
      <c r="M6" s="6">
        <v>20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>
      <c r="A7" s="4">
        <v>9</v>
      </c>
      <c r="B7" s="4">
        <v>10</v>
      </c>
      <c r="C7" s="5" t="s">
        <v>18</v>
      </c>
      <c r="D7" s="6">
        <v>100</v>
      </c>
      <c r="E7" s="6">
        <v>90</v>
      </c>
      <c r="F7" s="6">
        <v>80</v>
      </c>
      <c r="G7" s="6">
        <v>70</v>
      </c>
      <c r="H7" s="6">
        <v>60</v>
      </c>
      <c r="I7" s="6">
        <v>50</v>
      </c>
      <c r="J7" s="6">
        <v>40</v>
      </c>
      <c r="K7" s="6">
        <v>30</v>
      </c>
      <c r="L7" s="6">
        <v>20</v>
      </c>
      <c r="M7" s="6">
        <v>10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>
      <c r="A8" s="4">
        <v>17</v>
      </c>
      <c r="B8" s="4">
        <v>8</v>
      </c>
      <c r="C8" s="5" t="s">
        <v>19</v>
      </c>
      <c r="D8" s="6">
        <v>50</v>
      </c>
      <c r="E8" s="6">
        <v>45</v>
      </c>
      <c r="F8" s="6">
        <v>40</v>
      </c>
      <c r="G8" s="6">
        <v>35</v>
      </c>
      <c r="H8" s="6">
        <v>30</v>
      </c>
      <c r="I8" s="6">
        <v>25</v>
      </c>
      <c r="J8" s="6">
        <v>20</v>
      </c>
      <c r="K8" s="6">
        <v>15</v>
      </c>
      <c r="L8" s="6">
        <v>10</v>
      </c>
      <c r="M8" s="6">
        <v>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>
      <c r="A9" s="4">
        <v>33</v>
      </c>
      <c r="B9" s="4">
        <v>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>
      <c r="A10" s="4">
        <v>65</v>
      </c>
      <c r="B10" s="4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>
      <c r="A11" s="4"/>
      <c r="B11" s="4"/>
      <c r="C11" s="7" t="s">
        <v>20</v>
      </c>
      <c r="D11" s="7"/>
      <c r="E11" s="7"/>
      <c r="F11" s="7"/>
      <c r="G11" s="7"/>
      <c r="H11" s="7"/>
      <c r="I11" s="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E23"/>
  <sheetViews>
    <sheetView showGridLines="0" workbookViewId="0"/>
  </sheetViews>
  <sheetFormatPr defaultColWidth="12.5703125" defaultRowHeight="15.75" customHeight="1"/>
  <cols>
    <col min="1" max="1" width="6.5703125" customWidth="1"/>
    <col min="2" max="2" width="20.5703125" customWidth="1"/>
    <col min="3" max="5" width="17.85546875" customWidth="1"/>
  </cols>
  <sheetData>
    <row r="2" spans="1:5">
      <c r="A2" s="58">
        <v>2023</v>
      </c>
      <c r="B2" s="8" t="s">
        <v>2</v>
      </c>
      <c r="C2" s="9" t="s">
        <v>3</v>
      </c>
      <c r="D2" s="10" t="s">
        <v>4</v>
      </c>
      <c r="E2" s="11" t="s">
        <v>5</v>
      </c>
    </row>
    <row r="3" spans="1:5">
      <c r="A3" s="59"/>
      <c r="B3" s="12" t="s">
        <v>21</v>
      </c>
      <c r="C3" s="13" t="s">
        <v>22</v>
      </c>
      <c r="D3" s="13" t="s">
        <v>23</v>
      </c>
      <c r="E3" s="14" t="s">
        <v>24</v>
      </c>
    </row>
    <row r="4" spans="1:5">
      <c r="A4" s="59"/>
      <c r="B4" s="12" t="s">
        <v>25</v>
      </c>
      <c r="C4" s="13" t="s">
        <v>23</v>
      </c>
      <c r="D4" s="13" t="s">
        <v>22</v>
      </c>
      <c r="E4" s="15" t="s">
        <v>26</v>
      </c>
    </row>
    <row r="5" spans="1:5">
      <c r="A5" s="59"/>
      <c r="B5" s="12" t="s">
        <v>27</v>
      </c>
      <c r="C5" s="13" t="s">
        <v>28</v>
      </c>
      <c r="D5" s="13" t="s">
        <v>29</v>
      </c>
      <c r="E5" s="14" t="s">
        <v>30</v>
      </c>
    </row>
    <row r="6" spans="1:5">
      <c r="A6" s="59"/>
      <c r="B6" s="12" t="s">
        <v>31</v>
      </c>
      <c r="C6" s="13" t="s">
        <v>28</v>
      </c>
      <c r="D6" s="13" t="s">
        <v>29</v>
      </c>
      <c r="E6" s="14" t="s">
        <v>30</v>
      </c>
    </row>
    <row r="7" spans="1:5">
      <c r="A7" s="59"/>
      <c r="B7" s="12" t="s">
        <v>32</v>
      </c>
      <c r="C7" s="13" t="s">
        <v>22</v>
      </c>
      <c r="D7" s="13" t="s">
        <v>23</v>
      </c>
      <c r="E7" s="14" t="s">
        <v>24</v>
      </c>
    </row>
    <row r="8" spans="1:5">
      <c r="A8" s="59"/>
      <c r="B8" s="12" t="s">
        <v>33</v>
      </c>
      <c r="C8" s="13" t="s">
        <v>28</v>
      </c>
      <c r="D8" s="13" t="s">
        <v>29</v>
      </c>
      <c r="E8" s="14" t="s">
        <v>30</v>
      </c>
    </row>
    <row r="9" spans="1:5">
      <c r="A9" s="59"/>
      <c r="B9" s="12" t="s">
        <v>34</v>
      </c>
      <c r="C9" s="13" t="s">
        <v>30</v>
      </c>
      <c r="D9" s="13" t="s">
        <v>28</v>
      </c>
      <c r="E9" s="14" t="s">
        <v>29</v>
      </c>
    </row>
    <row r="10" spans="1:5">
      <c r="A10" s="59"/>
      <c r="B10" s="16" t="s">
        <v>35</v>
      </c>
      <c r="C10" s="17" t="s">
        <v>36</v>
      </c>
      <c r="D10" s="17" t="s">
        <v>37</v>
      </c>
      <c r="E10" s="18"/>
    </row>
    <row r="14" spans="1:5">
      <c r="A14" s="58">
        <v>2024</v>
      </c>
      <c r="B14" s="8" t="s">
        <v>2</v>
      </c>
      <c r="C14" s="9" t="s">
        <v>3</v>
      </c>
      <c r="D14" s="10" t="s">
        <v>4</v>
      </c>
      <c r="E14" s="11" t="s">
        <v>5</v>
      </c>
    </row>
    <row r="15" spans="1:5">
      <c r="A15" s="59"/>
      <c r="B15" s="12" t="s">
        <v>21</v>
      </c>
      <c r="C15" s="13" t="s">
        <v>38</v>
      </c>
      <c r="D15" s="13" t="s">
        <v>39</v>
      </c>
      <c r="E15" s="14" t="s">
        <v>23</v>
      </c>
    </row>
    <row r="16" spans="1:5">
      <c r="A16" s="59"/>
      <c r="B16" s="12" t="s">
        <v>25</v>
      </c>
      <c r="C16" s="13" t="s">
        <v>38</v>
      </c>
      <c r="D16" s="13" t="s">
        <v>39</v>
      </c>
      <c r="E16" s="14" t="s">
        <v>23</v>
      </c>
    </row>
    <row r="17" spans="1:5">
      <c r="A17" s="59"/>
      <c r="B17" s="12" t="s">
        <v>27</v>
      </c>
      <c r="C17" s="13" t="s">
        <v>40</v>
      </c>
      <c r="D17" s="13" t="s">
        <v>29</v>
      </c>
      <c r="E17" s="14" t="s">
        <v>30</v>
      </c>
    </row>
    <row r="18" spans="1:5">
      <c r="A18" s="59"/>
      <c r="B18" s="12" t="s">
        <v>31</v>
      </c>
      <c r="C18" s="13" t="s">
        <v>40</v>
      </c>
      <c r="D18" s="14" t="s">
        <v>30</v>
      </c>
      <c r="E18" s="14" t="s">
        <v>29</v>
      </c>
    </row>
    <row r="19" spans="1:5">
      <c r="A19" s="59"/>
      <c r="B19" s="12" t="s">
        <v>32</v>
      </c>
      <c r="C19" s="13" t="s">
        <v>38</v>
      </c>
      <c r="D19" s="14" t="s">
        <v>23</v>
      </c>
      <c r="E19" s="14" t="s">
        <v>39</v>
      </c>
    </row>
    <row r="20" spans="1:5">
      <c r="A20" s="59"/>
      <c r="B20" s="12" t="s">
        <v>33</v>
      </c>
      <c r="C20" s="13" t="s">
        <v>40</v>
      </c>
      <c r="D20" s="14" t="s">
        <v>30</v>
      </c>
      <c r="E20" s="14" t="s">
        <v>29</v>
      </c>
    </row>
    <row r="21" spans="1:5">
      <c r="A21" s="59"/>
      <c r="B21" s="12" t="s">
        <v>34</v>
      </c>
      <c r="C21" s="14" t="s">
        <v>30</v>
      </c>
      <c r="D21" s="13" t="s">
        <v>40</v>
      </c>
      <c r="E21" s="14" t="s">
        <v>29</v>
      </c>
    </row>
    <row r="22" spans="1:5">
      <c r="A22" s="59"/>
      <c r="B22" s="12" t="s">
        <v>41</v>
      </c>
      <c r="C22" s="14" t="s">
        <v>42</v>
      </c>
      <c r="D22" s="13" t="s">
        <v>43</v>
      </c>
      <c r="E22" s="19" t="s">
        <v>44</v>
      </c>
    </row>
    <row r="23" spans="1:5">
      <c r="A23" s="59"/>
      <c r="B23" s="16" t="s">
        <v>35</v>
      </c>
      <c r="C23" s="20" t="s">
        <v>42</v>
      </c>
      <c r="D23" s="17" t="s">
        <v>43</v>
      </c>
      <c r="E23" s="18" t="s">
        <v>44</v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A991"/>
  <sheetViews>
    <sheetView showGridLines="0" tabSelected="1" workbookViewId="0">
      <pane xSplit="5" ySplit="6" topLeftCell="F337" activePane="bottomRight" state="frozen"/>
      <selection pane="topRight" activeCell="F1" sqref="F1"/>
      <selection pane="bottomLeft" activeCell="A7" sqref="A7"/>
      <selection pane="bottomRight" activeCell="AX1" sqref="AX1"/>
    </sheetView>
  </sheetViews>
  <sheetFormatPr defaultColWidth="12.5703125" defaultRowHeight="15.75" customHeight="1"/>
  <cols>
    <col min="1" max="1" width="9.7109375" customWidth="1"/>
    <col min="2" max="2" width="22" customWidth="1"/>
  </cols>
  <sheetData>
    <row r="1" spans="1:53">
      <c r="A1" s="21"/>
      <c r="B1" s="22"/>
      <c r="C1" s="22"/>
      <c r="D1" s="22"/>
      <c r="E1" s="22"/>
      <c r="F1" s="23" t="s">
        <v>45</v>
      </c>
      <c r="G1" s="23" t="s">
        <v>46</v>
      </c>
      <c r="H1" s="23" t="s">
        <v>47</v>
      </c>
      <c r="I1" s="23" t="s">
        <v>48</v>
      </c>
      <c r="J1" s="23" t="s">
        <v>49</v>
      </c>
      <c r="K1" s="23" t="s">
        <v>50</v>
      </c>
      <c r="L1" s="23" t="s">
        <v>51</v>
      </c>
      <c r="M1" s="23" t="s">
        <v>52</v>
      </c>
      <c r="N1" s="24" t="s">
        <v>53</v>
      </c>
      <c r="O1" s="24" t="s">
        <v>54</v>
      </c>
      <c r="P1" s="24" t="s">
        <v>55</v>
      </c>
      <c r="Q1" s="24" t="s">
        <v>56</v>
      </c>
      <c r="R1" s="24" t="s">
        <v>57</v>
      </c>
      <c r="S1" s="24" t="s">
        <v>58</v>
      </c>
      <c r="T1" s="25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</row>
    <row r="2" spans="1:53">
      <c r="A2" s="21"/>
      <c r="B2" s="22"/>
      <c r="C2" s="22"/>
      <c r="D2" s="22"/>
      <c r="E2" s="22"/>
      <c r="F2" s="23" t="s">
        <v>93</v>
      </c>
      <c r="G2" s="23" t="s">
        <v>94</v>
      </c>
      <c r="H2" s="23" t="s">
        <v>94</v>
      </c>
      <c r="I2" s="23" t="s">
        <v>95</v>
      </c>
      <c r="J2" s="23" t="s">
        <v>96</v>
      </c>
      <c r="K2" s="23" t="s">
        <v>97</v>
      </c>
      <c r="L2" s="23" t="s">
        <v>94</v>
      </c>
      <c r="M2" s="23" t="s">
        <v>94</v>
      </c>
      <c r="N2" s="24" t="s">
        <v>98</v>
      </c>
      <c r="O2" s="24" t="s">
        <v>98</v>
      </c>
      <c r="P2" s="24" t="s">
        <v>98</v>
      </c>
      <c r="Q2" s="24" t="s">
        <v>98</v>
      </c>
      <c r="R2" s="24" t="s">
        <v>98</v>
      </c>
      <c r="S2" s="24" t="s">
        <v>98</v>
      </c>
      <c r="T2" s="24" t="s">
        <v>98</v>
      </c>
      <c r="U2" t="s">
        <v>99</v>
      </c>
      <c r="V2" t="s">
        <v>99</v>
      </c>
      <c r="W2" t="s">
        <v>99</v>
      </c>
      <c r="X2" t="s">
        <v>99</v>
      </c>
      <c r="Y2" t="s">
        <v>96</v>
      </c>
      <c r="Z2" t="s">
        <v>96</v>
      </c>
      <c r="AA2" t="s">
        <v>96</v>
      </c>
      <c r="AB2" t="s">
        <v>97</v>
      </c>
      <c r="AC2" t="s">
        <v>97</v>
      </c>
      <c r="AD2" t="s">
        <v>97</v>
      </c>
      <c r="AE2" t="s">
        <v>696</v>
      </c>
      <c r="AF2" t="s">
        <v>696</v>
      </c>
      <c r="AG2" t="s">
        <v>94</v>
      </c>
      <c r="AH2" t="s">
        <v>94</v>
      </c>
      <c r="AI2" t="s">
        <v>94</v>
      </c>
      <c r="AJ2" t="s">
        <v>94</v>
      </c>
      <c r="AK2" t="s">
        <v>94</v>
      </c>
      <c r="AL2" t="s">
        <v>94</v>
      </c>
      <c r="AM2" t="s">
        <v>94</v>
      </c>
      <c r="AN2" t="s">
        <v>94</v>
      </c>
      <c r="AO2" t="s">
        <v>94</v>
      </c>
      <c r="AP2" t="s">
        <v>94</v>
      </c>
      <c r="AQ2" t="s">
        <v>94</v>
      </c>
      <c r="AR2" t="s">
        <v>94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100</v>
      </c>
      <c r="BA2" t="s">
        <v>100</v>
      </c>
    </row>
    <row r="3" spans="1:53">
      <c r="A3" s="26"/>
      <c r="B3" s="26"/>
      <c r="C3" s="27"/>
      <c r="D3" s="27"/>
      <c r="E3" s="27"/>
      <c r="F3" s="28">
        <f t="shared" ref="F3:T3" ca="1" si="0">DATEDIF(F4,NOW(),"M")</f>
        <v>8</v>
      </c>
      <c r="G3" s="28">
        <f t="shared" ca="1" si="0"/>
        <v>2</v>
      </c>
      <c r="H3" s="28">
        <f t="shared" ca="1" si="0"/>
        <v>1</v>
      </c>
      <c r="I3" s="28">
        <f t="shared" ca="1" si="0"/>
        <v>1</v>
      </c>
      <c r="J3" s="28">
        <f t="shared" ca="1" si="0"/>
        <v>1</v>
      </c>
      <c r="K3" s="28">
        <f t="shared" ca="1" si="0"/>
        <v>1</v>
      </c>
      <c r="L3" s="28">
        <f t="shared" ca="1" si="0"/>
        <v>1</v>
      </c>
      <c r="M3" s="28">
        <f t="shared" ca="1" si="0"/>
        <v>0</v>
      </c>
      <c r="N3" s="29">
        <f t="shared" ca="1" si="0"/>
        <v>7</v>
      </c>
      <c r="O3" s="29">
        <f t="shared" ca="1" si="0"/>
        <v>7</v>
      </c>
      <c r="P3" s="29">
        <f t="shared" ca="1" si="0"/>
        <v>5</v>
      </c>
      <c r="Q3" s="29">
        <f t="shared" ca="1" si="0"/>
        <v>5</v>
      </c>
      <c r="R3" s="29">
        <f t="shared" ca="1" si="0"/>
        <v>4</v>
      </c>
      <c r="S3" s="29">
        <f t="shared" ca="1" si="0"/>
        <v>2</v>
      </c>
      <c r="T3" s="30">
        <f t="shared" ca="1" si="0"/>
        <v>1</v>
      </c>
    </row>
    <row r="4" spans="1:53">
      <c r="A4" s="26"/>
      <c r="B4" s="26"/>
      <c r="C4" s="60" t="s">
        <v>101</v>
      </c>
      <c r="D4" s="61"/>
      <c r="E4" s="62"/>
      <c r="F4" s="31">
        <v>45658</v>
      </c>
      <c r="G4" s="31">
        <v>45839</v>
      </c>
      <c r="H4" s="31">
        <v>45870</v>
      </c>
      <c r="I4" s="31">
        <v>45870</v>
      </c>
      <c r="J4" s="31">
        <v>45870</v>
      </c>
      <c r="K4" s="31">
        <v>45870</v>
      </c>
      <c r="L4" s="31">
        <v>45870</v>
      </c>
      <c r="M4" s="31">
        <v>45901</v>
      </c>
      <c r="N4" s="32">
        <v>45689</v>
      </c>
      <c r="O4" s="32">
        <v>45689</v>
      </c>
      <c r="P4" s="32">
        <v>45748</v>
      </c>
      <c r="Q4" s="32">
        <v>45748</v>
      </c>
      <c r="R4" s="32">
        <v>45778</v>
      </c>
      <c r="S4" s="32">
        <v>45839</v>
      </c>
      <c r="T4" s="33">
        <v>45870</v>
      </c>
    </row>
    <row r="5" spans="1:53">
      <c r="A5" s="26"/>
      <c r="B5" s="26"/>
      <c r="C5" s="63"/>
      <c r="D5" s="64"/>
      <c r="E5" s="65"/>
      <c r="F5" s="34">
        <v>2025</v>
      </c>
      <c r="G5" s="34">
        <v>2025</v>
      </c>
      <c r="H5" s="34">
        <v>2025</v>
      </c>
      <c r="I5" s="34">
        <v>2025</v>
      </c>
      <c r="J5" s="34">
        <v>2025</v>
      </c>
      <c r="K5" s="34">
        <v>2025</v>
      </c>
      <c r="L5" s="34">
        <v>2025</v>
      </c>
      <c r="M5" s="34">
        <v>2025</v>
      </c>
      <c r="N5" s="29">
        <v>2025</v>
      </c>
      <c r="O5" s="29">
        <v>2025</v>
      </c>
      <c r="P5" s="29">
        <v>2025</v>
      </c>
      <c r="Q5" s="29">
        <v>2025</v>
      </c>
      <c r="R5" s="29">
        <v>2025</v>
      </c>
      <c r="S5" s="29">
        <v>2025</v>
      </c>
      <c r="T5" s="30">
        <v>2025</v>
      </c>
    </row>
    <row r="6" spans="1:53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 t="s">
        <v>18</v>
      </c>
      <c r="G6" s="28" t="s">
        <v>19</v>
      </c>
      <c r="H6" s="28" t="s">
        <v>19</v>
      </c>
      <c r="I6" s="28" t="s">
        <v>19</v>
      </c>
      <c r="J6" s="28" t="s">
        <v>18</v>
      </c>
      <c r="K6" s="28" t="s">
        <v>18</v>
      </c>
      <c r="L6" s="28" t="s">
        <v>19</v>
      </c>
      <c r="M6" s="28" t="s">
        <v>18</v>
      </c>
      <c r="N6" s="37" t="s">
        <v>15</v>
      </c>
      <c r="O6" s="37" t="s">
        <v>15</v>
      </c>
      <c r="P6" s="37" t="s">
        <v>15</v>
      </c>
      <c r="Q6" s="37" t="s">
        <v>16</v>
      </c>
      <c r="R6" s="37" t="s">
        <v>107</v>
      </c>
      <c r="S6" s="37" t="s">
        <v>15</v>
      </c>
      <c r="T6" s="30" t="s">
        <v>107</v>
      </c>
      <c r="U6" t="s">
        <v>19</v>
      </c>
      <c r="V6" t="s">
        <v>18</v>
      </c>
      <c r="W6" t="s">
        <v>18</v>
      </c>
      <c r="X6" t="s">
        <v>19</v>
      </c>
      <c r="Y6" t="s">
        <v>19</v>
      </c>
      <c r="Z6" t="s">
        <v>18</v>
      </c>
      <c r="AA6" t="s">
        <v>19</v>
      </c>
      <c r="AB6" t="s">
        <v>19</v>
      </c>
      <c r="AC6" t="s">
        <v>19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19</v>
      </c>
      <c r="AJ6" t="s">
        <v>19</v>
      </c>
      <c r="AK6" t="s">
        <v>19</v>
      </c>
      <c r="AL6" t="s">
        <v>19</v>
      </c>
      <c r="AM6" t="s">
        <v>19</v>
      </c>
      <c r="AN6" t="s">
        <v>19</v>
      </c>
      <c r="AO6" t="s">
        <v>19</v>
      </c>
      <c r="AP6" t="s">
        <v>19</v>
      </c>
      <c r="AQ6" t="s">
        <v>19</v>
      </c>
      <c r="AR6" t="s">
        <v>19</v>
      </c>
      <c r="AS6" t="s">
        <v>19</v>
      </c>
      <c r="AT6" t="s">
        <v>19</v>
      </c>
      <c r="AU6" t="s">
        <v>19</v>
      </c>
      <c r="AV6" t="s">
        <v>19</v>
      </c>
      <c r="AW6" t="s">
        <v>19</v>
      </c>
      <c r="AX6" t="s">
        <v>18</v>
      </c>
      <c r="AY6" t="s">
        <v>18</v>
      </c>
      <c r="AZ6" t="s">
        <v>19</v>
      </c>
      <c r="BA6" t="s">
        <v>18</v>
      </c>
    </row>
    <row r="7" spans="1:53">
      <c r="A7" s="38">
        <v>1</v>
      </c>
      <c r="B7" s="39" t="s">
        <v>22</v>
      </c>
      <c r="C7" s="38">
        <f ca="1">COUNTIFS(F7:T7,"&gt;0",$F$3:T$3,"&lt;13")</f>
        <v>6</v>
      </c>
      <c r="D7" s="38">
        <f ca="1">SUMIF($F$3:T$3,"&lt;13",F7:T7)</f>
        <v>760</v>
      </c>
      <c r="E7" s="40">
        <f ca="1">IFERROR(__xludf.DUMMYFUNCTION("ARRAY_CONSTRAIN(ARRAYFORMULA(SUMPRODUCT(LARGE(FILTER(F7:T7, F$3:T$3 &lt; 13),{1,2,3,4,5,6,7}))), 1, 1)"),760)</f>
        <v>760</v>
      </c>
      <c r="F7" s="38">
        <v>0</v>
      </c>
      <c r="G7" s="38">
        <v>35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100</v>
      </c>
      <c r="N7" s="40">
        <v>120</v>
      </c>
      <c r="O7" s="40">
        <v>0</v>
      </c>
      <c r="P7" s="40">
        <v>180</v>
      </c>
      <c r="Q7" s="40">
        <v>125</v>
      </c>
      <c r="R7" s="40">
        <v>200</v>
      </c>
      <c r="S7" s="40">
        <v>0</v>
      </c>
      <c r="T7" s="40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90</v>
      </c>
      <c r="AH7">
        <v>90</v>
      </c>
      <c r="AI7">
        <v>25</v>
      </c>
      <c r="AJ7">
        <v>50</v>
      </c>
      <c r="AK7">
        <v>45</v>
      </c>
      <c r="AL7">
        <v>0</v>
      </c>
      <c r="AM7">
        <v>35</v>
      </c>
      <c r="AN7">
        <v>50</v>
      </c>
      <c r="AO7">
        <v>40</v>
      </c>
      <c r="AP7">
        <v>45</v>
      </c>
      <c r="AQ7">
        <v>35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38">
        <v>2</v>
      </c>
      <c r="B8" s="39" t="s">
        <v>108</v>
      </c>
      <c r="C8" s="38">
        <f ca="1">COUNTIFS(F8:T8,"&gt;0",$F$3:T$3,"&lt;13")</f>
        <v>8</v>
      </c>
      <c r="D8" s="38">
        <f ca="1">SUMIF($F$3:T$3,"&lt;13",F8:T8)</f>
        <v>510</v>
      </c>
      <c r="E8" s="40">
        <f ca="1">IFERROR(__xludf.DUMMYFUNCTION("ARRAY_CONSTRAIN(ARRAYFORMULA(SUMPRODUCT(LARGE(FILTER(F8:T8, F$3:T$3 &lt; 13),{1,2,3,4,5,6,7}))), 1, 1)"),475)</f>
        <v>475</v>
      </c>
      <c r="F8" s="38">
        <v>40</v>
      </c>
      <c r="G8" s="38">
        <v>40</v>
      </c>
      <c r="H8" s="38">
        <v>0</v>
      </c>
      <c r="I8" s="38">
        <v>35</v>
      </c>
      <c r="J8" s="38">
        <v>70</v>
      </c>
      <c r="K8" s="38">
        <v>100</v>
      </c>
      <c r="L8" s="38">
        <v>45</v>
      </c>
      <c r="M8" s="38">
        <v>80</v>
      </c>
      <c r="N8" s="40">
        <v>0</v>
      </c>
      <c r="O8" s="40">
        <v>0</v>
      </c>
      <c r="P8" s="40">
        <v>0</v>
      </c>
      <c r="Q8" s="40">
        <v>0</v>
      </c>
      <c r="R8" s="40">
        <v>100</v>
      </c>
      <c r="S8" s="40">
        <v>0</v>
      </c>
      <c r="T8" s="40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80</v>
      </c>
      <c r="AH8">
        <v>80</v>
      </c>
      <c r="AI8">
        <v>40</v>
      </c>
      <c r="AJ8">
        <v>45</v>
      </c>
      <c r="AK8">
        <v>30</v>
      </c>
      <c r="AL8">
        <v>25</v>
      </c>
      <c r="AM8">
        <v>50</v>
      </c>
      <c r="AN8">
        <v>45</v>
      </c>
      <c r="AO8">
        <v>30</v>
      </c>
      <c r="AP8">
        <v>25</v>
      </c>
      <c r="AQ8">
        <v>40</v>
      </c>
      <c r="AR8">
        <v>25</v>
      </c>
      <c r="AS8">
        <v>30</v>
      </c>
      <c r="AT8">
        <v>0</v>
      </c>
      <c r="AU8">
        <v>0</v>
      </c>
      <c r="AV8">
        <v>0</v>
      </c>
      <c r="AW8">
        <v>0</v>
      </c>
      <c r="AX8">
        <v>40</v>
      </c>
      <c r="AY8">
        <v>50</v>
      </c>
      <c r="AZ8">
        <v>0</v>
      </c>
      <c r="BA8">
        <v>0</v>
      </c>
    </row>
    <row r="9" spans="1:53">
      <c r="A9" s="38">
        <v>3</v>
      </c>
      <c r="B9" s="41" t="s">
        <v>26</v>
      </c>
      <c r="C9" s="38">
        <f ca="1">COUNTIFS(F9:T9,"&gt;0",$F$3:T$3,"&lt;13")</f>
        <v>7</v>
      </c>
      <c r="D9" s="38">
        <f ca="1">SUMIF($F$3:T$3,"&lt;13",F9:T9)</f>
        <v>395</v>
      </c>
      <c r="E9" s="40">
        <f ca="1">IFERROR(__xludf.DUMMYFUNCTION("ARRAY_CONSTRAIN(ARRAYFORMULA(SUMPRODUCT(LARGE(FILTER(F9:T9, F$3:T$3 &lt; 13),{1,2,3,4,5,6,7}))), 1, 1)"),395)</f>
        <v>395</v>
      </c>
      <c r="F9" s="38">
        <v>60</v>
      </c>
      <c r="G9" s="38">
        <v>50</v>
      </c>
      <c r="H9" s="38">
        <v>25</v>
      </c>
      <c r="I9" s="38">
        <v>40</v>
      </c>
      <c r="J9" s="38">
        <v>0</v>
      </c>
      <c r="K9" s="38">
        <v>0</v>
      </c>
      <c r="L9" s="38">
        <v>40</v>
      </c>
      <c r="M9" s="38">
        <v>60</v>
      </c>
      <c r="N9" s="40">
        <v>0</v>
      </c>
      <c r="O9" s="40">
        <v>120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>
        <v>0</v>
      </c>
      <c r="V9">
        <v>0</v>
      </c>
      <c r="W9">
        <v>0</v>
      </c>
      <c r="X9">
        <v>0</v>
      </c>
      <c r="Y9">
        <v>40</v>
      </c>
      <c r="Z9">
        <v>70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30</v>
      </c>
      <c r="AK9">
        <v>0</v>
      </c>
      <c r="AL9">
        <v>0</v>
      </c>
      <c r="AM9">
        <v>30</v>
      </c>
      <c r="AN9">
        <v>40</v>
      </c>
      <c r="AO9">
        <v>0</v>
      </c>
      <c r="AP9">
        <v>0</v>
      </c>
      <c r="AQ9">
        <v>50</v>
      </c>
      <c r="AR9">
        <v>25</v>
      </c>
      <c r="AS9">
        <v>25</v>
      </c>
      <c r="AT9">
        <v>0</v>
      </c>
      <c r="AU9">
        <v>40</v>
      </c>
      <c r="AV9">
        <v>45</v>
      </c>
      <c r="AW9">
        <v>30</v>
      </c>
      <c r="AX9">
        <v>60</v>
      </c>
      <c r="AY9">
        <v>60</v>
      </c>
      <c r="AZ9">
        <v>0</v>
      </c>
      <c r="BA9">
        <v>0</v>
      </c>
    </row>
    <row r="10" spans="1:53">
      <c r="A10" s="38">
        <v>4</v>
      </c>
      <c r="B10" s="39" t="s">
        <v>23</v>
      </c>
      <c r="C10" s="38">
        <f ca="1">COUNTIFS(F10:T10,"&gt;0",$F$3:T$3,"&lt;13")</f>
        <v>4</v>
      </c>
      <c r="D10" s="38">
        <f ca="1">SUMIF($F$3:T$3,"&lt;13",F10:T10)</f>
        <v>350</v>
      </c>
      <c r="E10" s="40">
        <f ca="1">IFERROR(__xludf.DUMMYFUNCTION("ARRAY_CONSTRAIN(ARRAYFORMULA(SUMPRODUCT(LARGE(FILTER(F10:T10, F$3:T$3 &lt; 13),{1,2,3,4,5,6,7}))), 1, 1)"),350)</f>
        <v>350</v>
      </c>
      <c r="F10" s="38">
        <v>90</v>
      </c>
      <c r="G10" s="38">
        <v>0</v>
      </c>
      <c r="H10" s="38">
        <v>30</v>
      </c>
      <c r="I10" s="38">
        <v>30</v>
      </c>
      <c r="J10" s="38">
        <v>0</v>
      </c>
      <c r="K10" s="38">
        <v>0</v>
      </c>
      <c r="L10" s="38">
        <v>0</v>
      </c>
      <c r="M10" s="38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200</v>
      </c>
      <c r="T10" s="4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50</v>
      </c>
      <c r="AD10">
        <v>0</v>
      </c>
      <c r="AE10">
        <v>0</v>
      </c>
      <c r="AF10">
        <v>0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35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30</v>
      </c>
      <c r="AS10">
        <v>30</v>
      </c>
      <c r="AT10">
        <v>0</v>
      </c>
      <c r="AU10">
        <v>30</v>
      </c>
      <c r="AV10">
        <v>30</v>
      </c>
      <c r="AW10">
        <v>0</v>
      </c>
      <c r="AX10">
        <v>90</v>
      </c>
      <c r="AY10">
        <v>90</v>
      </c>
      <c r="AZ10">
        <v>0</v>
      </c>
      <c r="BA10">
        <v>0</v>
      </c>
    </row>
    <row r="11" spans="1:53">
      <c r="A11" s="38">
        <v>5</v>
      </c>
      <c r="B11" s="41" t="s">
        <v>109</v>
      </c>
      <c r="C11" s="38">
        <f ca="1">COUNTIFS(F11:T11,"&gt;0",$F$3:T$3,"&lt;13")</f>
        <v>6</v>
      </c>
      <c r="D11" s="38">
        <f ca="1">SUMIF($F$3:T$3,"&lt;13",F11:T11)</f>
        <v>350</v>
      </c>
      <c r="E11" s="40">
        <f ca="1">IFERROR(__xludf.DUMMYFUNCTION("ARRAY_CONSTRAIN(ARRAYFORMULA(SUMPRODUCT(LARGE(FILTER(F11:T11, F$3:T$3 &lt; 13),{1,2,3,4,5,6,7}))), 1, 1)"),350)</f>
        <v>350</v>
      </c>
      <c r="F11" s="38">
        <v>40</v>
      </c>
      <c r="G11" s="38">
        <v>0</v>
      </c>
      <c r="H11" s="38">
        <v>40</v>
      </c>
      <c r="I11" s="38">
        <v>0</v>
      </c>
      <c r="J11" s="38">
        <v>0</v>
      </c>
      <c r="K11" s="38">
        <v>60</v>
      </c>
      <c r="L11" s="38">
        <v>30</v>
      </c>
      <c r="M11" s="38">
        <v>80</v>
      </c>
      <c r="N11" s="40">
        <v>0</v>
      </c>
      <c r="O11" s="40">
        <v>0</v>
      </c>
      <c r="P11" s="40">
        <v>0</v>
      </c>
      <c r="Q11" s="40">
        <v>0</v>
      </c>
      <c r="R11" s="40">
        <v>100</v>
      </c>
      <c r="S11" s="40">
        <v>0</v>
      </c>
      <c r="T11" s="40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80</v>
      </c>
      <c r="AH11">
        <v>80</v>
      </c>
      <c r="AI11">
        <v>40</v>
      </c>
      <c r="AJ11">
        <v>40</v>
      </c>
      <c r="AK11">
        <v>30</v>
      </c>
      <c r="AL11">
        <v>0</v>
      </c>
      <c r="AM11">
        <v>40</v>
      </c>
      <c r="AN11">
        <v>30</v>
      </c>
      <c r="AO11">
        <v>20</v>
      </c>
      <c r="AP11">
        <v>30</v>
      </c>
      <c r="AQ11">
        <v>30</v>
      </c>
      <c r="AR11">
        <v>40</v>
      </c>
      <c r="AS11">
        <v>25</v>
      </c>
      <c r="AT11">
        <v>35</v>
      </c>
      <c r="AU11">
        <v>45</v>
      </c>
      <c r="AV11">
        <v>30</v>
      </c>
      <c r="AW11">
        <v>35</v>
      </c>
      <c r="AX11">
        <v>40</v>
      </c>
      <c r="AY11">
        <v>50</v>
      </c>
      <c r="AZ11">
        <v>0</v>
      </c>
      <c r="BA11">
        <v>0</v>
      </c>
    </row>
    <row r="12" spans="1:53">
      <c r="A12" s="38">
        <v>6</v>
      </c>
      <c r="B12" s="41" t="s">
        <v>110</v>
      </c>
      <c r="C12" s="38">
        <f ca="1">COUNTIFS(F12:T12,"&gt;0",$F$3:T$3,"&lt;13")</f>
        <v>3</v>
      </c>
      <c r="D12" s="38">
        <f ca="1">SUMIF($F$3:T$3,"&lt;13",F12:T12)</f>
        <v>345</v>
      </c>
      <c r="E12" s="40">
        <f ca="1">IFERROR(__xludf.DUMMYFUNCTION("ARRAY_CONSTRAIN(ARRAYFORMULA(SUMPRODUCT(LARGE(FILTER(F12:T12, F$3:T$3 &lt; 13),{1,2,3,4,5,6,7}))), 1, 1)"),345)</f>
        <v>345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25</v>
      </c>
      <c r="M12" s="38">
        <v>70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250</v>
      </c>
      <c r="T12" s="40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60</v>
      </c>
      <c r="AI12">
        <v>30</v>
      </c>
      <c r="AJ12">
        <v>0</v>
      </c>
      <c r="AK12">
        <v>0</v>
      </c>
      <c r="AL12">
        <v>0</v>
      </c>
      <c r="AM12">
        <v>0</v>
      </c>
      <c r="AN12">
        <v>30</v>
      </c>
      <c r="AO12">
        <v>25</v>
      </c>
      <c r="AP12">
        <v>0</v>
      </c>
      <c r="AQ12">
        <v>0</v>
      </c>
      <c r="AR12">
        <v>25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s="38">
        <v>7</v>
      </c>
      <c r="B13" s="39" t="s">
        <v>111</v>
      </c>
      <c r="C13" s="38">
        <f ca="1">COUNTIFS(F13:T13,"&gt;0",$F$3:T$3,"&lt;13")</f>
        <v>6</v>
      </c>
      <c r="D13" s="38">
        <f ca="1">SUMIF($F$3:T$3,"&lt;13",F13:T13)</f>
        <v>265</v>
      </c>
      <c r="E13" s="40">
        <f ca="1">IFERROR(__xludf.DUMMYFUNCTION("ARRAY_CONSTRAIN(ARRAYFORMULA(SUMPRODUCT(LARGE(FILTER(F13:T13, F$3:T$3 &lt; 13),{1,2,3,4,5,6,7}))), 1, 1)"),265)</f>
        <v>265</v>
      </c>
      <c r="F13" s="38">
        <v>50</v>
      </c>
      <c r="G13" s="38">
        <v>25</v>
      </c>
      <c r="H13" s="38">
        <v>35</v>
      </c>
      <c r="I13" s="38">
        <v>20</v>
      </c>
      <c r="J13" s="38">
        <v>0</v>
      </c>
      <c r="K13" s="38">
        <v>0</v>
      </c>
      <c r="L13" s="38">
        <v>35</v>
      </c>
      <c r="M13" s="38">
        <v>100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90</v>
      </c>
      <c r="AH13">
        <v>0</v>
      </c>
      <c r="AI13">
        <v>0</v>
      </c>
      <c r="AJ13">
        <v>0</v>
      </c>
      <c r="AK13">
        <v>50</v>
      </c>
      <c r="AL13">
        <v>50</v>
      </c>
      <c r="AM13">
        <v>45</v>
      </c>
      <c r="AN13">
        <v>35</v>
      </c>
      <c r="AO13">
        <v>0</v>
      </c>
      <c r="AP13">
        <v>25</v>
      </c>
      <c r="AQ13">
        <v>25</v>
      </c>
      <c r="AR13">
        <v>35</v>
      </c>
      <c r="AS13">
        <v>45</v>
      </c>
      <c r="AT13">
        <v>50</v>
      </c>
      <c r="AU13">
        <v>30</v>
      </c>
      <c r="AV13">
        <v>40</v>
      </c>
      <c r="AW13">
        <v>45</v>
      </c>
      <c r="AX13">
        <v>50</v>
      </c>
      <c r="AY13">
        <v>40</v>
      </c>
      <c r="AZ13">
        <v>0</v>
      </c>
      <c r="BA13">
        <v>0</v>
      </c>
    </row>
    <row r="14" spans="1:53">
      <c r="A14" s="38">
        <v>8</v>
      </c>
      <c r="B14" s="39" t="s">
        <v>112</v>
      </c>
      <c r="C14" s="38">
        <f ca="1">COUNTIFS(F14:T14,"&gt;0",$F$3:T$3,"&lt;13")</f>
        <v>4</v>
      </c>
      <c r="D14" s="38">
        <f ca="1">SUMIF($F$3:T$3,"&lt;13",F14:T14)</f>
        <v>255</v>
      </c>
      <c r="E14" s="40">
        <f ca="1">IFERROR(__xludf.DUMMYFUNCTION("ARRAY_CONSTRAIN(ARRAYFORMULA(SUMPRODUCT(LARGE(FILTER(F14:T14, F$3:T$3 &lt; 13),{1,2,3,4,5,6,7}))), 1, 1)"),255)</f>
        <v>255</v>
      </c>
      <c r="F14" s="38">
        <v>0</v>
      </c>
      <c r="G14" s="38">
        <v>0</v>
      </c>
      <c r="H14" s="38">
        <v>30</v>
      </c>
      <c r="I14" s="38">
        <v>45</v>
      </c>
      <c r="J14" s="38">
        <v>90</v>
      </c>
      <c r="K14" s="38">
        <v>0</v>
      </c>
      <c r="L14" s="38">
        <v>0</v>
      </c>
      <c r="M14" s="38">
        <v>90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>
        <v>50</v>
      </c>
      <c r="V14">
        <v>0</v>
      </c>
      <c r="W14">
        <v>100</v>
      </c>
      <c r="X14">
        <v>45</v>
      </c>
      <c r="Y14">
        <v>45</v>
      </c>
      <c r="Z14">
        <v>90</v>
      </c>
      <c r="AA14">
        <v>50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100</v>
      </c>
      <c r="AI14">
        <v>50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30</v>
      </c>
      <c r="AP14">
        <v>0</v>
      </c>
      <c r="AQ14">
        <v>0</v>
      </c>
      <c r="AR14">
        <v>30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70</v>
      </c>
      <c r="AZ14">
        <v>0</v>
      </c>
      <c r="BA14">
        <v>0</v>
      </c>
    </row>
    <row r="15" spans="1:53">
      <c r="A15" s="38">
        <v>9</v>
      </c>
      <c r="B15" s="39" t="s">
        <v>113</v>
      </c>
      <c r="C15" s="38">
        <f ca="1">COUNTIFS(F15:T15,"&gt;0",$F$3:T$3,"&lt;13")</f>
        <v>6</v>
      </c>
      <c r="D15" s="38">
        <f ca="1">SUMIF($F$3:T$3,"&lt;13",F15:T15)</f>
        <v>250</v>
      </c>
      <c r="E15" s="40">
        <f ca="1">IFERROR(__xludf.DUMMYFUNCTION("ARRAY_CONSTRAIN(ARRAYFORMULA(SUMPRODUCT(LARGE(FILTER(F15:T15, F$3:T$3 &lt; 13),{1,2,3,4,5,6,7}))), 1, 1)"),250)</f>
        <v>250</v>
      </c>
      <c r="F15" s="38">
        <v>60</v>
      </c>
      <c r="G15" s="38">
        <v>25</v>
      </c>
      <c r="H15" s="38">
        <v>20</v>
      </c>
      <c r="I15" s="38">
        <v>35</v>
      </c>
      <c r="J15" s="38">
        <v>0</v>
      </c>
      <c r="K15" s="38">
        <v>0</v>
      </c>
      <c r="L15" s="38">
        <v>50</v>
      </c>
      <c r="M15" s="38">
        <v>60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90</v>
      </c>
      <c r="AE15">
        <v>0</v>
      </c>
      <c r="AF15">
        <v>0</v>
      </c>
      <c r="AG15">
        <v>60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40</v>
      </c>
      <c r="AQ15">
        <v>25</v>
      </c>
      <c r="AR15">
        <v>20</v>
      </c>
      <c r="AS15">
        <v>50</v>
      </c>
      <c r="AT15">
        <v>40</v>
      </c>
      <c r="AU15">
        <v>30</v>
      </c>
      <c r="AV15">
        <v>30</v>
      </c>
      <c r="AW15">
        <v>30</v>
      </c>
      <c r="AX15">
        <v>60</v>
      </c>
      <c r="AY15">
        <v>60</v>
      </c>
      <c r="AZ15">
        <v>0</v>
      </c>
      <c r="BA15">
        <v>0</v>
      </c>
    </row>
    <row r="16" spans="1:53">
      <c r="A16" s="38">
        <v>10</v>
      </c>
      <c r="B16" s="41" t="s">
        <v>114</v>
      </c>
      <c r="C16" s="38">
        <f ca="1">COUNTIFS(F16:T16,"&gt;0",$F$3:T$3,"&lt;13")</f>
        <v>6</v>
      </c>
      <c r="D16" s="38">
        <f ca="1">SUMIF($F$3:T$3,"&lt;13",F16:T16)</f>
        <v>210</v>
      </c>
      <c r="E16" s="40">
        <f ca="1">IFERROR(__xludf.DUMMYFUNCTION("ARRAY_CONSTRAIN(ARRAYFORMULA(SUMPRODUCT(LARGE(FILTER(F16:T16, F$3:T$3 &lt; 13),{1,2,3,4,5,6,7}))), 1, 1)"),210)</f>
        <v>210</v>
      </c>
      <c r="F16" s="38">
        <v>40</v>
      </c>
      <c r="G16" s="38">
        <v>40</v>
      </c>
      <c r="H16" s="38">
        <v>25</v>
      </c>
      <c r="I16" s="38">
        <v>20</v>
      </c>
      <c r="J16" s="38">
        <v>0</v>
      </c>
      <c r="K16" s="38">
        <v>60</v>
      </c>
      <c r="L16" s="38">
        <v>25</v>
      </c>
      <c r="M16" s="38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38">
        <v>11</v>
      </c>
      <c r="B17" s="39" t="s">
        <v>115</v>
      </c>
      <c r="C17" s="38">
        <f ca="1">COUNTIFS(F17:T17,"&gt;0",$F$3:T$3,"&lt;13")</f>
        <v>1</v>
      </c>
      <c r="D17" s="38">
        <f ca="1">SUMIF($F$3:T$3,"&lt;13",F17:T17)</f>
        <v>200</v>
      </c>
      <c r="E17" s="40">
        <f ca="1">IFERROR(__xludf.DUMMYFUNCTION("ARRAY_CONSTRAIN(ARRAYFORMULA(SUMPRODUCT(LARGE(FILTER(F17:T17, F$3:T$3 &lt; 13),{1,2,3,4,5,6,7}))), 1, 1)"),200)</f>
        <v>200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200</v>
      </c>
      <c r="T17" s="40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25</v>
      </c>
      <c r="AT17">
        <v>50</v>
      </c>
      <c r="AU17">
        <v>0</v>
      </c>
      <c r="AV17">
        <v>35</v>
      </c>
      <c r="AW17">
        <v>0</v>
      </c>
      <c r="AX17">
        <v>0</v>
      </c>
      <c r="AY17">
        <v>100</v>
      </c>
      <c r="AZ17">
        <v>0</v>
      </c>
      <c r="BA17">
        <v>0</v>
      </c>
    </row>
    <row r="18" spans="1:53">
      <c r="A18" s="38">
        <v>12</v>
      </c>
      <c r="B18" s="41" t="s">
        <v>116</v>
      </c>
      <c r="C18" s="38">
        <f ca="1">COUNTIFS(F18:T18,"&gt;0",$F$3:T$3,"&lt;13")</f>
        <v>4</v>
      </c>
      <c r="D18" s="38">
        <f ca="1">SUMIF($F$3:T$3,"&lt;13",F18:T18)</f>
        <v>195</v>
      </c>
      <c r="E18" s="40">
        <f ca="1">IFERROR(__xludf.DUMMYFUNCTION("ARRAY_CONSTRAIN(ARRAYFORMULA(SUMPRODUCT(LARGE(FILTER(F18:T18, F$3:T$3 &lt; 13),{1,2,3,4,5,6,7}))), 1, 1)"),195)</f>
        <v>195</v>
      </c>
      <c r="F18" s="38">
        <v>0</v>
      </c>
      <c r="G18" s="38">
        <v>25</v>
      </c>
      <c r="H18" s="38">
        <v>30</v>
      </c>
      <c r="I18" s="38">
        <v>0</v>
      </c>
      <c r="J18" s="38">
        <v>0</v>
      </c>
      <c r="K18" s="38">
        <v>80</v>
      </c>
      <c r="L18" s="38">
        <v>0</v>
      </c>
      <c r="M18" s="38">
        <v>60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50</v>
      </c>
      <c r="AJ18">
        <v>0</v>
      </c>
      <c r="AK18">
        <v>0</v>
      </c>
      <c r="AL18">
        <v>25</v>
      </c>
      <c r="AM18">
        <v>25</v>
      </c>
      <c r="AN18">
        <v>30</v>
      </c>
      <c r="AO18">
        <v>25</v>
      </c>
      <c r="AP18">
        <v>0</v>
      </c>
      <c r="AQ18">
        <v>25</v>
      </c>
      <c r="AR18">
        <v>30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>
      <c r="A19" s="38">
        <v>13</v>
      </c>
      <c r="B19" s="41" t="s">
        <v>117</v>
      </c>
      <c r="C19" s="38">
        <f ca="1">COUNTIFS(F19:T19,"&gt;0",$F$3:T$3,"&lt;13")</f>
        <v>4</v>
      </c>
      <c r="D19" s="38">
        <f ca="1">SUMIF($F$3:T$3,"&lt;13",F19:T19)</f>
        <v>160</v>
      </c>
      <c r="E19" s="40">
        <f ca="1">IFERROR(__xludf.DUMMYFUNCTION("ARRAY_CONSTRAIN(ARRAYFORMULA(SUMPRODUCT(LARGE(FILTER(F19:T19, F$3:T$3 &lt; 13),{1,2,3,4,5,6,7}))), 1, 1)"),160)</f>
        <v>160</v>
      </c>
      <c r="F19" s="38">
        <v>0</v>
      </c>
      <c r="G19" s="38">
        <v>25</v>
      </c>
      <c r="H19" s="38">
        <v>0</v>
      </c>
      <c r="I19" s="38">
        <v>50</v>
      </c>
      <c r="J19" s="38">
        <v>0</v>
      </c>
      <c r="K19" s="38">
        <v>0</v>
      </c>
      <c r="L19" s="38">
        <v>25</v>
      </c>
      <c r="M19" s="38">
        <v>60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70</v>
      </c>
      <c r="AH19">
        <v>0</v>
      </c>
      <c r="AI19">
        <v>0</v>
      </c>
      <c r="AJ19">
        <v>0</v>
      </c>
      <c r="AK19">
        <v>0</v>
      </c>
      <c r="AL19">
        <v>35</v>
      </c>
      <c r="AM19">
        <v>0</v>
      </c>
      <c r="AN19">
        <v>0</v>
      </c>
      <c r="AO19">
        <v>35</v>
      </c>
      <c r="AP19">
        <v>0</v>
      </c>
      <c r="AQ19">
        <v>25</v>
      </c>
      <c r="AR19">
        <v>0</v>
      </c>
      <c r="AS19">
        <v>25</v>
      </c>
      <c r="AT19">
        <v>30</v>
      </c>
      <c r="AU19">
        <v>0</v>
      </c>
      <c r="AV19">
        <v>30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>
      <c r="A20" s="38">
        <v>14</v>
      </c>
      <c r="B20" s="41" t="s">
        <v>118</v>
      </c>
      <c r="C20" s="38">
        <f ca="1">COUNTIFS(F20:T20,"&gt;0",$F$3:T$3,"&lt;13")</f>
        <v>3</v>
      </c>
      <c r="D20" s="38">
        <f ca="1">SUMIF($F$3:T$3,"&lt;13",F20:T20)</f>
        <v>155</v>
      </c>
      <c r="E20" s="40">
        <f ca="1">IFERROR(__xludf.DUMMYFUNCTION("ARRAY_CONSTRAIN(ARRAYFORMULA(SUMPRODUCT(LARGE(FILTER(F20:T20, F$3:T$3 &lt; 13),{1,2,3,4,5,6,7}))), 1, 1)"),155)</f>
        <v>155</v>
      </c>
      <c r="F20" s="38">
        <v>0</v>
      </c>
      <c r="G20" s="38">
        <v>0</v>
      </c>
      <c r="H20" s="38">
        <v>30</v>
      </c>
      <c r="I20" s="38">
        <v>0</v>
      </c>
      <c r="J20" s="38">
        <v>0</v>
      </c>
      <c r="K20" s="38">
        <v>100</v>
      </c>
      <c r="L20" s="38">
        <v>25</v>
      </c>
      <c r="M20" s="38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40</v>
      </c>
      <c r="AC20">
        <v>0</v>
      </c>
      <c r="AD20">
        <v>100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30</v>
      </c>
      <c r="AQ20">
        <v>0</v>
      </c>
      <c r="AR20">
        <v>30</v>
      </c>
      <c r="AS20">
        <v>0</v>
      </c>
      <c r="AT20">
        <v>30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>
      <c r="A21" s="38">
        <v>15</v>
      </c>
      <c r="B21" s="41" t="s">
        <v>119</v>
      </c>
      <c r="C21" s="38">
        <f ca="1">COUNTIFS(F21:T21,"&gt;0",$F$3:T$3,"&lt;13")</f>
        <v>2</v>
      </c>
      <c r="D21" s="38">
        <f ca="1">SUMIF($F$3:T$3,"&lt;13",F21:T21)</f>
        <v>150</v>
      </c>
      <c r="E21" s="40">
        <f ca="1">IFERROR(__xludf.DUMMYFUNCTION("ARRAY_CONSTRAIN(ARRAYFORMULA(SUMPRODUCT(LARGE(FILTER(F21:T21, F$3:T$3 &lt; 13),{1,2,3,4,5,6,7}))), 1, 1)"),150)</f>
        <v>150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90</v>
      </c>
      <c r="L21" s="38">
        <v>0</v>
      </c>
      <c r="M21" s="38">
        <v>60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35</v>
      </c>
      <c r="AC21">
        <v>45</v>
      </c>
      <c r="AD21">
        <v>0</v>
      </c>
      <c r="AE21">
        <v>0</v>
      </c>
      <c r="AF21">
        <v>0</v>
      </c>
      <c r="AG21">
        <v>0</v>
      </c>
      <c r="AH21">
        <v>50</v>
      </c>
      <c r="AI21">
        <v>25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>
      <c r="A22" s="38">
        <v>16</v>
      </c>
      <c r="B22" s="41" t="s">
        <v>120</v>
      </c>
      <c r="C22" s="38">
        <f ca="1">COUNTIFS(F22:T22,"&gt;0",$F$3:T$3,"&lt;13")</f>
        <v>3</v>
      </c>
      <c r="D22" s="38">
        <f ca="1">SUMIF($F$3:T$3,"&lt;13",F22:T22)</f>
        <v>145</v>
      </c>
      <c r="E22" s="40">
        <f ca="1">IFERROR(__xludf.DUMMYFUNCTION("ARRAY_CONSTRAIN(ARRAYFORMULA(SUMPRODUCT(LARGE(FILTER(F22:T22, F$3:T$3 &lt; 13),{1,2,3,4,5,6,7}))), 1, 1)"),145)</f>
        <v>145</v>
      </c>
      <c r="F22" s="38">
        <v>0</v>
      </c>
      <c r="G22" s="38">
        <v>0</v>
      </c>
      <c r="H22" s="38">
        <v>25</v>
      </c>
      <c r="I22" s="38">
        <v>30</v>
      </c>
      <c r="J22" s="38">
        <v>0</v>
      </c>
      <c r="K22" s="38">
        <v>0</v>
      </c>
      <c r="L22" s="38">
        <v>0</v>
      </c>
      <c r="M22" s="38">
        <v>90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>
        <v>40</v>
      </c>
      <c r="V22">
        <v>0</v>
      </c>
      <c r="W22">
        <v>80</v>
      </c>
      <c r="X22">
        <v>35</v>
      </c>
      <c r="Y22">
        <v>35</v>
      </c>
      <c r="Z22">
        <v>90</v>
      </c>
      <c r="AA22">
        <v>40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100</v>
      </c>
      <c r="AI22">
        <v>45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30</v>
      </c>
      <c r="AP22">
        <v>0</v>
      </c>
      <c r="AQ22">
        <v>0</v>
      </c>
      <c r="AR22">
        <v>25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50</v>
      </c>
      <c r="AZ22">
        <v>0</v>
      </c>
      <c r="BA22">
        <v>0</v>
      </c>
    </row>
    <row r="23" spans="1:53">
      <c r="A23" s="38">
        <v>17</v>
      </c>
      <c r="B23" s="39" t="s">
        <v>121</v>
      </c>
      <c r="C23" s="38">
        <f ca="1">COUNTIFS(F23:T23,"&gt;0",$F$3:T$3,"&lt;13")</f>
        <v>2</v>
      </c>
      <c r="D23" s="38">
        <f ca="1">SUMIF($F$3:T$3,"&lt;13",F23:T23)</f>
        <v>130</v>
      </c>
      <c r="E23" s="40">
        <f ca="1">IFERROR(__xludf.DUMMYFUNCTION("ARRAY_CONSTRAIN(ARRAYFORMULA(SUMPRODUCT(LARGE(FILTER(F23:T23, F$3:T$3 &lt; 13),{1,2,3,4,5,6,7}))), 1, 1)"),130)</f>
        <v>130</v>
      </c>
      <c r="F23" s="38">
        <v>90</v>
      </c>
      <c r="G23" s="38">
        <v>0</v>
      </c>
      <c r="H23" s="38">
        <v>0</v>
      </c>
      <c r="I23" s="38">
        <v>40</v>
      </c>
      <c r="J23" s="38">
        <v>0</v>
      </c>
      <c r="K23" s="38">
        <v>0</v>
      </c>
      <c r="L23" s="38">
        <v>0</v>
      </c>
      <c r="M23" s="38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25</v>
      </c>
      <c r="AT23">
        <v>0</v>
      </c>
      <c r="AU23">
        <v>0</v>
      </c>
      <c r="AV23">
        <v>0</v>
      </c>
      <c r="AW23">
        <v>0</v>
      </c>
      <c r="AX23">
        <v>90</v>
      </c>
      <c r="AY23">
        <v>90</v>
      </c>
      <c r="AZ23">
        <v>0</v>
      </c>
      <c r="BA23">
        <v>0</v>
      </c>
    </row>
    <row r="24" spans="1:53">
      <c r="A24" s="38">
        <v>18</v>
      </c>
      <c r="B24" s="41" t="s">
        <v>122</v>
      </c>
      <c r="C24" s="38">
        <f ca="1">COUNTIFS(F24:T24,"&gt;0",$F$3:T$3,"&lt;13")</f>
        <v>2</v>
      </c>
      <c r="D24" s="38">
        <f ca="1">SUMIF($F$3:T$3,"&lt;13",F24:T24)</f>
        <v>120</v>
      </c>
      <c r="E24" s="40">
        <f ca="1">IFERROR(__xludf.DUMMYFUNCTION("ARRAY_CONSTRAIN(ARRAYFORMULA(SUMPRODUCT(LARGE(FILTER(F24:T24, F$3:T$3 &lt; 13),{1,2,3,4,5,6,7}))), 1, 1)"),120)</f>
        <v>120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60</v>
      </c>
      <c r="L24" s="38">
        <v>0</v>
      </c>
      <c r="M24" s="38">
        <v>60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>
      <c r="A25" s="38">
        <v>19</v>
      </c>
      <c r="B25" s="41" t="s">
        <v>123</v>
      </c>
      <c r="C25" s="38">
        <f ca="1">COUNTIFS(F25:T25,"&gt;0",$F$3:T$3,"&lt;13")</f>
        <v>3</v>
      </c>
      <c r="D25" s="38">
        <f ca="1">SUMIF($F$3:T$3,"&lt;13",F25:T25)</f>
        <v>110</v>
      </c>
      <c r="E25" s="40">
        <f ca="1">IFERROR(__xludf.DUMMYFUNCTION("ARRAY_CONSTRAIN(ARRAYFORMULA(SUMPRODUCT(LARGE(FILTER(F25:T25, F$3:T$3 &lt; 13),{1,2,3,4,5,6,7}))), 1, 1)"),110)</f>
        <v>110</v>
      </c>
      <c r="F25" s="38">
        <v>0</v>
      </c>
      <c r="G25" s="38">
        <v>25</v>
      </c>
      <c r="H25" s="38">
        <v>0</v>
      </c>
      <c r="I25" s="38">
        <v>0</v>
      </c>
      <c r="J25" s="38">
        <v>0</v>
      </c>
      <c r="K25" s="38">
        <v>0</v>
      </c>
      <c r="L25" s="38">
        <v>25</v>
      </c>
      <c r="M25" s="38">
        <v>60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60</v>
      </c>
      <c r="AI25">
        <v>35</v>
      </c>
      <c r="AJ25">
        <v>0</v>
      </c>
      <c r="AK25">
        <v>0</v>
      </c>
      <c r="AL25">
        <v>30</v>
      </c>
      <c r="AM25">
        <v>25</v>
      </c>
      <c r="AN25">
        <v>30</v>
      </c>
      <c r="AO25">
        <v>25</v>
      </c>
      <c r="AP25">
        <v>0</v>
      </c>
      <c r="AQ25">
        <v>25</v>
      </c>
      <c r="AR25">
        <v>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>
      <c r="A26" s="38">
        <v>20</v>
      </c>
      <c r="B26" s="39" t="s">
        <v>124</v>
      </c>
      <c r="C26" s="38">
        <f ca="1">COUNTIFS(F26:T26,"&gt;0",$F$3:T$3,"&lt;13")</f>
        <v>3</v>
      </c>
      <c r="D26" s="38">
        <f ca="1">SUMIF($F$3:T$3,"&lt;13",F26:T26)</f>
        <v>110</v>
      </c>
      <c r="E26" s="40">
        <f ca="1">IFERROR(__xludf.DUMMYFUNCTION("ARRAY_CONSTRAIN(ARRAYFORMULA(SUMPRODUCT(LARGE(FILTER(F26:T26, F$3:T$3 &lt; 13),{1,2,3,4,5,6,7}))), 1, 1)"),110)</f>
        <v>110</v>
      </c>
      <c r="F26" s="38">
        <v>0</v>
      </c>
      <c r="G26" s="38">
        <v>30</v>
      </c>
      <c r="H26" s="38">
        <v>50</v>
      </c>
      <c r="I26" s="38">
        <v>0</v>
      </c>
      <c r="J26" s="38">
        <v>0</v>
      </c>
      <c r="K26" s="38">
        <v>0</v>
      </c>
      <c r="L26" s="38">
        <v>30</v>
      </c>
      <c r="M26" s="38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A27" s="38">
        <v>21</v>
      </c>
      <c r="B27" s="41" t="s">
        <v>125</v>
      </c>
      <c r="C27" s="38">
        <f ca="1">COUNTIFS(F27:T27,"&gt;0",$F$3:T$3,"&lt;13")</f>
        <v>3</v>
      </c>
      <c r="D27" s="38">
        <f ca="1">SUMIF($F$3:T$3,"&lt;13",F27:T27)</f>
        <v>105</v>
      </c>
      <c r="E27" s="40">
        <f ca="1">IFERROR(__xludf.DUMMYFUNCTION("ARRAY_CONSTRAIN(ARRAYFORMULA(SUMPRODUCT(LARGE(FILTER(F27:T27, F$3:T$3 &lt; 13),{1,2,3,4,5,6,7}))), 1, 1)"),105)</f>
        <v>105</v>
      </c>
      <c r="F27" s="38">
        <v>0</v>
      </c>
      <c r="G27" s="38">
        <v>25</v>
      </c>
      <c r="H27" s="38">
        <v>0</v>
      </c>
      <c r="I27" s="38">
        <v>20</v>
      </c>
      <c r="J27" s="38">
        <v>0</v>
      </c>
      <c r="K27" s="38">
        <v>0</v>
      </c>
      <c r="L27" s="38">
        <v>0</v>
      </c>
      <c r="M27" s="38">
        <v>60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50</v>
      </c>
      <c r="AI27">
        <v>45</v>
      </c>
      <c r="AJ27">
        <v>0</v>
      </c>
      <c r="AK27">
        <v>30</v>
      </c>
      <c r="AL27">
        <v>0</v>
      </c>
      <c r="AM27">
        <v>30</v>
      </c>
      <c r="AN27">
        <v>30</v>
      </c>
      <c r="AO27">
        <v>0</v>
      </c>
      <c r="AP27">
        <v>0</v>
      </c>
      <c r="AQ27">
        <v>25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>
      <c r="A28" s="38">
        <v>22</v>
      </c>
      <c r="B28" s="39" t="s">
        <v>126</v>
      </c>
      <c r="C28" s="38">
        <f ca="1">COUNTIFS(F28:T28,"&gt;0",$F$3:T$3,"&lt;13")</f>
        <v>2</v>
      </c>
      <c r="D28" s="38">
        <f ca="1">SUMIF($F$3:T$3,"&lt;13",F28:T28)</f>
        <v>100</v>
      </c>
      <c r="E28" s="40">
        <f ca="1">IFERROR(__xludf.DUMMYFUNCTION("ARRAY_CONSTRAIN(ARRAYFORMULA(SUMPRODUCT(LARGE(FILTER(F28:T28, F$3:T$3 &lt; 13),{1,2,3,4,5,6,7}))), 1, 1)"),100)</f>
        <v>100</v>
      </c>
      <c r="F28" s="38">
        <v>70</v>
      </c>
      <c r="G28" s="38">
        <v>30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45</v>
      </c>
      <c r="AK28">
        <v>30</v>
      </c>
      <c r="AL28">
        <v>0</v>
      </c>
      <c r="AM28">
        <v>0</v>
      </c>
      <c r="AN28">
        <v>0</v>
      </c>
      <c r="AO28">
        <v>0</v>
      </c>
      <c r="AP28">
        <v>25</v>
      </c>
      <c r="AQ28">
        <v>30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70</v>
      </c>
      <c r="AY28">
        <v>0</v>
      </c>
      <c r="AZ28">
        <v>0</v>
      </c>
      <c r="BA28">
        <v>0</v>
      </c>
    </row>
    <row r="29" spans="1:53">
      <c r="A29" s="38">
        <v>23</v>
      </c>
      <c r="B29" s="41" t="s">
        <v>127</v>
      </c>
      <c r="C29" s="38">
        <f ca="1">COUNTIFS(F29:T29,"&gt;0",$F$3:T$3,"&lt;13")</f>
        <v>1</v>
      </c>
      <c r="D29" s="38">
        <f ca="1">SUMIF($F$3:T$3,"&lt;13",F29:T29)</f>
        <v>100</v>
      </c>
      <c r="E29" s="40">
        <f ca="1">IFERROR(__xludf.DUMMYFUNCTION("ARRAY_CONSTRAIN(ARRAYFORMULA(SUMPRODUCT(LARGE(FILTER(F29:T29, F$3:T$3 &lt; 13),{1,2,3,4,5,6,7}))), 1, 1)"),100)</f>
        <v>100</v>
      </c>
      <c r="F29" s="38">
        <v>0</v>
      </c>
      <c r="G29" s="38">
        <v>0</v>
      </c>
      <c r="H29" s="38">
        <v>0</v>
      </c>
      <c r="I29" s="38">
        <v>0</v>
      </c>
      <c r="J29" s="38">
        <v>100</v>
      </c>
      <c r="K29" s="38">
        <v>0</v>
      </c>
      <c r="L29" s="38">
        <v>0</v>
      </c>
      <c r="M29" s="38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>
        <v>25</v>
      </c>
      <c r="V29">
        <v>0</v>
      </c>
      <c r="W29">
        <v>70</v>
      </c>
      <c r="X29">
        <v>50</v>
      </c>
      <c r="Y29">
        <v>40</v>
      </c>
      <c r="Z29">
        <v>0</v>
      </c>
      <c r="AA29">
        <v>50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>
      <c r="A30" s="38">
        <v>24</v>
      </c>
      <c r="B30" s="41" t="s">
        <v>128</v>
      </c>
      <c r="C30" s="38">
        <f ca="1">COUNTIFS(F30:T30,"&gt;0",$F$3:T$3,"&lt;13")</f>
        <v>1</v>
      </c>
      <c r="D30" s="38">
        <f ca="1">SUMIF($F$3:T$3,"&lt;13",F30:T30)</f>
        <v>100</v>
      </c>
      <c r="E30" s="40">
        <f ca="1">IFERROR(__xludf.DUMMYFUNCTION("ARRAY_CONSTRAIN(ARRAYFORMULA(SUMPRODUCT(LARGE(FILTER(F30:T30, F$3:T$3 &lt; 13),{1,2,3,4,5,6,7}))), 1, 1)"),100)</f>
        <v>100</v>
      </c>
      <c r="F30" s="38">
        <v>0</v>
      </c>
      <c r="G30" s="38">
        <v>0</v>
      </c>
      <c r="H30" s="38">
        <v>0</v>
      </c>
      <c r="I30" s="38">
        <v>0</v>
      </c>
      <c r="J30" s="38">
        <v>100</v>
      </c>
      <c r="K30" s="38">
        <v>0</v>
      </c>
      <c r="L30" s="38">
        <v>0</v>
      </c>
      <c r="M30" s="38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>
        <v>30</v>
      </c>
      <c r="V30">
        <v>0</v>
      </c>
      <c r="W30">
        <v>0</v>
      </c>
      <c r="X30">
        <v>0</v>
      </c>
      <c r="Y30">
        <v>30</v>
      </c>
      <c r="Z30">
        <v>80</v>
      </c>
      <c r="AA30">
        <v>45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>
      <c r="A31" s="38">
        <v>25</v>
      </c>
      <c r="B31" s="41" t="s">
        <v>129</v>
      </c>
      <c r="C31" s="38">
        <f ca="1">COUNTIFS(F31:T31,"&gt;0",$F$3:T$3,"&lt;13")</f>
        <v>2</v>
      </c>
      <c r="D31" s="38">
        <f ca="1">SUMIF($F$3:T$3,"&lt;13",F31:T31)</f>
        <v>95</v>
      </c>
      <c r="E31" s="40">
        <f ca="1">IFERROR(__xludf.DUMMYFUNCTION("ARRAY_CONSTRAIN(ARRAYFORMULA(SUMPRODUCT(LARGE(FILTER(F31:T31, F$3:T$3 &lt; 13),{1,2,3,4,5,6,7}))), 1, 1)"),95)</f>
        <v>95</v>
      </c>
      <c r="F31" s="38">
        <v>50</v>
      </c>
      <c r="G31" s="38">
        <v>0</v>
      </c>
      <c r="H31" s="38">
        <v>45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60</v>
      </c>
      <c r="AH31">
        <v>70</v>
      </c>
      <c r="AI31">
        <v>30</v>
      </c>
      <c r="AJ31">
        <v>30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25</v>
      </c>
      <c r="AQ31">
        <v>0</v>
      </c>
      <c r="AR31">
        <v>45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50</v>
      </c>
      <c r="AY31">
        <v>40</v>
      </c>
      <c r="AZ31">
        <v>0</v>
      </c>
      <c r="BA31">
        <v>0</v>
      </c>
    </row>
    <row r="32" spans="1:53">
      <c r="A32" s="38">
        <v>26</v>
      </c>
      <c r="B32" s="39" t="s">
        <v>24</v>
      </c>
      <c r="C32" s="38">
        <f ca="1">COUNTIFS(F32:T32,"&gt;0",$F$3:T$3,"&lt;13")</f>
        <v>2</v>
      </c>
      <c r="D32" s="38">
        <f ca="1">SUMIF($F$3:T$3,"&lt;13",F32:T32)</f>
        <v>95</v>
      </c>
      <c r="E32" s="40">
        <f ca="1">IFERROR(__xludf.DUMMYFUNCTION("ARRAY_CONSTRAIN(ARRAYFORMULA(SUMPRODUCT(LARGE(FILTER(F32:T32, F$3:T$3 &lt; 13),{1,2,3,4,5,6,7}))), 1, 1)"),95)</f>
        <v>95</v>
      </c>
      <c r="F32" s="38">
        <v>0</v>
      </c>
      <c r="G32" s="38">
        <v>25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70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60</v>
      </c>
      <c r="AI32">
        <v>25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30</v>
      </c>
      <c r="AP32">
        <v>35</v>
      </c>
      <c r="AQ32">
        <v>25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>
      <c r="A33" s="38">
        <v>27</v>
      </c>
      <c r="B33" s="41" t="s">
        <v>130</v>
      </c>
      <c r="C33" s="38">
        <f ca="1">COUNTIFS(F33:T33,"&gt;0",$F$3:T$3,"&lt;13")</f>
        <v>1</v>
      </c>
      <c r="D33" s="38">
        <f ca="1">SUMIF($F$3:T$3,"&lt;13",F33:T33)</f>
        <v>90</v>
      </c>
      <c r="E33" s="40">
        <f ca="1">IFERROR(__xludf.DUMMYFUNCTION("ARRAY_CONSTRAIN(ARRAYFORMULA(SUMPRODUCT(LARGE(FILTER(F33:T33, F$3:T$3 &lt; 13),{1,2,3,4,5,6,7}))), 1, 1)"),90)</f>
        <v>90</v>
      </c>
      <c r="F33" s="38">
        <v>0</v>
      </c>
      <c r="G33" s="38">
        <v>0</v>
      </c>
      <c r="H33" s="38">
        <v>0</v>
      </c>
      <c r="I33" s="38">
        <v>0</v>
      </c>
      <c r="J33" s="38">
        <v>90</v>
      </c>
      <c r="K33" s="38">
        <v>0</v>
      </c>
      <c r="L33" s="38">
        <v>0</v>
      </c>
      <c r="M33" s="38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>
      <c r="A34" s="38">
        <v>28</v>
      </c>
      <c r="B34" s="41" t="s">
        <v>131</v>
      </c>
      <c r="C34" s="38">
        <f ca="1">COUNTIFS(F34:T34,"&gt;0",$F$3:T$3,"&lt;13")</f>
        <v>1</v>
      </c>
      <c r="D34" s="38">
        <f ca="1">SUMIF($F$3:T$3,"&lt;13",F34:T34)</f>
        <v>90</v>
      </c>
      <c r="E34" s="40">
        <f ca="1">IFERROR(__xludf.DUMMYFUNCTION("ARRAY_CONSTRAIN(ARRAYFORMULA(SUMPRODUCT(LARGE(FILTER(F34:T34, F$3:T$3 &lt; 13),{1,2,3,4,5,6,7}))), 1, 1)"),90)</f>
        <v>90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90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</v>
      </c>
      <c r="AD34">
        <v>80</v>
      </c>
      <c r="AE34">
        <v>60</v>
      </c>
      <c r="AF34">
        <v>0</v>
      </c>
      <c r="AG34">
        <v>0</v>
      </c>
      <c r="AH34">
        <v>0</v>
      </c>
      <c r="AI34">
        <v>30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>
      <c r="A35" s="38">
        <v>29</v>
      </c>
      <c r="B35" s="41" t="s">
        <v>132</v>
      </c>
      <c r="C35" s="38">
        <f ca="1">COUNTIFS(F35:T35,"&gt;0",$F$3:T$3,"&lt;13")</f>
        <v>2</v>
      </c>
      <c r="D35" s="38">
        <f ca="1">SUMIF($F$3:T$3,"&lt;13",F35:T35)</f>
        <v>85</v>
      </c>
      <c r="E35" s="40">
        <f ca="1">IFERROR(__xludf.DUMMYFUNCTION("ARRAY_CONSTRAIN(ARRAYFORMULA(SUMPRODUCT(LARGE(FILTER(F35:T35, F$3:T$3 &lt; 13),{1,2,3,4,5,6,7}))), 1, 1)"),85)</f>
        <v>85</v>
      </c>
      <c r="F35" s="38">
        <v>0</v>
      </c>
      <c r="G35" s="38">
        <v>50</v>
      </c>
      <c r="H35" s="38">
        <v>35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25</v>
      </c>
      <c r="AQ35">
        <v>50</v>
      </c>
      <c r="AR35">
        <v>35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38">
        <v>30</v>
      </c>
      <c r="B36" s="41" t="s">
        <v>133</v>
      </c>
      <c r="C36" s="38">
        <f ca="1">COUNTIFS(F36:T36,"&gt;0",$F$3:T$3,"&lt;13")</f>
        <v>3</v>
      </c>
      <c r="D36" s="38">
        <f ca="1">SUMIF($F$3:T$3,"&lt;13",F36:T36)</f>
        <v>85</v>
      </c>
      <c r="E36" s="40">
        <f ca="1">IFERROR(__xludf.DUMMYFUNCTION("ARRAY_CONSTRAIN(ARRAYFORMULA(SUMPRODUCT(LARGE(FILTER(F36:T36, F$3:T$3 &lt; 13),{1,2,3,4,5,6,7}))), 1, 1)"),85)</f>
        <v>85</v>
      </c>
      <c r="F36" s="38">
        <v>0</v>
      </c>
      <c r="G36" s="38">
        <v>25</v>
      </c>
      <c r="H36" s="38">
        <v>20</v>
      </c>
      <c r="I36" s="38">
        <v>0</v>
      </c>
      <c r="J36" s="38">
        <v>0</v>
      </c>
      <c r="K36" s="38">
        <v>0</v>
      </c>
      <c r="L36" s="38">
        <v>40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30</v>
      </c>
      <c r="AM36">
        <v>35</v>
      </c>
      <c r="AN36">
        <v>0</v>
      </c>
      <c r="AO36">
        <v>40</v>
      </c>
      <c r="AP36">
        <v>0</v>
      </c>
      <c r="AQ36">
        <v>25</v>
      </c>
      <c r="AR36">
        <v>20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>
      <c r="A37" s="38">
        <v>31</v>
      </c>
      <c r="B37" s="41" t="s">
        <v>134</v>
      </c>
      <c r="C37" s="38">
        <f ca="1">COUNTIFS(F37:T37,"&gt;0",$F$3:T$3,"&lt;13")</f>
        <v>1</v>
      </c>
      <c r="D37" s="38">
        <f ca="1">SUMIF($F$3:T$3,"&lt;13",F37:T37)</f>
        <v>80</v>
      </c>
      <c r="E37" s="40">
        <f ca="1">IFERROR(__xludf.DUMMYFUNCTION("ARRAY_CONSTRAIN(ARRAYFORMULA(SUMPRODUCT(LARGE(FILTER(F37:T37, F$3:T$3 &lt; 13),{1,2,3,4,5,6,7}))), 1, 1)"),80)</f>
        <v>80</v>
      </c>
      <c r="F37" s="38">
        <v>0</v>
      </c>
      <c r="G37" s="38">
        <v>0</v>
      </c>
      <c r="H37" s="38">
        <v>0</v>
      </c>
      <c r="I37" s="38">
        <v>0</v>
      </c>
      <c r="J37" s="38">
        <v>80</v>
      </c>
      <c r="K37" s="38">
        <v>0</v>
      </c>
      <c r="L37" s="38">
        <v>0</v>
      </c>
      <c r="M37" s="38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>
      <c r="A38" s="38">
        <v>32</v>
      </c>
      <c r="B38" s="39" t="s">
        <v>135</v>
      </c>
      <c r="C38" s="38">
        <f ca="1">COUNTIFS(F38:T38,"&gt;0",$F$3:T$3,"&lt;13")</f>
        <v>2</v>
      </c>
      <c r="D38" s="38">
        <f ca="1">SUMIF($F$3:T$3,"&lt;13",F38:T38)</f>
        <v>75</v>
      </c>
      <c r="E38" s="40">
        <f ca="1">IFERROR(__xludf.DUMMYFUNCTION("ARRAY_CONSTRAIN(ARRAYFORMULA(SUMPRODUCT(LARGE(FILTER(F38:T38, F$3:T$3 &lt; 13),{1,2,3,4,5,6,7}))), 1, 1)"),75)</f>
        <v>75</v>
      </c>
      <c r="F38" s="38">
        <v>50</v>
      </c>
      <c r="G38" s="38">
        <v>0</v>
      </c>
      <c r="H38" s="38">
        <v>0</v>
      </c>
      <c r="I38" s="38">
        <v>25</v>
      </c>
      <c r="J38" s="38">
        <v>0</v>
      </c>
      <c r="K38" s="38">
        <v>0</v>
      </c>
      <c r="L38" s="38">
        <v>0</v>
      </c>
      <c r="M38" s="38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25</v>
      </c>
      <c r="AT38">
        <v>0</v>
      </c>
      <c r="AU38">
        <v>0</v>
      </c>
      <c r="AV38">
        <v>0</v>
      </c>
      <c r="AW38">
        <v>0</v>
      </c>
      <c r="AX38">
        <v>50</v>
      </c>
      <c r="AY38">
        <v>40</v>
      </c>
      <c r="AZ38">
        <v>0</v>
      </c>
      <c r="BA38">
        <v>0</v>
      </c>
    </row>
    <row r="39" spans="1:53">
      <c r="A39" s="38">
        <v>33</v>
      </c>
      <c r="B39" s="41" t="s">
        <v>136</v>
      </c>
      <c r="C39" s="38">
        <f ca="1">COUNTIFS(F39:T39,"&gt;0",$F$3:T$3,"&lt;13")</f>
        <v>2</v>
      </c>
      <c r="D39" s="38">
        <f ca="1">SUMIF($F$3:T$3,"&lt;13",F39:T39)</f>
        <v>70</v>
      </c>
      <c r="E39" s="40">
        <f ca="1">IFERROR(__xludf.DUMMYFUNCTION("ARRAY_CONSTRAIN(ARRAYFORMULA(SUMPRODUCT(LARGE(FILTER(F39:T39, F$3:T$3 &lt; 13),{1,2,3,4,5,6,7}))), 1, 1)"),70)</f>
        <v>70</v>
      </c>
      <c r="F39" s="38">
        <v>0</v>
      </c>
      <c r="G39" s="38">
        <v>45</v>
      </c>
      <c r="H39" s="38">
        <v>25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45</v>
      </c>
      <c r="AM39">
        <v>0</v>
      </c>
      <c r="AN39">
        <v>0</v>
      </c>
      <c r="AO39">
        <v>0</v>
      </c>
      <c r="AP39">
        <v>0</v>
      </c>
      <c r="AQ39">
        <v>45</v>
      </c>
      <c r="AR39">
        <v>25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>
      <c r="A40" s="38">
        <v>34</v>
      </c>
      <c r="B40" s="39" t="s">
        <v>137</v>
      </c>
      <c r="C40" s="38">
        <f ca="1">COUNTIFS(F40:T40,"&gt;0",$F$3:T$3,"&lt;13")</f>
        <v>1</v>
      </c>
      <c r="D40" s="38">
        <f ca="1">SUMIF($F$3:T$3,"&lt;13",F40:T40)</f>
        <v>70</v>
      </c>
      <c r="E40" s="40">
        <f ca="1">IFERROR(__xludf.DUMMYFUNCTION("ARRAY_CONSTRAIN(ARRAYFORMULA(SUMPRODUCT(LARGE(FILTER(F40:T40, F$3:T$3 &lt; 13),{1,2,3,4,5,6,7}))), 1, 1)"),70)</f>
        <v>70</v>
      </c>
      <c r="F40" s="38">
        <v>70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70</v>
      </c>
      <c r="AY40">
        <v>0</v>
      </c>
      <c r="AZ40">
        <v>0</v>
      </c>
      <c r="BA40">
        <v>0</v>
      </c>
    </row>
    <row r="41" spans="1:53">
      <c r="A41" s="38">
        <v>35</v>
      </c>
      <c r="B41" s="41" t="s">
        <v>138</v>
      </c>
      <c r="C41" s="38">
        <f ca="1">COUNTIFS(F41:T41,"&gt;0",$F$3:T$3,"&lt;13")</f>
        <v>2</v>
      </c>
      <c r="D41" s="38">
        <f ca="1">SUMIF($F$3:T$3,"&lt;13",F41:T41)</f>
        <v>65</v>
      </c>
      <c r="E41" s="40">
        <f ca="1">IFERROR(__xludf.DUMMYFUNCTION("ARRAY_CONSTRAIN(ARRAYFORMULA(SUMPRODUCT(LARGE(FILTER(F41:T41, F$3:T$3 &lt; 13),{1,2,3,4,5,6,7}))), 1, 1)"),65)</f>
        <v>65</v>
      </c>
      <c r="F41" s="40">
        <v>40</v>
      </c>
      <c r="G41" s="38">
        <v>0</v>
      </c>
      <c r="H41" s="38">
        <v>0</v>
      </c>
      <c r="I41" s="38">
        <v>25</v>
      </c>
      <c r="J41" s="38">
        <v>0</v>
      </c>
      <c r="K41" s="38">
        <v>0</v>
      </c>
      <c r="L41" s="38">
        <v>0</v>
      </c>
      <c r="M41" s="38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40</v>
      </c>
      <c r="AY41">
        <v>0</v>
      </c>
      <c r="AZ41">
        <v>0</v>
      </c>
      <c r="BA41">
        <v>0</v>
      </c>
    </row>
    <row r="42" spans="1:53">
      <c r="A42" s="38">
        <v>36</v>
      </c>
      <c r="B42" s="41" t="s">
        <v>139</v>
      </c>
      <c r="C42" s="38">
        <f ca="1">COUNTIFS(F42:T42,"&gt;0",$F$3:T$3,"&lt;13")</f>
        <v>1</v>
      </c>
      <c r="D42" s="38">
        <f ca="1">SUMIF($F$3:T$3,"&lt;13",F42:T42)</f>
        <v>60</v>
      </c>
      <c r="E42" s="40">
        <f ca="1">IFERROR(__xludf.DUMMYFUNCTION("ARRAY_CONSTRAIN(ARRAYFORMULA(SUMPRODUCT(LARGE(FILTER(F42:T42, F$3:T$3 &lt; 13),{1,2,3,4,5,6,7}))), 1, 1)"),60)</f>
        <v>60</v>
      </c>
      <c r="F42" s="38">
        <v>0</v>
      </c>
      <c r="G42" s="38">
        <v>0</v>
      </c>
      <c r="H42" s="38">
        <v>0</v>
      </c>
      <c r="I42" s="38">
        <v>0</v>
      </c>
      <c r="J42" s="38">
        <v>60</v>
      </c>
      <c r="K42" s="38">
        <v>0</v>
      </c>
      <c r="L42" s="38">
        <v>0</v>
      </c>
      <c r="M42" s="38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>
        <v>0</v>
      </c>
      <c r="V42">
        <v>0</v>
      </c>
      <c r="W42">
        <v>0</v>
      </c>
      <c r="X42">
        <v>0</v>
      </c>
      <c r="Y42">
        <v>25</v>
      </c>
      <c r="Z42">
        <v>60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>
      <c r="A43" s="38">
        <v>37</v>
      </c>
      <c r="B43" s="41" t="s">
        <v>140</v>
      </c>
      <c r="C43" s="38">
        <f ca="1">COUNTIFS(F43:T43,"&gt;0",$F$3:T$3,"&lt;13")</f>
        <v>1</v>
      </c>
      <c r="D43" s="38">
        <f ca="1">SUMIF($F$3:T$3,"&lt;13",F43:T43)</f>
        <v>60</v>
      </c>
      <c r="E43" s="40">
        <f ca="1">IFERROR(__xludf.DUMMYFUNCTION("ARRAY_CONSTRAIN(ARRAYFORMULA(SUMPRODUCT(LARGE(FILTER(F43:T43, F$3:T$3 &lt; 13),{1,2,3,4,5,6,7}))), 1, 1)"),60)</f>
        <v>60</v>
      </c>
      <c r="F43" s="38">
        <v>0</v>
      </c>
      <c r="G43" s="38">
        <v>0</v>
      </c>
      <c r="H43" s="38">
        <v>0</v>
      </c>
      <c r="I43" s="38">
        <v>0</v>
      </c>
      <c r="J43" s="38">
        <v>60</v>
      </c>
      <c r="K43" s="38">
        <v>0</v>
      </c>
      <c r="L43" s="38">
        <v>0</v>
      </c>
      <c r="M43" s="38">
        <v>0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>
      <c r="A44" s="38">
        <v>38</v>
      </c>
      <c r="B44" s="41" t="s">
        <v>141</v>
      </c>
      <c r="C44" s="38">
        <f ca="1">COUNTIFS(F44:T44,"&gt;0",$F$3:T$3,"&lt;13")</f>
        <v>1</v>
      </c>
      <c r="D44" s="38">
        <f ca="1">SUMIF($F$3:T$3,"&lt;13",F44:T44)</f>
        <v>60</v>
      </c>
      <c r="E44" s="40">
        <f ca="1">IFERROR(__xludf.DUMMYFUNCTION("ARRAY_CONSTRAIN(ARRAYFORMULA(SUMPRODUCT(LARGE(FILTER(F44:T44, F$3:T$3 &lt; 13),{1,2,3,4,5,6,7}))), 1, 1)"),60)</f>
        <v>60</v>
      </c>
      <c r="F44" s="38">
        <v>0</v>
      </c>
      <c r="G44" s="38">
        <v>0</v>
      </c>
      <c r="H44" s="38">
        <v>0</v>
      </c>
      <c r="I44" s="38">
        <v>0</v>
      </c>
      <c r="J44" s="38">
        <v>60</v>
      </c>
      <c r="K44" s="38">
        <v>0</v>
      </c>
      <c r="L44" s="38">
        <v>0</v>
      </c>
      <c r="M44" s="38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>
        <v>30</v>
      </c>
      <c r="V44">
        <v>100</v>
      </c>
      <c r="W44">
        <v>60</v>
      </c>
      <c r="X44">
        <v>40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>
      <c r="A45" s="38">
        <v>39</v>
      </c>
      <c r="B45" s="41" t="s">
        <v>142</v>
      </c>
      <c r="C45" s="38">
        <f ca="1">COUNTIFS(F45:T45,"&gt;0",$F$3:T$3,"&lt;13")</f>
        <v>1</v>
      </c>
      <c r="D45" s="38">
        <f ca="1">SUMIF($F$3:T$3,"&lt;13",F45:T45)</f>
        <v>60</v>
      </c>
      <c r="E45" s="40">
        <f ca="1">IFERROR(__xludf.DUMMYFUNCTION("ARRAY_CONSTRAIN(ARRAYFORMULA(SUMPRODUCT(LARGE(FILTER(F45:T45, F$3:T$3 &lt; 13),{1,2,3,4,5,6,7}))), 1, 1)"),60)</f>
        <v>60</v>
      </c>
      <c r="F45" s="38">
        <v>0</v>
      </c>
      <c r="G45" s="38">
        <v>0</v>
      </c>
      <c r="H45" s="38">
        <v>0</v>
      </c>
      <c r="I45" s="38">
        <v>0</v>
      </c>
      <c r="J45" s="38">
        <v>60</v>
      </c>
      <c r="K45" s="38">
        <v>0</v>
      </c>
      <c r="L45" s="38">
        <v>0</v>
      </c>
      <c r="M45" s="38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>
      <c r="A46" s="38">
        <v>40</v>
      </c>
      <c r="B46" s="41" t="s">
        <v>143</v>
      </c>
      <c r="C46" s="38">
        <f ca="1">COUNTIFS(F46:T46,"&gt;0",$F$3:T$3,"&lt;13")</f>
        <v>1</v>
      </c>
      <c r="D46" s="38">
        <f ca="1">SUMIF($F$3:T$3,"&lt;13",F46:T46)</f>
        <v>60</v>
      </c>
      <c r="E46" s="40">
        <f ca="1">IFERROR(__xludf.DUMMYFUNCTION("ARRAY_CONSTRAIN(ARRAYFORMULA(SUMPRODUCT(LARGE(FILTER(F46:T46, F$3:T$3 &lt; 13),{1,2,3,4,5,6,7}))), 1, 1)"),60)</f>
        <v>60</v>
      </c>
      <c r="F46" s="38">
        <v>0</v>
      </c>
      <c r="G46" s="38">
        <v>0</v>
      </c>
      <c r="H46" s="38">
        <v>0</v>
      </c>
      <c r="I46" s="38">
        <v>0</v>
      </c>
      <c r="J46" s="38">
        <v>60</v>
      </c>
      <c r="K46" s="38">
        <v>0</v>
      </c>
      <c r="L46" s="38">
        <v>0</v>
      </c>
      <c r="M46" s="38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>
        <v>0</v>
      </c>
      <c r="V46">
        <v>70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>
      <c r="A47" s="38">
        <v>41</v>
      </c>
      <c r="B47" s="41" t="s">
        <v>144</v>
      </c>
      <c r="C47" s="38">
        <f ca="1">COUNTIFS(F47:T47,"&gt;0",$F$3:T$3,"&lt;13")</f>
        <v>1</v>
      </c>
      <c r="D47" s="38">
        <f ca="1">SUMIF($F$3:T$3,"&lt;13",F47:T47)</f>
        <v>60</v>
      </c>
      <c r="E47" s="40">
        <f ca="1">IFERROR(__xludf.DUMMYFUNCTION("ARRAY_CONSTRAIN(ARRAYFORMULA(SUMPRODUCT(LARGE(FILTER(F47:T47, F$3:T$3 &lt; 13),{1,2,3,4,5,6,7}))), 1, 1)"),60)</f>
        <v>60</v>
      </c>
      <c r="F47" s="38">
        <v>0</v>
      </c>
      <c r="G47" s="38">
        <v>0</v>
      </c>
      <c r="H47" s="38">
        <v>0</v>
      </c>
      <c r="I47" s="38">
        <v>0</v>
      </c>
      <c r="J47" s="38">
        <v>60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>
      <c r="A48" s="38">
        <v>42</v>
      </c>
      <c r="B48" s="41" t="s">
        <v>145</v>
      </c>
      <c r="C48" s="38">
        <f ca="1">COUNTIFS(F48:T48,"&gt;0",$F$3:T$3,"&lt;13")</f>
        <v>1</v>
      </c>
      <c r="D48" s="38">
        <f ca="1">SUMIF($F$3:T$3,"&lt;13",F48:T48)</f>
        <v>60</v>
      </c>
      <c r="E48" s="40">
        <f ca="1">IFERROR(__xludf.DUMMYFUNCTION("ARRAY_CONSTRAIN(ARRAYFORMULA(SUMPRODUCT(LARGE(FILTER(F48:T48, F$3:T$3 &lt; 13),{1,2,3,4,5,6,7}))), 1, 1)"),60)</f>
        <v>60</v>
      </c>
      <c r="F48" s="38">
        <v>0</v>
      </c>
      <c r="G48" s="38">
        <v>0</v>
      </c>
      <c r="H48" s="38">
        <v>0</v>
      </c>
      <c r="I48" s="38">
        <v>0</v>
      </c>
      <c r="J48" s="38">
        <v>60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>
      <c r="A49" s="38">
        <v>43</v>
      </c>
      <c r="B49" s="41" t="s">
        <v>146</v>
      </c>
      <c r="C49" s="38">
        <f ca="1">COUNTIFS(F49:T49,"&gt;0",$F$3:T$3,"&lt;13")</f>
        <v>1</v>
      </c>
      <c r="D49" s="38">
        <f ca="1">SUMIF($F$3:T$3,"&lt;13",F49:T49)</f>
        <v>60</v>
      </c>
      <c r="E49" s="40">
        <f ca="1">IFERROR(__xludf.DUMMYFUNCTION("ARRAY_CONSTRAIN(ARRAYFORMULA(SUMPRODUCT(LARGE(FILTER(F49:T49, F$3:T$3 &lt; 13),{1,2,3,4,5,6,7}))), 1, 1)"),60)</f>
        <v>60</v>
      </c>
      <c r="F49" s="38">
        <v>0</v>
      </c>
      <c r="G49" s="38">
        <v>0</v>
      </c>
      <c r="H49" s="38">
        <v>0</v>
      </c>
      <c r="I49" s="38">
        <v>0</v>
      </c>
      <c r="J49" s="38">
        <v>60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>
      <c r="A50" s="38">
        <v>44</v>
      </c>
      <c r="B50" s="41" t="s">
        <v>147</v>
      </c>
      <c r="C50" s="38">
        <f ca="1">COUNTIFS(F50:T50,"&gt;0",$F$3:T$3,"&lt;13")</f>
        <v>1</v>
      </c>
      <c r="D50" s="38">
        <f ca="1">SUMIF($F$3:T$3,"&lt;13",F50:T50)</f>
        <v>60</v>
      </c>
      <c r="E50" s="40">
        <f ca="1">IFERROR(__xludf.DUMMYFUNCTION("ARRAY_CONSTRAIN(ARRAYFORMULA(SUMPRODUCT(LARGE(FILTER(F50:T50, F$3:T$3 &lt; 13),{1,2,3,4,5,6,7}))), 1, 1)"),60)</f>
        <v>60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60</v>
      </c>
      <c r="L50" s="38">
        <v>0</v>
      </c>
      <c r="M50" s="38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>
      <c r="A51" s="38">
        <v>45</v>
      </c>
      <c r="B51" s="41" t="s">
        <v>148</v>
      </c>
      <c r="C51" s="38">
        <f ca="1">COUNTIFS(F51:T51,"&gt;0",$F$3:T$3,"&lt;13")</f>
        <v>1</v>
      </c>
      <c r="D51" s="38">
        <f ca="1">SUMIF($F$3:T$3,"&lt;13",F51:T51)</f>
        <v>60</v>
      </c>
      <c r="E51" s="40">
        <f ca="1">IFERROR(__xludf.DUMMYFUNCTION("ARRAY_CONSTRAIN(ARRAYFORMULA(SUMPRODUCT(LARGE(FILTER(F51:T51, F$3:T$3 &lt; 13),{1,2,3,4,5,6,7}))), 1, 1)"),60)</f>
        <v>60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60</v>
      </c>
      <c r="L51" s="38">
        <v>0</v>
      </c>
      <c r="M51" s="38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40</v>
      </c>
      <c r="AC51">
        <v>30</v>
      </c>
      <c r="AD51">
        <v>80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>
      <c r="A52" s="38">
        <v>46</v>
      </c>
      <c r="B52" s="41" t="s">
        <v>149</v>
      </c>
      <c r="C52" s="38">
        <f ca="1">COUNTIFS(F52:T52,"&gt;0",$F$3:T$3,"&lt;13")</f>
        <v>1</v>
      </c>
      <c r="D52" s="38">
        <f ca="1">SUMIF($F$3:T$3,"&lt;13",F52:T52)</f>
        <v>60</v>
      </c>
      <c r="E52" s="40">
        <f ca="1">IFERROR(__xludf.DUMMYFUNCTION("ARRAY_CONSTRAIN(ARRAYFORMULA(SUMPRODUCT(LARGE(FILTER(F52:T52, F$3:T$3 &lt; 13),{1,2,3,4,5,6,7}))), 1, 1)"),60)</f>
        <v>60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60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>
      <c r="A53" s="38">
        <v>47</v>
      </c>
      <c r="B53" s="41" t="s">
        <v>150</v>
      </c>
      <c r="C53" s="38">
        <f ca="1">COUNTIFS(F53:T53,"&gt;0",$F$3:T$3,"&lt;13")</f>
        <v>1</v>
      </c>
      <c r="D53" s="38">
        <f ca="1">SUMIF($F$3:T$3,"&lt;13",F53:T53)</f>
        <v>60</v>
      </c>
      <c r="E53" s="40">
        <f ca="1">IFERROR(__xludf.DUMMYFUNCTION("ARRAY_CONSTRAIN(ARRAYFORMULA(SUMPRODUCT(LARGE(FILTER(F53:T53, F$3:T$3 &lt; 13),{1,2,3,4,5,6,7}))), 1, 1)"),60)</f>
        <v>60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60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>
      <c r="A54" s="38">
        <v>48</v>
      </c>
      <c r="B54" s="41" t="s">
        <v>151</v>
      </c>
      <c r="C54" s="38">
        <f ca="1">COUNTIFS(F54:T54,"&gt;0",$F$3:T$3,"&lt;13")</f>
        <v>2</v>
      </c>
      <c r="D54" s="38">
        <f ca="1">SUMIF($F$3:T$3,"&lt;13",F54:T54)</f>
        <v>60</v>
      </c>
      <c r="E54" s="40">
        <f ca="1">IFERROR(__xludf.DUMMYFUNCTION("ARRAY_CONSTRAIN(ARRAYFORMULA(SUMPRODUCT(LARGE(FILTER(F54:T54, F$3:T$3 &lt; 13),{1,2,3,4,5,6,7}))), 1, 1)"),60)</f>
        <v>60</v>
      </c>
      <c r="F54" s="38">
        <v>40</v>
      </c>
      <c r="G54" s="38">
        <v>0</v>
      </c>
      <c r="H54" s="38">
        <v>0</v>
      </c>
      <c r="I54" s="38">
        <v>20</v>
      </c>
      <c r="J54" s="38">
        <v>0</v>
      </c>
      <c r="K54" s="38">
        <v>0</v>
      </c>
      <c r="L54" s="38">
        <v>0</v>
      </c>
      <c r="M54" s="38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40</v>
      </c>
      <c r="AY54">
        <v>0</v>
      </c>
      <c r="AZ54">
        <v>0</v>
      </c>
      <c r="BA54">
        <v>0</v>
      </c>
    </row>
    <row r="55" spans="1:53">
      <c r="A55" s="38">
        <v>49</v>
      </c>
      <c r="B55" s="41" t="s">
        <v>152</v>
      </c>
      <c r="C55" s="38">
        <f ca="1">COUNTIFS(F55:T55,"&gt;0",$F$3:T$3,"&lt;13")</f>
        <v>1</v>
      </c>
      <c r="D55" s="38">
        <f ca="1">SUMIF($F$3:T$3,"&lt;13",F55:T55)</f>
        <v>50</v>
      </c>
      <c r="E55" s="40">
        <f ca="1">IFERROR(__xludf.DUMMYFUNCTION("ARRAY_CONSTRAIN(ARRAYFORMULA(SUMPRODUCT(LARGE(FILTER(F55:T55, F$3:T$3 &lt; 13),{1,2,3,4,5,6,7}))), 1, 1)"),50)</f>
        <v>50</v>
      </c>
      <c r="F55" s="38">
        <v>0</v>
      </c>
      <c r="G55" s="38">
        <v>0</v>
      </c>
      <c r="H55" s="38">
        <v>50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>
      <c r="A56" s="38">
        <v>50</v>
      </c>
      <c r="B56" s="41" t="s">
        <v>153</v>
      </c>
      <c r="C56" s="38">
        <f ca="1">COUNTIFS(F56:T56,"&gt;0",$F$3:T$3,"&lt;13")</f>
        <v>1</v>
      </c>
      <c r="D56" s="38">
        <f ca="1">SUMIF($F$3:T$3,"&lt;13",F56:T56)</f>
        <v>50</v>
      </c>
      <c r="E56" s="40">
        <f ca="1">IFERROR(__xludf.DUMMYFUNCTION("ARRAY_CONSTRAIN(ARRAYFORMULA(SUMPRODUCT(LARGE(FILTER(F56:T56, F$3:T$3 &lt; 13),{1,2,3,4,5,6,7}))), 1, 1)"),50)</f>
        <v>50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50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>
      <c r="A57" s="38">
        <v>51</v>
      </c>
      <c r="B57" s="41" t="s">
        <v>154</v>
      </c>
      <c r="C57" s="38">
        <f ca="1">COUNTIFS(F57:T57,"&gt;0",$F$3:T$3,"&lt;13")</f>
        <v>1</v>
      </c>
      <c r="D57" s="38">
        <f ca="1">SUMIF($F$3:T$3,"&lt;13",F57:T57)</f>
        <v>40</v>
      </c>
      <c r="E57" s="40">
        <f ca="1">IFERROR(__xludf.DUMMYFUNCTION("ARRAY_CONSTRAIN(ARRAYFORMULA(SUMPRODUCT(LARGE(FILTER(F57:T57, F$3:T$3 &lt; 13),{1,2,3,4,5,6,7}))), 1, 1)"),40)</f>
        <v>40</v>
      </c>
      <c r="F57" s="38">
        <v>40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50</v>
      </c>
      <c r="AC57">
        <v>0</v>
      </c>
      <c r="AD57">
        <v>0</v>
      </c>
      <c r="AE57">
        <v>90</v>
      </c>
      <c r="AF57">
        <v>60</v>
      </c>
      <c r="AG57">
        <v>0</v>
      </c>
      <c r="AH57">
        <v>50</v>
      </c>
      <c r="AI57">
        <v>25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40</v>
      </c>
      <c r="AY57">
        <v>0</v>
      </c>
      <c r="AZ57">
        <v>0</v>
      </c>
      <c r="BA57">
        <v>0</v>
      </c>
    </row>
    <row r="58" spans="1:53">
      <c r="A58" s="38">
        <v>52</v>
      </c>
      <c r="B58" s="41" t="s">
        <v>155</v>
      </c>
      <c r="C58" s="38">
        <f ca="1">COUNTIFS(F58:T58,"&gt;0",$F$3:T$3,"&lt;13")</f>
        <v>1</v>
      </c>
      <c r="D58" s="38">
        <f ca="1">SUMIF($F$3:T$3,"&lt;13",F58:T58)</f>
        <v>40</v>
      </c>
      <c r="E58" s="40">
        <f ca="1">IFERROR(__xludf.DUMMYFUNCTION("ARRAY_CONSTRAIN(ARRAYFORMULA(SUMPRODUCT(LARGE(FILTER(F58:T58, F$3:T$3 &lt; 13),{1,2,3,4,5,6,7}))), 1, 1)"),40)</f>
        <v>40</v>
      </c>
      <c r="F58" s="38">
        <v>40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40</v>
      </c>
      <c r="AY58">
        <v>0</v>
      </c>
      <c r="AZ58">
        <v>0</v>
      </c>
      <c r="BA58">
        <v>0</v>
      </c>
    </row>
    <row r="59" spans="1:53">
      <c r="A59" s="38">
        <v>53</v>
      </c>
      <c r="B59" s="41" t="s">
        <v>156</v>
      </c>
      <c r="C59" s="38">
        <f ca="1">COUNTIFS(F59:T59,"&gt;0",$F$3:T$3,"&lt;13")</f>
        <v>1</v>
      </c>
      <c r="D59" s="38">
        <f ca="1">SUMIF($F$3:T$3,"&lt;13",F59:T59)</f>
        <v>40</v>
      </c>
      <c r="E59" s="40">
        <f ca="1">IFERROR(__xludf.DUMMYFUNCTION("ARRAY_CONSTRAIN(ARRAYFORMULA(SUMPRODUCT(LARGE(FILTER(F59:T59, F$3:T$3 &lt; 13),{1,2,3,4,5,6,7}))), 1, 1)"),40)</f>
        <v>40</v>
      </c>
      <c r="F59" s="38">
        <v>0</v>
      </c>
      <c r="G59" s="38">
        <v>0</v>
      </c>
      <c r="H59" s="38">
        <v>40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25</v>
      </c>
      <c r="AL59">
        <v>0</v>
      </c>
      <c r="AM59">
        <v>0</v>
      </c>
      <c r="AN59">
        <v>0</v>
      </c>
      <c r="AO59">
        <v>0</v>
      </c>
      <c r="AP59">
        <v>30</v>
      </c>
      <c r="AQ59">
        <v>0</v>
      </c>
      <c r="AR59">
        <v>40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>
      <c r="A60" s="38">
        <v>54</v>
      </c>
      <c r="B60" s="41" t="s">
        <v>157</v>
      </c>
      <c r="C60" s="38">
        <f ca="1">COUNTIFS(F60:T60,"&gt;0",$F$3:T$3,"&lt;13")</f>
        <v>1</v>
      </c>
      <c r="D60" s="38">
        <f ca="1">SUMIF($F$3:T$3,"&lt;13",F60:T60)</f>
        <v>35</v>
      </c>
      <c r="E60" s="40">
        <f ca="1">IFERROR(__xludf.DUMMYFUNCTION("ARRAY_CONSTRAIN(ARRAYFORMULA(SUMPRODUCT(LARGE(FILTER(F60:T60, F$3:T$3 &lt; 13),{1,2,3,4,5,6,7}))), 1, 1)"),35)</f>
        <v>35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35</v>
      </c>
      <c r="M60" s="38">
        <v>0</v>
      </c>
      <c r="N60" s="38">
        <v>0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>
      <c r="A61" s="38">
        <v>55</v>
      </c>
      <c r="B61" s="39" t="s">
        <v>158</v>
      </c>
      <c r="C61" s="38">
        <f ca="1">COUNTIFS(F61:T61,"&gt;0",$F$3:T$3,"&lt;13")</f>
        <v>1</v>
      </c>
      <c r="D61" s="38">
        <f ca="1">SUMIF($F$3:T$3,"&lt;13",F61:T61)</f>
        <v>30</v>
      </c>
      <c r="E61" s="40">
        <f ca="1">IFERROR(__xludf.DUMMYFUNCTION("ARRAY_CONSTRAIN(ARRAYFORMULA(SUMPRODUCT(LARGE(FILTER(F61:T61, F$3:T$3 &lt; 13),{1,2,3,4,5,6,7}))), 1, 1)"),30)</f>
        <v>30</v>
      </c>
      <c r="F61" s="38">
        <v>0</v>
      </c>
      <c r="G61" s="38">
        <v>0</v>
      </c>
      <c r="H61" s="38">
        <v>30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40</v>
      </c>
      <c r="AM61">
        <v>30</v>
      </c>
      <c r="AN61">
        <v>25</v>
      </c>
      <c r="AO61">
        <v>0</v>
      </c>
      <c r="AP61">
        <v>0</v>
      </c>
      <c r="AQ61">
        <v>0</v>
      </c>
      <c r="AR61">
        <v>30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>
      <c r="A62" s="38">
        <v>56</v>
      </c>
      <c r="B62" s="41" t="s">
        <v>159</v>
      </c>
      <c r="C62" s="38">
        <f ca="1">COUNTIFS(F62:T62,"&gt;0",$F$3:T$3,"&lt;13")</f>
        <v>1</v>
      </c>
      <c r="D62" s="38">
        <f ca="1">SUMIF($F$3:T$3,"&lt;13",F62:T62)</f>
        <v>30</v>
      </c>
      <c r="E62" s="40">
        <f ca="1">IFERROR(__xludf.DUMMYFUNCTION("ARRAY_CONSTRAIN(ARRAYFORMULA(SUMPRODUCT(LARGE(FILTER(F62:T62, F$3:T$3 &lt; 13),{1,2,3,4,5,6,7}))), 1, 1)"),30)</f>
        <v>30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30</v>
      </c>
      <c r="M62" s="38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40</v>
      </c>
      <c r="AL62">
        <v>0</v>
      </c>
      <c r="AM62">
        <v>30</v>
      </c>
      <c r="AN62">
        <v>0</v>
      </c>
      <c r="AO62">
        <v>0</v>
      </c>
      <c r="AP62">
        <v>25</v>
      </c>
      <c r="AQ62">
        <v>0</v>
      </c>
      <c r="AR62">
        <v>25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>
      <c r="A63" s="38">
        <v>57</v>
      </c>
      <c r="B63" s="41" t="s">
        <v>160</v>
      </c>
      <c r="C63" s="38">
        <f ca="1">COUNTIFS(F63:T63,"&gt;0",$F$3:T$3,"&lt;13")</f>
        <v>1</v>
      </c>
      <c r="D63" s="38">
        <f ca="1">SUMIF($F$3:T$3,"&lt;13",F63:T63)</f>
        <v>30</v>
      </c>
      <c r="E63" s="40">
        <f ca="1">IFERROR(__xludf.DUMMYFUNCTION("ARRAY_CONSTRAIN(ARRAYFORMULA(SUMPRODUCT(LARGE(FILTER(F63:T63, F$3:T$3 &lt; 13),{1,2,3,4,5,6,7}))), 1, 1)"),30)</f>
        <v>30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30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>
      <c r="A64" s="38">
        <v>58</v>
      </c>
      <c r="B64" s="41" t="s">
        <v>161</v>
      </c>
      <c r="C64" s="38">
        <f ca="1">COUNTIFS(F64:T64,"&gt;0",$F$3:T$3,"&lt;13")</f>
        <v>1</v>
      </c>
      <c r="D64" s="38">
        <f ca="1">SUMIF($F$3:T$3,"&lt;13",F64:T64)</f>
        <v>25</v>
      </c>
      <c r="E64" s="40">
        <f ca="1">IFERROR(__xludf.DUMMYFUNCTION("ARRAY_CONSTRAIN(ARRAYFORMULA(SUMPRODUCT(LARGE(FILTER(F64:T64, F$3:T$3 &lt; 13),{1,2,3,4,5,6,7}))), 1, 1)"),25)</f>
        <v>25</v>
      </c>
      <c r="F64" s="38">
        <v>0</v>
      </c>
      <c r="G64" s="38">
        <v>25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20</v>
      </c>
      <c r="AP64">
        <v>25</v>
      </c>
      <c r="AQ64">
        <v>25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>
      <c r="A65" s="38">
        <v>59</v>
      </c>
      <c r="B65" s="41" t="s">
        <v>162</v>
      </c>
      <c r="C65" s="38">
        <f ca="1">COUNTIFS(F65:T65,"&gt;0",$F$3:T$3,"&lt;13")</f>
        <v>1</v>
      </c>
      <c r="D65" s="38">
        <f ca="1">SUMIF($F$3:T$3,"&lt;13",F65:T65)</f>
        <v>25</v>
      </c>
      <c r="E65" s="40">
        <f ca="1">IFERROR(__xludf.DUMMYFUNCTION("ARRAY_CONSTRAIN(ARRAYFORMULA(SUMPRODUCT(LARGE(FILTER(F65:T65, F$3:T$3 &lt; 13),{1,2,3,4,5,6,7}))), 1, 1)"),25)</f>
        <v>25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25</v>
      </c>
      <c r="M65" s="38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>
      <c r="A66" s="38">
        <v>60</v>
      </c>
      <c r="B66" s="41" t="s">
        <v>163</v>
      </c>
      <c r="C66" s="38">
        <f ca="1">COUNTIFS(F66:T66,"&gt;0",$F$3:T$3,"&lt;13")</f>
        <v>1</v>
      </c>
      <c r="D66" s="38">
        <f ca="1">SUMIF($F$3:T$3,"&lt;13",F66:T66)</f>
        <v>25</v>
      </c>
      <c r="E66" s="40">
        <f ca="1">IFERROR(__xludf.DUMMYFUNCTION("ARRAY_CONSTRAIN(ARRAYFORMULA(SUMPRODUCT(LARGE(FILTER(F66:T66, F$3:T$3 &lt; 13),{1,2,3,4,5,6,7}))), 1, 1)"),25)</f>
        <v>25</v>
      </c>
      <c r="F66" s="38">
        <v>0</v>
      </c>
      <c r="G66" s="38">
        <v>0</v>
      </c>
      <c r="H66" s="38">
        <v>0</v>
      </c>
      <c r="I66" s="38">
        <v>0</v>
      </c>
      <c r="J66" s="38">
        <v>0</v>
      </c>
      <c r="K66" s="38">
        <v>0</v>
      </c>
      <c r="L66" s="38">
        <v>25</v>
      </c>
      <c r="M66" s="38">
        <v>0</v>
      </c>
      <c r="N66" s="38">
        <v>0</v>
      </c>
      <c r="O66" s="38">
        <v>0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>
      <c r="A67" s="38">
        <v>61</v>
      </c>
      <c r="B67" s="41" t="s">
        <v>164</v>
      </c>
      <c r="C67" s="38">
        <f ca="1">COUNTIFS(F67:T67,"&gt;0",$F$3:T$3,"&lt;13")</f>
        <v>1</v>
      </c>
      <c r="D67" s="38">
        <f ca="1">SUMIF($F$3:T$3,"&lt;13",F67:T67)</f>
        <v>25</v>
      </c>
      <c r="E67" s="40">
        <f ca="1">IFERROR(__xludf.DUMMYFUNCTION("ARRAY_CONSTRAIN(ARRAYFORMULA(SUMPRODUCT(LARGE(FILTER(F67:T67, F$3:T$3 &lt; 13),{1,2,3,4,5,6,7}))), 1, 1)"),25)</f>
        <v>25</v>
      </c>
      <c r="F67" s="38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25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35</v>
      </c>
      <c r="AL67">
        <v>0</v>
      </c>
      <c r="AM67">
        <v>0</v>
      </c>
      <c r="AN67">
        <v>0</v>
      </c>
      <c r="AO67">
        <v>0</v>
      </c>
      <c r="AP67">
        <v>50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>
      <c r="A68" s="38">
        <v>62</v>
      </c>
      <c r="B68" s="41" t="s">
        <v>165</v>
      </c>
      <c r="C68" s="38">
        <f ca="1">COUNTIFS(F68:T68,"&gt;0",$F$3:T$3,"&lt;13")</f>
        <v>1</v>
      </c>
      <c r="D68" s="38">
        <f ca="1">SUMIF($F$3:T$3,"&lt;13",F68:T68)</f>
        <v>20</v>
      </c>
      <c r="E68" s="40">
        <f ca="1">IFERROR(__xludf.DUMMYFUNCTION("ARRAY_CONSTRAIN(ARRAYFORMULA(SUMPRODUCT(LARGE(FILTER(F68:T68, F$3:T$3 &lt; 13),{1,2,3,4,5,6,7}))), 1, 1)"),20)</f>
        <v>20</v>
      </c>
      <c r="F68" s="38">
        <v>0</v>
      </c>
      <c r="G68" s="38">
        <v>0</v>
      </c>
      <c r="H68" s="38">
        <v>0</v>
      </c>
      <c r="I68" s="38">
        <v>20</v>
      </c>
      <c r="J68" s="38">
        <v>0</v>
      </c>
      <c r="K68" s="38">
        <v>0</v>
      </c>
      <c r="L68" s="38">
        <v>0</v>
      </c>
      <c r="M68" s="38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>
      <c r="A69" s="38">
        <v>63</v>
      </c>
      <c r="B69" s="41" t="s">
        <v>166</v>
      </c>
      <c r="C69" s="38">
        <f ca="1">COUNTIFS(F69:T69,"&gt;0",$F$3:T$3,"&lt;13")</f>
        <v>1</v>
      </c>
      <c r="D69" s="38">
        <f ca="1">SUMIF($F$3:T$3,"&lt;13",F69:T69)</f>
        <v>15</v>
      </c>
      <c r="E69" s="40">
        <f ca="1">IFERROR(__xludf.DUMMYFUNCTION("ARRAY_CONSTRAIN(ARRAYFORMULA(SUMPRODUCT(LARGE(FILTER(F69:T69, F$3:T$3 &lt; 13),{1,2,3,4,5,6,7}))), 1, 1)"),15)</f>
        <v>15</v>
      </c>
      <c r="F69" s="38">
        <v>0</v>
      </c>
      <c r="G69" s="38">
        <v>0</v>
      </c>
      <c r="H69" s="38">
        <v>0</v>
      </c>
      <c r="I69" s="38">
        <v>15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>
      <c r="A70" s="38">
        <v>64</v>
      </c>
      <c r="B70" s="41" t="s">
        <v>167</v>
      </c>
      <c r="C70" s="38">
        <f ca="1">COUNTIFS(F70:T70,"&gt;0",$F$3:T$3,"&lt;13")</f>
        <v>1</v>
      </c>
      <c r="D70" s="38">
        <f ca="1">SUMIF($F$3:T$3,"&lt;13",F70:T70)</f>
        <v>15</v>
      </c>
      <c r="E70" s="40">
        <f ca="1">IFERROR(__xludf.DUMMYFUNCTION("ARRAY_CONSTRAIN(ARRAYFORMULA(SUMPRODUCT(LARGE(FILTER(F70:T70, F$3:T$3 &lt; 13),{1,2,3,4,5,6,7}))), 1, 1)"),15)</f>
        <v>15</v>
      </c>
      <c r="F70" s="38">
        <v>0</v>
      </c>
      <c r="G70" s="38">
        <v>0</v>
      </c>
      <c r="H70" s="38">
        <v>0</v>
      </c>
      <c r="I70" s="38">
        <v>15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38">
        <v>0</v>
      </c>
      <c r="T70" s="38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>
      <c r="A71" s="38">
        <v>65</v>
      </c>
      <c r="B71" s="39" t="s">
        <v>168</v>
      </c>
      <c r="C71" s="38">
        <f>COUNTIFS(F71:T71,"&gt;0",$F$3:T$3,"&lt;13")</f>
        <v>0</v>
      </c>
      <c r="D71" s="38">
        <f ca="1">SUMIF($F$3:T$3,"&lt;13",F71:T71)</f>
        <v>0</v>
      </c>
      <c r="E71" s="40">
        <f ca="1">IFERROR(__xludf.DUMMYFUNCTION("ARRAY_CONSTRAIN(ARRAYFORMULA(SUMPRODUCT(LARGE(FILTER(F71:T71, F$3:T$3 &lt; 13),{1,2,3,4,5,6,7}))), 1, 1)"),0)</f>
        <v>0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>
      <c r="A72" s="38">
        <v>66</v>
      </c>
      <c r="B72" s="41" t="s">
        <v>169</v>
      </c>
      <c r="C72" s="38">
        <f>COUNTIFS(F72:T72,"&gt;0",$F$3:T$3,"&lt;13")</f>
        <v>0</v>
      </c>
      <c r="D72" s="38">
        <f ca="1">SUMIF($F$3:T$3,"&lt;13",F72:T72)</f>
        <v>0</v>
      </c>
      <c r="E72" s="40">
        <f ca="1">IFERROR(__xludf.DUMMYFUNCTION("ARRAY_CONSTRAIN(ARRAYFORMULA(SUMPRODUCT(LARGE(FILTER(F72:T72, F$3:T$3 &lt; 13),{1,2,3,4,5,6,7}))), 1, 1)"),0)</f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60</v>
      </c>
      <c r="AF72">
        <v>100</v>
      </c>
      <c r="AG72">
        <v>0</v>
      </c>
      <c r="AH72">
        <v>50</v>
      </c>
      <c r="AI72">
        <v>30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35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>
      <c r="A73" s="38">
        <v>67</v>
      </c>
      <c r="B73" s="41" t="s">
        <v>170</v>
      </c>
      <c r="C73" s="38">
        <f>COUNTIFS(F73:T73,"&gt;0",$F$3:T$3,"&lt;13")</f>
        <v>0</v>
      </c>
      <c r="D73" s="38">
        <f ca="1">SUMIF($F$3:T$3,"&lt;13",F73:T73)</f>
        <v>0</v>
      </c>
      <c r="E73" s="40">
        <f ca="1">IFERROR(__xludf.DUMMYFUNCTION("ARRAY_CONSTRAIN(ARRAYFORMULA(SUMPRODUCT(LARGE(FILTER(F73:T73, F$3:T$3 &lt; 13),{1,2,3,4,5,6,7}))), 1, 1)"),0)</f>
        <v>0</v>
      </c>
      <c r="F73" s="38"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100</v>
      </c>
    </row>
    <row r="74" spans="1:53">
      <c r="A74" s="38">
        <v>68</v>
      </c>
      <c r="B74" s="41" t="s">
        <v>171</v>
      </c>
      <c r="C74" s="38">
        <f>COUNTIFS(F74:T74,"&gt;0",$F$3:T$3,"&lt;13")</f>
        <v>0</v>
      </c>
      <c r="D74" s="38">
        <f ca="1">SUMIF($F$3:T$3,"&lt;13",F74:T74)</f>
        <v>0</v>
      </c>
      <c r="E74" s="40">
        <f ca="1">IFERROR(__xludf.DUMMYFUNCTION("ARRAY_CONSTRAIN(ARRAYFORMULA(SUMPRODUCT(LARGE(FILTER(F74:T74, F$3:T$3 &lt; 13),{1,2,3,4,5,6,7}))), 1, 1)"),0)</f>
        <v>0</v>
      </c>
      <c r="F74" s="38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>
        <v>45</v>
      </c>
      <c r="V74">
        <v>0</v>
      </c>
      <c r="W74">
        <v>100</v>
      </c>
      <c r="X74">
        <v>50</v>
      </c>
      <c r="Y74">
        <v>50</v>
      </c>
      <c r="Z74">
        <v>100</v>
      </c>
      <c r="AA74">
        <v>35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45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>
      <c r="A75" s="38">
        <v>69</v>
      </c>
      <c r="B75" s="41" t="s">
        <v>172</v>
      </c>
      <c r="C75" s="38">
        <f>COUNTIFS(F75:T75,"&gt;0",$F$3:T$3,"&lt;13")</f>
        <v>0</v>
      </c>
      <c r="D75" s="38">
        <f ca="1">SUMIF($F$3:T$3,"&lt;13",F75:T75)</f>
        <v>0</v>
      </c>
      <c r="E75" s="40">
        <f ca="1">IFERROR(__xludf.DUMMYFUNCTION("ARRAY_CONSTRAIN(ARRAYFORMULA(SUMPRODUCT(LARGE(FILTER(F75:T75, F$3:T$3 &lt; 13),{1,2,3,4,5,6,7}))), 1, 1)"),0)</f>
        <v>0</v>
      </c>
      <c r="F75" s="38">
        <v>0</v>
      </c>
      <c r="G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60</v>
      </c>
      <c r="AF75">
        <v>70</v>
      </c>
      <c r="AG75">
        <v>0</v>
      </c>
      <c r="AH75">
        <v>50</v>
      </c>
      <c r="AI75">
        <v>30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>
      <c r="A76" s="38">
        <v>70</v>
      </c>
      <c r="B76" s="41" t="s">
        <v>173</v>
      </c>
      <c r="C76" s="38">
        <f>COUNTIFS(F76:T76,"&gt;0",$F$3:T$3,"&lt;13")</f>
        <v>0</v>
      </c>
      <c r="D76" s="38">
        <f ca="1">SUMIF($F$3:T$3,"&lt;13",F76:T76)</f>
        <v>0</v>
      </c>
      <c r="E76" s="40">
        <f ca="1">IFERROR(__xludf.DUMMYFUNCTION("ARRAY_CONSTRAIN(ARRAYFORMULA(SUMPRODUCT(LARGE(FILTER(F76:T76, F$3:T$3 &lt; 13),{1,2,3,4,5,6,7}))), 1, 1)"),0)</f>
        <v>0</v>
      </c>
      <c r="F76" s="38">
        <v>0</v>
      </c>
      <c r="G76" s="38">
        <v>0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>
      <c r="A77" s="38">
        <v>71</v>
      </c>
      <c r="B77" s="41" t="s">
        <v>174</v>
      </c>
      <c r="C77" s="38">
        <f>COUNTIFS(F77:T77,"&gt;0",$F$3:T$3,"&lt;13")</f>
        <v>0</v>
      </c>
      <c r="D77" s="38">
        <f ca="1">SUMIF($F$3:T$3,"&lt;13",F77:T77)</f>
        <v>0</v>
      </c>
      <c r="E77" s="40">
        <f ca="1">IFERROR(__xludf.DUMMYFUNCTION("ARRAY_CONSTRAIN(ARRAYFORMULA(SUMPRODUCT(LARGE(FILTER(F77:T77, F$3:T$3 &lt; 13),{1,2,3,4,5,6,7}))), 1, 1)"),0)</f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>
      <c r="A78" s="38">
        <v>72</v>
      </c>
      <c r="B78" s="41" t="s">
        <v>175</v>
      </c>
      <c r="C78" s="38">
        <f>COUNTIFS(F78:T78,"&gt;0",$F$3:T$3,"&lt;13")</f>
        <v>0</v>
      </c>
      <c r="D78" s="38">
        <f ca="1">SUMIF($F$3:T$3,"&lt;13",F78:T78)</f>
        <v>0</v>
      </c>
      <c r="E78" s="40">
        <f ca="1">IFERROR(__xludf.DUMMYFUNCTION("ARRAY_CONSTRAIN(ARRAYFORMULA(SUMPRODUCT(LARGE(FILTER(F78:T78, F$3:T$3 &lt; 13),{1,2,3,4,5,6,7}))), 1, 1)"),0)</f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100</v>
      </c>
    </row>
    <row r="79" spans="1:53">
      <c r="A79" s="38">
        <v>73</v>
      </c>
      <c r="B79" s="41" t="s">
        <v>176</v>
      </c>
      <c r="C79" s="38">
        <f>COUNTIFS(F79:T79,"&gt;0",$F$3:T$3,"&lt;13")</f>
        <v>0</v>
      </c>
      <c r="D79" s="38">
        <f ca="1">SUMIF($F$3:T$3,"&lt;13",F79:T79)</f>
        <v>0</v>
      </c>
      <c r="E79" s="40">
        <f ca="1">IFERROR(__xludf.DUMMYFUNCTION("ARRAY_CONSTRAIN(ARRAYFORMULA(SUMPRODUCT(LARGE(FILTER(F79:T79, F$3:T$3 &lt; 13),{1,2,3,4,5,6,7}))), 1, 1)"),0)</f>
        <v>0</v>
      </c>
      <c r="F79" s="38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40">
        <v>0</v>
      </c>
      <c r="O79" s="40">
        <v>0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>
        <v>0</v>
      </c>
      <c r="V79">
        <v>0</v>
      </c>
      <c r="W79">
        <v>90</v>
      </c>
      <c r="X79">
        <v>30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100</v>
      </c>
      <c r="AF79">
        <v>60</v>
      </c>
      <c r="AG79">
        <v>0</v>
      </c>
      <c r="AH79">
        <v>50</v>
      </c>
      <c r="AI79">
        <v>25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>
      <c r="A80" s="38">
        <v>74</v>
      </c>
      <c r="B80" s="41" t="s">
        <v>177</v>
      </c>
      <c r="C80" s="38">
        <f>COUNTIFS(F80:T80,"&gt;0",$F$3:T$3,"&lt;13")</f>
        <v>0</v>
      </c>
      <c r="D80" s="38">
        <f ca="1">SUMIF($F$3:T$3,"&lt;13",F80:T80)</f>
        <v>0</v>
      </c>
      <c r="E80" s="40">
        <f ca="1">IFERROR(__xludf.DUMMYFUNCTION("ARRAY_CONSTRAIN(ARRAYFORMULA(SUMPRODUCT(LARGE(FILTER(F80:T80, F$3:T$3 &lt; 13),{1,2,3,4,5,6,7}))), 1, 1)"),0)</f>
        <v>0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70</v>
      </c>
      <c r="AF80">
        <v>0</v>
      </c>
      <c r="AG80">
        <v>0</v>
      </c>
      <c r="AH80">
        <v>0</v>
      </c>
      <c r="AI80">
        <v>30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30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>
      <c r="A81" s="38">
        <v>75</v>
      </c>
      <c r="B81" s="41" t="s">
        <v>178</v>
      </c>
      <c r="C81" s="38">
        <f>COUNTIFS(F81:T81,"&gt;0",$F$3:T$3,"&lt;13")</f>
        <v>0</v>
      </c>
      <c r="D81" s="38">
        <f ca="1">SUMIF($F$3:T$3,"&lt;13",F81:T81)</f>
        <v>0</v>
      </c>
      <c r="E81" s="40">
        <f ca="1">IFERROR(__xludf.DUMMYFUNCTION("ARRAY_CONSTRAIN(ARRAYFORMULA(SUMPRODUCT(LARGE(FILTER(F81:T81, F$3:T$3 &lt; 13),{1,2,3,4,5,6,7}))), 1, 1)"),0)</f>
        <v>0</v>
      </c>
      <c r="F81" s="38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100</v>
      </c>
      <c r="AG81">
        <v>0</v>
      </c>
      <c r="AH81">
        <v>0</v>
      </c>
      <c r="AI81">
        <v>25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>
      <c r="A82" s="38">
        <v>76</v>
      </c>
      <c r="B82" s="41" t="s">
        <v>179</v>
      </c>
      <c r="C82" s="38">
        <f>COUNTIFS(F82:T82,"&gt;0",$F$3:T$3,"&lt;13")</f>
        <v>0</v>
      </c>
      <c r="D82" s="38">
        <f ca="1">SUMIF($F$3:T$3,"&lt;13",F82:T82)</f>
        <v>0</v>
      </c>
      <c r="E82" s="40">
        <f ca="1">IFERROR(__xludf.DUMMYFUNCTION("ARRAY_CONSTRAIN(ARRAYFORMULA(SUMPRODUCT(LARGE(FILTER(F82:T82, F$3:T$3 &lt; 13),{1,2,3,4,5,6,7}))), 1, 1)"),0)</f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40">
        <v>0</v>
      </c>
      <c r="T82" s="40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>
      <c r="A83" s="38">
        <v>77</v>
      </c>
      <c r="B83" s="41" t="s">
        <v>180</v>
      </c>
      <c r="C83" s="38">
        <f>COUNTIFS(F83:T83,"&gt;0",$F$3:T$3,"&lt;13")</f>
        <v>0</v>
      </c>
      <c r="D83" s="38">
        <f ca="1">SUMIF($F$3:T$3,"&lt;13",F83:T83)</f>
        <v>0</v>
      </c>
      <c r="E83" s="40">
        <f ca="1">IFERROR(__xludf.DUMMYFUNCTION("ARRAY_CONSTRAIN(ARRAYFORMULA(SUMPRODUCT(LARGE(FILTER(F83:T83, F$3:T$3 &lt; 13),{1,2,3,4,5,6,7}))), 1, 1)"),0)</f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40">
        <v>0</v>
      </c>
      <c r="O83" s="40">
        <v>0</v>
      </c>
      <c r="P83" s="40">
        <v>0</v>
      </c>
      <c r="Q83" s="40">
        <v>0</v>
      </c>
      <c r="R83" s="40">
        <v>0</v>
      </c>
      <c r="S83" s="40">
        <v>0</v>
      </c>
      <c r="T83" s="40">
        <v>0</v>
      </c>
      <c r="U83">
        <v>0</v>
      </c>
      <c r="V83">
        <v>0</v>
      </c>
      <c r="W83">
        <v>0</v>
      </c>
      <c r="X83">
        <v>0</v>
      </c>
      <c r="Y83">
        <v>30</v>
      </c>
      <c r="Z83">
        <v>100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>
      <c r="A84" s="38">
        <v>78</v>
      </c>
      <c r="B84" s="41" t="s">
        <v>181</v>
      </c>
      <c r="C84" s="38">
        <f>COUNTIFS(F84:T84,"&gt;0",$F$3:T$3,"&lt;13")</f>
        <v>0</v>
      </c>
      <c r="D84" s="38">
        <f ca="1">SUMIF($F$3:T$3,"&lt;13",F84:T84)</f>
        <v>0</v>
      </c>
      <c r="E84" s="40">
        <f ca="1">IFERROR(__xludf.DUMMYFUNCTION("ARRAY_CONSTRAIN(ARRAYFORMULA(SUMPRODUCT(LARGE(FILTER(F84:T84, F$3:T$3 &lt; 13),{1,2,3,4,5,6,7}))), 1, 1)"),0)</f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T84" s="40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>
      <c r="A85" s="38">
        <v>79</v>
      </c>
      <c r="B85" s="41" t="s">
        <v>182</v>
      </c>
      <c r="C85" s="38">
        <f>COUNTIFS(F85:T85,"&gt;0",$F$3:T$3,"&lt;13")</f>
        <v>0</v>
      </c>
      <c r="D85" s="38">
        <f ca="1">SUMIF($F$3:T$3,"&lt;13",F85:T85)</f>
        <v>0</v>
      </c>
      <c r="E85" s="40">
        <f ca="1">IFERROR(__xludf.DUMMYFUNCTION("ARRAY_CONSTRAIN(ARRAYFORMULA(SUMPRODUCT(LARGE(FILTER(F85:T85, F$3:T$3 &lt; 13),{1,2,3,4,5,6,7}))), 1, 1)"),0)</f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100</v>
      </c>
      <c r="AF85">
        <v>80</v>
      </c>
      <c r="AG85">
        <v>0</v>
      </c>
      <c r="AH85">
        <v>0</v>
      </c>
      <c r="AI85">
        <v>35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>
      <c r="A86" s="38">
        <v>80</v>
      </c>
      <c r="B86" s="41" t="s">
        <v>183</v>
      </c>
      <c r="C86" s="38">
        <f>COUNTIFS(F86:T86,"&gt;0",$F$3:T$3,"&lt;13")</f>
        <v>0</v>
      </c>
      <c r="D86" s="38">
        <f ca="1">SUMIF($F$3:T$3,"&lt;13",F86:T86)</f>
        <v>0</v>
      </c>
      <c r="E86" s="40">
        <f ca="1">IFERROR(__xludf.DUMMYFUNCTION("ARRAY_CONSTRAIN(ARRAYFORMULA(SUMPRODUCT(LARGE(FILTER(F86:T86, F$3:T$3 &lt; 13),{1,2,3,4,5,6,7}))), 1, 1)"),0)</f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>
      <c r="A87" s="38">
        <v>81</v>
      </c>
      <c r="B87" s="41" t="s">
        <v>184</v>
      </c>
      <c r="C87" s="38">
        <f>COUNTIFS(F87:T87,"&gt;0",$F$3:T$3,"&lt;13")</f>
        <v>0</v>
      </c>
      <c r="D87" s="38">
        <f ca="1">SUMIF($F$3:T$3,"&lt;13",F87:T87)</f>
        <v>0</v>
      </c>
      <c r="E87" s="40">
        <f ca="1">IFERROR(__xludf.DUMMYFUNCTION("ARRAY_CONSTRAIN(ARRAYFORMULA(SUMPRODUCT(LARGE(FILTER(F87:T87, F$3:T$3 &lt; 13),{1,2,3,4,5,6,7}))), 1, 1)"),0)</f>
        <v>0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40">
        <v>0</v>
      </c>
      <c r="O87" s="40">
        <v>0</v>
      </c>
      <c r="P87" s="40">
        <v>0</v>
      </c>
      <c r="Q87" s="40">
        <v>0</v>
      </c>
      <c r="R87" s="40">
        <v>0</v>
      </c>
      <c r="S87" s="40">
        <v>0</v>
      </c>
      <c r="T87" s="40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>
      <c r="A88" s="38">
        <v>82</v>
      </c>
      <c r="B88" s="41" t="s">
        <v>185</v>
      </c>
      <c r="C88" s="38">
        <f>COUNTIFS(F88:T88,"&gt;0",$F$3:T$3,"&lt;13")</f>
        <v>0</v>
      </c>
      <c r="D88" s="38">
        <f ca="1">SUMIF($F$3:T$3,"&lt;13",F88:T88)</f>
        <v>0</v>
      </c>
      <c r="E88" s="40">
        <f ca="1">IFERROR(__xludf.DUMMYFUNCTION("ARRAY_CONSTRAIN(ARRAYFORMULA(SUMPRODUCT(LARGE(FILTER(F88:T88, F$3:T$3 &lt; 13),{1,2,3,4,5,6,7}))), 1, 1)"),0)</f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50</v>
      </c>
      <c r="BA88">
        <v>90</v>
      </c>
    </row>
    <row r="89" spans="1:53">
      <c r="A89" s="38">
        <v>83</v>
      </c>
      <c r="B89" s="41" t="s">
        <v>186</v>
      </c>
      <c r="C89" s="38">
        <f>COUNTIFS(F89:T89,"&gt;0",$F$3:T$3,"&lt;13")</f>
        <v>0</v>
      </c>
      <c r="D89" s="38">
        <f ca="1">SUMIF($F$3:T$3,"&lt;13",F89:T89)</f>
        <v>0</v>
      </c>
      <c r="E89" s="40">
        <f ca="1">IFERROR(__xludf.DUMMYFUNCTION("ARRAY_CONSTRAIN(ARRAYFORMULA(SUMPRODUCT(LARGE(FILTER(F89:T89, F$3:T$3 &lt; 13),{1,2,3,4,5,6,7}))), 1, 1)"),0)</f>
        <v>0</v>
      </c>
      <c r="F89" s="38">
        <v>0</v>
      </c>
      <c r="G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40">
        <v>0</v>
      </c>
      <c r="O89" s="40">
        <v>0</v>
      </c>
      <c r="P89" s="40">
        <v>0</v>
      </c>
      <c r="Q89" s="40">
        <v>0</v>
      </c>
      <c r="R89" s="40">
        <v>0</v>
      </c>
      <c r="S89" s="40">
        <v>0</v>
      </c>
      <c r="T89" s="40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>
      <c r="A90" s="38">
        <v>84</v>
      </c>
      <c r="B90" s="41" t="s">
        <v>187</v>
      </c>
      <c r="C90" s="38">
        <f>COUNTIFS(F90:T90,"&gt;0",$F$3:T$3,"&lt;13")</f>
        <v>0</v>
      </c>
      <c r="D90" s="38">
        <f ca="1">SUMIF($F$3:T$3,"&lt;13",F90:T90)</f>
        <v>0</v>
      </c>
      <c r="E90" s="40">
        <f ca="1">IFERROR(__xludf.DUMMYFUNCTION("ARRAY_CONSTRAIN(ARRAYFORMULA(SUMPRODUCT(LARGE(FILTER(F90:T90, F$3:T$3 &lt; 13),{1,2,3,4,5,6,7}))), 1, 1)"),0)</f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>
      <c r="A91" s="38">
        <v>85</v>
      </c>
      <c r="B91" s="41" t="s">
        <v>188</v>
      </c>
      <c r="C91" s="38">
        <f>COUNTIFS(F91:T91,"&gt;0",$F$3:T$3,"&lt;13")</f>
        <v>0</v>
      </c>
      <c r="D91" s="38">
        <f ca="1">SUMIF($F$3:T$3,"&lt;13",F91:T91)</f>
        <v>0</v>
      </c>
      <c r="E91" s="40">
        <f ca="1">IFERROR(__xludf.DUMMYFUNCTION("ARRAY_CONSTRAIN(ARRAYFORMULA(SUMPRODUCT(LARGE(FILTER(F91:T91, F$3:T$3 &lt; 13),{1,2,3,4,5,6,7}))), 1, 1)"),0)</f>
        <v>0</v>
      </c>
      <c r="F91" s="38">
        <v>0</v>
      </c>
      <c r="G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60</v>
      </c>
      <c r="AF91">
        <v>50</v>
      </c>
      <c r="AG91">
        <v>0</v>
      </c>
      <c r="AH91">
        <v>50</v>
      </c>
      <c r="AI91">
        <v>25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>
      <c r="A92" s="38">
        <v>86</v>
      </c>
      <c r="B92" s="41" t="s">
        <v>189</v>
      </c>
      <c r="C92" s="38">
        <f>COUNTIFS(F92:T92,"&gt;0",$F$3:T$3,"&lt;13")</f>
        <v>0</v>
      </c>
      <c r="D92" s="38">
        <f ca="1">SUMIF($F$3:T$3,"&lt;13",F92:T92)</f>
        <v>0</v>
      </c>
      <c r="E92" s="40">
        <f ca="1">IFERROR(__xludf.DUMMYFUNCTION("ARRAY_CONSTRAIN(ARRAYFORMULA(SUMPRODUCT(LARGE(FILTER(F92:T92, F$3:T$3 &lt; 13),{1,2,3,4,5,6,7}))), 1, 1)"),0)</f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T92" s="40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>
      <c r="A93" s="38">
        <v>87</v>
      </c>
      <c r="B93" s="41" t="s">
        <v>190</v>
      </c>
      <c r="C93" s="38">
        <f>COUNTIFS(F93:T93,"&gt;0",$F$3:T$3,"&lt;13")</f>
        <v>0</v>
      </c>
      <c r="D93" s="38">
        <f ca="1">SUMIF($F$3:T$3,"&lt;13",F93:T93)</f>
        <v>0</v>
      </c>
      <c r="E93" s="40">
        <f ca="1">IFERROR(__xludf.DUMMYFUNCTION("ARRAY_CONSTRAIN(ARRAYFORMULA(SUMPRODUCT(LARGE(FILTER(F93:T93, F$3:T$3 &lt; 13),{1,2,3,4,5,6,7}))), 1, 1)"),0)</f>
        <v>0</v>
      </c>
      <c r="F93" s="38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60</v>
      </c>
      <c r="AG93">
        <v>0</v>
      </c>
      <c r="AH93">
        <v>0</v>
      </c>
      <c r="AI93">
        <v>25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>
      <c r="A94" s="38">
        <v>88</v>
      </c>
      <c r="B94" s="39" t="s">
        <v>191</v>
      </c>
      <c r="C94" s="38">
        <f>COUNTIFS(F94:T94,"&gt;0",$F$3:T$3,"&lt;13")</f>
        <v>0</v>
      </c>
      <c r="D94" s="38">
        <f ca="1">SUMIF($F$3:T$3,"&lt;13",F94:T94)</f>
        <v>0</v>
      </c>
      <c r="E94" s="40">
        <f ca="1">IFERROR(__xludf.DUMMYFUNCTION("ARRAY_CONSTRAIN(ARRAYFORMULA(SUMPRODUCT(LARGE(FILTER(F94:T94, F$3:T$3 &lt; 13),{1,2,3,4,5,6,7}))), 1, 1)"),0)</f>
        <v>0</v>
      </c>
      <c r="F94" s="38">
        <v>0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40">
        <v>0</v>
      </c>
      <c r="O94" s="40">
        <v>0</v>
      </c>
      <c r="P94" s="40">
        <v>0</v>
      </c>
      <c r="Q94" s="40">
        <v>0</v>
      </c>
      <c r="R94" s="40">
        <v>0</v>
      </c>
      <c r="S94" s="40">
        <v>0</v>
      </c>
      <c r="T94" s="40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45</v>
      </c>
      <c r="AT94">
        <v>45</v>
      </c>
      <c r="AU94">
        <v>30</v>
      </c>
      <c r="AV94">
        <v>30</v>
      </c>
      <c r="AW94">
        <v>40</v>
      </c>
      <c r="AX94">
        <v>0</v>
      </c>
      <c r="AY94">
        <v>40</v>
      </c>
      <c r="AZ94">
        <v>0</v>
      </c>
      <c r="BA94">
        <v>0</v>
      </c>
    </row>
    <row r="95" spans="1:53">
      <c r="A95" s="38">
        <v>89</v>
      </c>
      <c r="B95" s="39" t="s">
        <v>192</v>
      </c>
      <c r="C95" s="38">
        <f>COUNTIFS(F95:T95,"&gt;0",$F$3:T$3,"&lt;13")</f>
        <v>0</v>
      </c>
      <c r="D95" s="38">
        <f ca="1">SUMIF($F$3:T$3,"&lt;13",F95:T95)</f>
        <v>0</v>
      </c>
      <c r="E95" s="40">
        <f ca="1">IFERROR(__xludf.DUMMYFUNCTION("ARRAY_CONSTRAIN(ARRAYFORMULA(SUMPRODUCT(LARGE(FILTER(F95:T95, F$3:T$3 &lt; 13),{1,2,3,4,5,6,7}))), 1, 1)"),0)</f>
        <v>0</v>
      </c>
      <c r="F95" s="38">
        <v>0</v>
      </c>
      <c r="G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>
      <c r="A96" s="38">
        <v>90</v>
      </c>
      <c r="B96" s="41" t="s">
        <v>193</v>
      </c>
      <c r="C96" s="38">
        <f>COUNTIFS(F96:T96,"&gt;0",$F$3:T$3,"&lt;13")</f>
        <v>0</v>
      </c>
      <c r="D96" s="38">
        <f ca="1">SUMIF($F$3:T$3,"&lt;13",F96:T96)</f>
        <v>0</v>
      </c>
      <c r="E96" s="40">
        <f ca="1">IFERROR(__xludf.DUMMYFUNCTION("ARRAY_CONSTRAIN(ARRAYFORMULA(SUMPRODUCT(LARGE(FILTER(F96:T96, F$3:T$3 &lt; 13),{1,2,3,4,5,6,7}))), 1, 1)"),0)</f>
        <v>0</v>
      </c>
      <c r="F96" s="38">
        <v>0</v>
      </c>
      <c r="G96" s="38">
        <v>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>
      <c r="A97" s="38">
        <v>91</v>
      </c>
      <c r="B97" s="41" t="s">
        <v>194</v>
      </c>
      <c r="C97" s="38">
        <f>COUNTIFS(F97:T97,"&gt;0",$F$3:T$3,"&lt;13")</f>
        <v>0</v>
      </c>
      <c r="D97" s="38">
        <f ca="1">SUMIF($F$3:T$3,"&lt;13",F97:T97)</f>
        <v>0</v>
      </c>
      <c r="E97" s="40">
        <f ca="1">IFERROR(__xludf.DUMMYFUNCTION("ARRAY_CONSTRAIN(ARRAYFORMULA(SUMPRODUCT(LARGE(FILTER(F97:T97, F$3:T$3 &lt; 13),{1,2,3,4,5,6,7}))), 1, 1)"),0)</f>
        <v>0</v>
      </c>
      <c r="F97" s="38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40">
        <v>0</v>
      </c>
      <c r="O97" s="40">
        <v>0</v>
      </c>
      <c r="P97" s="40">
        <v>0</v>
      </c>
      <c r="Q97" s="40">
        <v>0</v>
      </c>
      <c r="R97" s="40">
        <v>0</v>
      </c>
      <c r="S97" s="40">
        <v>0</v>
      </c>
      <c r="T97" s="40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>
      <c r="A98" s="38">
        <v>92</v>
      </c>
      <c r="B98" s="41" t="s">
        <v>195</v>
      </c>
      <c r="C98" s="38">
        <f>COUNTIFS(F98:T98,"&gt;0",$F$3:T$3,"&lt;13")</f>
        <v>0</v>
      </c>
      <c r="D98" s="38">
        <f ca="1">SUMIF($F$3:T$3,"&lt;13",F98:T98)</f>
        <v>0</v>
      </c>
      <c r="E98" s="40">
        <f ca="1">IFERROR(__xludf.DUMMYFUNCTION("ARRAY_CONSTRAIN(ARRAYFORMULA(SUMPRODUCT(LARGE(FILTER(F98:T98, F$3:T$3 &lt; 13),{1,2,3,4,5,6,7}))), 1, 1)"),0)</f>
        <v>0</v>
      </c>
      <c r="F98" s="38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T98" s="40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>
      <c r="A99" s="38">
        <v>93</v>
      </c>
      <c r="B99" s="39" t="s">
        <v>196</v>
      </c>
      <c r="C99" s="38">
        <f>COUNTIFS(F99:T99,"&gt;0",$F$3:T$3,"&lt;13")</f>
        <v>0</v>
      </c>
      <c r="D99" s="38">
        <f ca="1">SUMIF($F$3:T$3,"&lt;13",F99:T99)</f>
        <v>0</v>
      </c>
      <c r="E99" s="40">
        <f ca="1">IFERROR(__xludf.DUMMYFUNCTION("ARRAY_CONSTRAIN(ARRAYFORMULA(SUMPRODUCT(LARGE(FILTER(F99:T99, F$3:T$3 &lt; 13),{1,2,3,4,5,6,7}))), 1, 1)"),0)</f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40">
        <v>0</v>
      </c>
      <c r="O99" s="40">
        <v>0</v>
      </c>
      <c r="P99" s="40">
        <v>0</v>
      </c>
      <c r="Q99" s="40">
        <v>0</v>
      </c>
      <c r="R99" s="40">
        <v>0</v>
      </c>
      <c r="S99" s="40">
        <v>0</v>
      </c>
      <c r="T99" s="40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25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>
      <c r="A100" s="38">
        <v>94</v>
      </c>
      <c r="B100" s="41" t="s">
        <v>197</v>
      </c>
      <c r="C100" s="38">
        <f>COUNTIFS(F100:T100,"&gt;0",$F$3:T$3,"&lt;13")</f>
        <v>0</v>
      </c>
      <c r="D100" s="38">
        <f ca="1">SUMIF($F$3:T$3,"&lt;13",F100:T100)</f>
        <v>0</v>
      </c>
      <c r="E100" s="40">
        <f ca="1">IFERROR(__xludf.DUMMYFUNCTION("ARRAY_CONSTRAIN(ARRAYFORMULA(SUMPRODUCT(LARGE(FILTER(F100:T100, F$3:T$3 &lt; 13),{1,2,3,4,5,6,7}))), 1, 1)"),0)</f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spans="1:53">
      <c r="A101" s="38">
        <v>95</v>
      </c>
      <c r="B101" s="41" t="s">
        <v>198</v>
      </c>
      <c r="C101" s="38">
        <f>COUNTIFS(F101:T101,"&gt;0",$F$3:T$3,"&lt;13")</f>
        <v>0</v>
      </c>
      <c r="D101" s="38">
        <f ca="1">SUMIF($F$3:T$3,"&lt;13",F101:T101)</f>
        <v>0</v>
      </c>
      <c r="E101" s="40">
        <f ca="1">IFERROR(__xludf.DUMMYFUNCTION("ARRAY_CONSTRAIN(ARRAYFORMULA(SUMPRODUCT(LARGE(FILTER(F101:T101, F$3:T$3 &lt; 13),{1,2,3,4,5,6,7}))), 1, 1)"),0)</f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>
      <c r="A102" s="38">
        <v>96</v>
      </c>
      <c r="B102" s="41" t="s">
        <v>199</v>
      </c>
      <c r="C102" s="38">
        <f>COUNTIFS(F102:T102,"&gt;0",$F$3:T$3,"&lt;13")</f>
        <v>0</v>
      </c>
      <c r="D102" s="38">
        <f ca="1">SUMIF($F$3:T$3,"&lt;13",F102:T102)</f>
        <v>0</v>
      </c>
      <c r="E102" s="40">
        <f ca="1">IFERROR(__xludf.DUMMYFUNCTION("ARRAY_CONSTRAIN(ARRAYFORMULA(SUMPRODUCT(LARGE(FILTER(F102:T102, F$3:T$3 &lt; 13),{1,2,3,4,5,6,7}))), 1, 1)"),0)</f>
        <v>0</v>
      </c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T102" s="40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>
      <c r="A103" s="38">
        <v>97</v>
      </c>
      <c r="B103" s="41" t="s">
        <v>200</v>
      </c>
      <c r="C103" s="38">
        <f>COUNTIFS(F103:T103,"&gt;0",$F$3:T$3,"&lt;13")</f>
        <v>0</v>
      </c>
      <c r="D103" s="38">
        <f ca="1">SUMIF($F$3:T$3,"&lt;13",F103:T103)</f>
        <v>0</v>
      </c>
      <c r="E103" s="40">
        <f ca="1">IFERROR(__xludf.DUMMYFUNCTION("ARRAY_CONSTRAIN(ARRAYFORMULA(SUMPRODUCT(LARGE(FILTER(F103:T103, F$3:T$3 &lt; 13),{1,2,3,4,5,6,7}))), 1, 1)"),0)</f>
        <v>0</v>
      </c>
      <c r="F103" s="38">
        <v>0</v>
      </c>
      <c r="G103" s="38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40">
        <v>0</v>
      </c>
      <c r="O103" s="40">
        <v>0</v>
      </c>
      <c r="P103" s="40">
        <v>0</v>
      </c>
      <c r="Q103" s="40">
        <v>0</v>
      </c>
      <c r="R103" s="40">
        <v>0</v>
      </c>
      <c r="S103" s="40">
        <v>0</v>
      </c>
      <c r="T103" s="40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45</v>
      </c>
      <c r="BA103">
        <v>60</v>
      </c>
    </row>
    <row r="104" spans="1:53">
      <c r="A104" s="38">
        <v>98</v>
      </c>
      <c r="B104" s="41" t="s">
        <v>201</v>
      </c>
      <c r="C104" s="38">
        <f>COUNTIFS(F104:T104,"&gt;0",$F$3:T$3,"&lt;13")</f>
        <v>0</v>
      </c>
      <c r="D104" s="38">
        <f ca="1">SUMIF($F$3:T$3,"&lt;13",F104:T104)</f>
        <v>0</v>
      </c>
      <c r="E104" s="40">
        <f ca="1">IFERROR(__xludf.DUMMYFUNCTION("ARRAY_CONSTRAIN(ARRAYFORMULA(SUMPRODUCT(LARGE(FILTER(F104:T104, F$3:T$3 &lt; 13),{1,2,3,4,5,6,7}))), 1, 1)"),0)</f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T104" s="40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>
      <c r="A105" s="38">
        <v>99</v>
      </c>
      <c r="B105" s="41" t="s">
        <v>202</v>
      </c>
      <c r="C105" s="38">
        <f>COUNTIFS(F105:T105,"&gt;0",$F$3:T$3,"&lt;13")</f>
        <v>0</v>
      </c>
      <c r="D105" s="38">
        <f ca="1">SUMIF($F$3:T$3,"&lt;13",F105:T105)</f>
        <v>0</v>
      </c>
      <c r="E105" s="40">
        <f ca="1">IFERROR(__xludf.DUMMYFUNCTION("ARRAY_CONSTRAIN(ARRAYFORMULA(SUMPRODUCT(LARGE(FILTER(F105:T105, F$3:T$3 &lt; 13),{1,2,3,4,5,6,7}))), 1, 1)"),0)</f>
        <v>0</v>
      </c>
      <c r="F105" s="38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40">
        <v>0</v>
      </c>
      <c r="O105" s="40">
        <v>0</v>
      </c>
      <c r="P105" s="40">
        <v>0</v>
      </c>
      <c r="Q105" s="40">
        <v>0</v>
      </c>
      <c r="R105" s="40">
        <v>0</v>
      </c>
      <c r="S105" s="40">
        <v>0</v>
      </c>
      <c r="T105" s="40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50</v>
      </c>
      <c r="AF105">
        <v>90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>
      <c r="A106" s="38">
        <v>100</v>
      </c>
      <c r="B106" s="41" t="s">
        <v>203</v>
      </c>
      <c r="C106" s="38">
        <f>COUNTIFS(F106:T106,"&gt;0",$F$3:T$3,"&lt;13")</f>
        <v>0</v>
      </c>
      <c r="D106" s="38">
        <f ca="1">SUMIF($F$3:T$3,"&lt;13",F106:T106)</f>
        <v>0</v>
      </c>
      <c r="E106" s="40">
        <f ca="1">IFERROR(__xludf.DUMMYFUNCTION("ARRAY_CONSTRAIN(ARRAYFORMULA(SUMPRODUCT(LARGE(FILTER(F106:T106, F$3:T$3 &lt; 13),{1,2,3,4,5,6,7}))), 1, 1)"),0)</f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>
      <c r="A107" s="38">
        <v>101</v>
      </c>
      <c r="B107" s="41" t="s">
        <v>204</v>
      </c>
      <c r="C107" s="38">
        <f>COUNTIFS(F107:T107,"&gt;0",$F$3:T$3,"&lt;13")</f>
        <v>0</v>
      </c>
      <c r="D107" s="38">
        <f ca="1">SUMIF($F$3:T$3,"&lt;13",F107:T107)</f>
        <v>0</v>
      </c>
      <c r="E107" s="40">
        <f ca="1">IFERROR(__xludf.DUMMYFUNCTION("ARRAY_CONSTRAIN(ARRAYFORMULA(SUMPRODUCT(LARGE(FILTER(F107:T107, F$3:T$3 &lt; 13),{1,2,3,4,5,6,7}))), 1, 1)"),0)</f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>
      <c r="A108" s="38">
        <v>102</v>
      </c>
      <c r="B108" s="41" t="s">
        <v>205</v>
      </c>
      <c r="C108" s="38">
        <f>COUNTIFS(F108:T108,"&gt;0",$F$3:T$3,"&lt;13")</f>
        <v>0</v>
      </c>
      <c r="D108" s="38">
        <f ca="1">SUMIF($F$3:T$3,"&lt;13",F108:T108)</f>
        <v>0</v>
      </c>
      <c r="E108" s="40">
        <f ca="1">IFERROR(__xludf.DUMMYFUNCTION("ARRAY_CONSTRAIN(ARRAYFORMULA(SUMPRODUCT(LARGE(FILTER(F108:T108, F$3:T$3 &lt; 13),{1,2,3,4,5,6,7}))), 1, 1)"),0)</f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40</v>
      </c>
      <c r="BA108">
        <v>80</v>
      </c>
    </row>
    <row r="109" spans="1:53">
      <c r="A109" s="38">
        <v>103</v>
      </c>
      <c r="B109" s="41" t="s">
        <v>206</v>
      </c>
      <c r="C109" s="38">
        <f>COUNTIFS(F109:T109,"&gt;0",$F$3:T$3,"&lt;13")</f>
        <v>0</v>
      </c>
      <c r="D109" s="38">
        <f ca="1">SUMIF($F$3:T$3,"&lt;13",F109:T109)</f>
        <v>0</v>
      </c>
      <c r="E109" s="40">
        <f ca="1">IFERROR(__xludf.DUMMYFUNCTION("ARRAY_CONSTRAIN(ARRAYFORMULA(SUMPRODUCT(LARGE(FILTER(F109:T109, F$3:T$3 &lt; 13),{1,2,3,4,5,6,7}))), 1, 1)"),0)</f>
        <v>0</v>
      </c>
      <c r="F109" s="38">
        <v>0</v>
      </c>
      <c r="G109" s="38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40">
        <v>0</v>
      </c>
      <c r="O109" s="40">
        <v>0</v>
      </c>
      <c r="P109" s="40">
        <v>0</v>
      </c>
      <c r="Q109" s="40">
        <v>0</v>
      </c>
      <c r="R109" s="40">
        <v>0</v>
      </c>
      <c r="S109" s="40">
        <v>0</v>
      </c>
      <c r="T109" s="40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>
      <c r="A110" s="38">
        <v>104</v>
      </c>
      <c r="B110" s="41" t="s">
        <v>207</v>
      </c>
      <c r="C110" s="38">
        <f>COUNTIFS(F110:T110,"&gt;0",$F$3:T$3,"&lt;13")</f>
        <v>0</v>
      </c>
      <c r="D110" s="38">
        <f ca="1">SUMIF($F$3:T$3,"&lt;13",F110:T110)</f>
        <v>0</v>
      </c>
      <c r="E110" s="40">
        <f ca="1">IFERROR(__xludf.DUMMYFUNCTION("ARRAY_CONSTRAIN(ARRAYFORMULA(SUMPRODUCT(LARGE(FILTER(F110:T110, F$3:T$3 &lt; 13),{1,2,3,4,5,6,7}))), 1, 1)"),0)</f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T110" s="4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>
      <c r="A111" s="38">
        <v>105</v>
      </c>
      <c r="B111" s="41" t="s">
        <v>208</v>
      </c>
      <c r="C111" s="38">
        <f>COUNTIFS(F111:T111,"&gt;0",$F$3:T$3,"&lt;13")</f>
        <v>0</v>
      </c>
      <c r="D111" s="38">
        <f ca="1">SUMIF($F$3:T$3,"&lt;13",F111:T111)</f>
        <v>0</v>
      </c>
      <c r="E111" s="40">
        <f ca="1">IFERROR(__xludf.DUMMYFUNCTION("ARRAY_CONSTRAIN(ARRAYFORMULA(SUMPRODUCT(LARGE(FILTER(F111:T111, F$3:T$3 &lt; 13),{1,2,3,4,5,6,7}))), 1, 1)"),0)</f>
        <v>0</v>
      </c>
      <c r="F111" s="38">
        <v>0</v>
      </c>
      <c r="G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50</v>
      </c>
      <c r="BA111">
        <v>80</v>
      </c>
    </row>
    <row r="112" spans="1:53">
      <c r="A112" s="38">
        <v>106</v>
      </c>
      <c r="B112" s="41" t="s">
        <v>209</v>
      </c>
      <c r="C112" s="38">
        <f>COUNTIFS(F112:T112,"&gt;0",$F$3:T$3,"&lt;13")</f>
        <v>0</v>
      </c>
      <c r="D112" s="38">
        <f ca="1">SUMIF($F$3:T$3,"&lt;13",F112:T112)</f>
        <v>0</v>
      </c>
      <c r="E112" s="40">
        <f ca="1">IFERROR(__xludf.DUMMYFUNCTION("ARRAY_CONSTRAIN(ARRAYFORMULA(SUMPRODUCT(LARGE(FILTER(F112:T112, F$3:T$3 &lt; 13),{1,2,3,4,5,6,7}))), 1, 1)"),0)</f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T112" s="40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40</v>
      </c>
      <c r="BA112">
        <v>70</v>
      </c>
    </row>
    <row r="113" spans="1:53">
      <c r="A113" s="38">
        <v>107</v>
      </c>
      <c r="B113" s="41" t="s">
        <v>210</v>
      </c>
      <c r="C113" s="38">
        <f>COUNTIFS(F113:T113,"&gt;0",$F$3:T$3,"&lt;13")</f>
        <v>0</v>
      </c>
      <c r="D113" s="38">
        <f ca="1">SUMIF($F$3:T$3,"&lt;13",F113:T113)</f>
        <v>0</v>
      </c>
      <c r="E113" s="40">
        <f ca="1">IFERROR(__xludf.DUMMYFUNCTION("ARRAY_CONSTRAIN(ARRAYFORMULA(SUMPRODUCT(LARGE(FILTER(F113:T113, F$3:T$3 &lt; 13),{1,2,3,4,5,6,7}))), 1, 1)"),0)</f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40">
        <v>0</v>
      </c>
      <c r="O113" s="40">
        <v>0</v>
      </c>
      <c r="P113" s="40">
        <v>0</v>
      </c>
      <c r="Q113" s="40">
        <v>0</v>
      </c>
      <c r="R113" s="40">
        <v>0</v>
      </c>
      <c r="S113" s="40">
        <v>0</v>
      </c>
      <c r="T113" s="40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>
      <c r="A114" s="38">
        <v>108</v>
      </c>
      <c r="B114" s="41" t="s">
        <v>211</v>
      </c>
      <c r="C114" s="38">
        <f>COUNTIFS(F114:T114,"&gt;0",$F$3:T$3,"&lt;13")</f>
        <v>0</v>
      </c>
      <c r="D114" s="38">
        <f ca="1">SUMIF($F$3:T$3,"&lt;13",F114:T114)</f>
        <v>0</v>
      </c>
      <c r="E114" s="40">
        <f ca="1">IFERROR(__xludf.DUMMYFUNCTION("ARRAY_CONSTRAIN(ARRAYFORMULA(SUMPRODUCT(LARGE(FILTER(F114:T114, F$3:T$3 &lt; 13),{1,2,3,4,5,6,7}))), 1, 1)"),0)</f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T114" s="40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>
      <c r="A115" s="38">
        <v>109</v>
      </c>
      <c r="B115" s="41" t="s">
        <v>212</v>
      </c>
      <c r="C115" s="38">
        <f>COUNTIFS(F115:T115,"&gt;0",$F$3:T$3,"&lt;13")</f>
        <v>0</v>
      </c>
      <c r="D115" s="38">
        <f ca="1">SUMIF($F$3:T$3,"&lt;13",F115:T115)</f>
        <v>0</v>
      </c>
      <c r="E115" s="40">
        <f ca="1">IFERROR(__xludf.DUMMYFUNCTION("ARRAY_CONSTRAIN(ARRAYFORMULA(SUMPRODUCT(LARGE(FILTER(F115:T115, F$3:T$3 &lt; 13),{1,2,3,4,5,6,7}))), 1, 1)"),0)</f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60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>
      <c r="A116" s="38">
        <v>110</v>
      </c>
      <c r="B116" s="41" t="s">
        <v>213</v>
      </c>
      <c r="C116" s="38">
        <f>COUNTIFS(F116:T116,"&gt;0",$F$3:T$3,"&lt;13")</f>
        <v>0</v>
      </c>
      <c r="D116" s="38">
        <f ca="1">SUMIF($F$3:T$3,"&lt;13",F116:T116)</f>
        <v>0</v>
      </c>
      <c r="E116" s="40">
        <f ca="1">IFERROR(__xludf.DUMMYFUNCTION("ARRAY_CONSTRAIN(ARRAYFORMULA(SUMPRODUCT(LARGE(FILTER(F116:T116, F$3:T$3 &lt; 13),{1,2,3,4,5,6,7}))), 1, 1)"),0)</f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>
      <c r="A117" s="38">
        <v>111</v>
      </c>
      <c r="B117" s="41" t="s">
        <v>214</v>
      </c>
      <c r="C117" s="38">
        <f>COUNTIFS(F117:T117,"&gt;0",$F$3:T$3,"&lt;13")</f>
        <v>0</v>
      </c>
      <c r="D117" s="38">
        <f ca="1">SUMIF($F$3:T$3,"&lt;13",F117:T117)</f>
        <v>0</v>
      </c>
      <c r="E117" s="40">
        <f ca="1">IFERROR(__xludf.DUMMYFUNCTION("ARRAY_CONSTRAIN(ARRAYFORMULA(SUMPRODUCT(LARGE(FILTER(F117:T117, F$3:T$3 &lt; 13),{1,2,3,4,5,6,7}))), 1, 1)"),0)</f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>
      <c r="A118" s="38">
        <v>112</v>
      </c>
      <c r="B118" s="41" t="s">
        <v>215</v>
      </c>
      <c r="C118" s="38">
        <f>COUNTIFS(F118:T118,"&gt;0",$F$3:T$3,"&lt;13")</f>
        <v>0</v>
      </c>
      <c r="D118" s="38">
        <f ca="1">SUMIF($F$3:T$3,"&lt;13",F118:T118)</f>
        <v>0</v>
      </c>
      <c r="E118" s="40">
        <f ca="1">IFERROR(__xludf.DUMMYFUNCTION("ARRAY_CONSTRAIN(ARRAYFORMULA(SUMPRODUCT(LARGE(FILTER(F118:T118, F$3:T$3 &lt; 13),{1,2,3,4,5,6,7}))), 1, 1)"),0)</f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40">
        <v>0</v>
      </c>
      <c r="O118" s="40">
        <v>0</v>
      </c>
      <c r="P118" s="40">
        <v>0</v>
      </c>
      <c r="Q118" s="40">
        <v>0</v>
      </c>
      <c r="R118" s="40">
        <v>0</v>
      </c>
      <c r="S118" s="40">
        <v>0</v>
      </c>
      <c r="T118" s="40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>
      <c r="A119" s="38">
        <v>113</v>
      </c>
      <c r="B119" s="41" t="s">
        <v>216</v>
      </c>
      <c r="C119" s="38">
        <f>COUNTIFS(F119:T119,"&gt;0",$F$3:T$3,"&lt;13")</f>
        <v>0</v>
      </c>
      <c r="D119" s="38">
        <f ca="1">SUMIF($F$3:T$3,"&lt;13",F119:T119)</f>
        <v>0</v>
      </c>
      <c r="E119" s="40">
        <f ca="1">IFERROR(__xludf.DUMMYFUNCTION("ARRAY_CONSTRAIN(ARRAYFORMULA(SUMPRODUCT(LARGE(FILTER(F119:T119, F$3:T$3 &lt; 13),{1,2,3,4,5,6,7}))), 1, 1)"),0)</f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40">
        <v>0</v>
      </c>
      <c r="O119" s="40">
        <v>0</v>
      </c>
      <c r="P119" s="40">
        <v>0</v>
      </c>
      <c r="Q119" s="40">
        <v>0</v>
      </c>
      <c r="R119" s="40">
        <v>0</v>
      </c>
      <c r="S119" s="40">
        <v>0</v>
      </c>
      <c r="T119" s="40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>
      <c r="A120" s="38">
        <v>114</v>
      </c>
      <c r="B120" s="41" t="s">
        <v>217</v>
      </c>
      <c r="C120" s="38">
        <f>COUNTIFS(F120:T120,"&gt;0",$F$3:T$3,"&lt;13")</f>
        <v>0</v>
      </c>
      <c r="D120" s="38">
        <f ca="1">SUMIF($F$3:T$3,"&lt;13",F120:T120)</f>
        <v>0</v>
      </c>
      <c r="E120" s="40">
        <f ca="1">IFERROR(__xludf.DUMMYFUNCTION("ARRAY_CONSTRAIN(ARRAYFORMULA(SUMPRODUCT(LARGE(FILTER(F120:T120, F$3:T$3 &lt; 13),{1,2,3,4,5,6,7}))), 1, 1)"),0)</f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T120" s="4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>
      <c r="A121" s="38">
        <v>115</v>
      </c>
      <c r="B121" s="41" t="s">
        <v>218</v>
      </c>
      <c r="C121" s="38">
        <f>COUNTIFS(F121:T121,"&gt;0",$F$3:T$3,"&lt;13")</f>
        <v>0</v>
      </c>
      <c r="D121" s="38">
        <f ca="1">SUMIF($F$3:T$3,"&lt;13",F121:T121)</f>
        <v>0</v>
      </c>
      <c r="E121" s="40">
        <f ca="1">IFERROR(__xludf.DUMMYFUNCTION("ARRAY_CONSTRAIN(ARRAYFORMULA(SUMPRODUCT(LARGE(FILTER(F121:T121, F$3:T$3 &lt; 13),{1,2,3,4,5,6,7}))), 1, 1)"),0)</f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40">
        <v>0</v>
      </c>
      <c r="O121" s="40">
        <v>0</v>
      </c>
      <c r="P121" s="40">
        <v>0</v>
      </c>
      <c r="Q121" s="40">
        <v>0</v>
      </c>
      <c r="R121" s="40">
        <v>0</v>
      </c>
      <c r="S121" s="40">
        <v>0</v>
      </c>
      <c r="T121" s="40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>
      <c r="A122" s="38">
        <v>116</v>
      </c>
      <c r="B122" s="41" t="s">
        <v>219</v>
      </c>
      <c r="C122" s="38">
        <f>COUNTIFS(F122:T122,"&gt;0",$F$3:T$3,"&lt;13")</f>
        <v>0</v>
      </c>
      <c r="D122" s="38">
        <f ca="1">SUMIF($F$3:T$3,"&lt;13",F122:T122)</f>
        <v>0</v>
      </c>
      <c r="E122" s="40">
        <f ca="1">IFERROR(__xludf.DUMMYFUNCTION("ARRAY_CONSTRAIN(ARRAYFORMULA(SUMPRODUCT(LARGE(FILTER(F122:T122, F$3:T$3 &lt; 13),{1,2,3,4,5,6,7}))), 1, 1)"),0)</f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T122" s="40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>
      <c r="A123" s="38">
        <v>117</v>
      </c>
      <c r="B123" s="41" t="s">
        <v>220</v>
      </c>
      <c r="C123" s="38">
        <f>COUNTIFS(F123:T123,"&gt;0",$F$3:T$3,"&lt;13")</f>
        <v>0</v>
      </c>
      <c r="D123" s="38">
        <f ca="1">SUMIF($F$3:T$3,"&lt;13",F123:T123)</f>
        <v>0</v>
      </c>
      <c r="E123" s="40">
        <f ca="1">IFERROR(__xludf.DUMMYFUNCTION("ARRAY_CONSTRAIN(ARRAYFORMULA(SUMPRODUCT(LARGE(FILTER(F123:T123, F$3:T$3 &lt; 13),{1,2,3,4,5,6,7}))), 1, 1)"),0)</f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40">
        <v>0</v>
      </c>
      <c r="O123" s="40">
        <v>0</v>
      </c>
      <c r="P123" s="40">
        <v>0</v>
      </c>
      <c r="Q123" s="40">
        <v>0</v>
      </c>
      <c r="R123" s="40">
        <v>0</v>
      </c>
      <c r="S123" s="40">
        <v>0</v>
      </c>
      <c r="T123" s="40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>
      <c r="A124" s="38">
        <v>118</v>
      </c>
      <c r="B124" s="41" t="s">
        <v>221</v>
      </c>
      <c r="C124" s="38">
        <f>COUNTIFS(F124:T124,"&gt;0",$F$3:T$3,"&lt;13")</f>
        <v>0</v>
      </c>
      <c r="D124" s="38">
        <f ca="1">SUMIF($F$3:T$3,"&lt;13",F124:T124)</f>
        <v>0</v>
      </c>
      <c r="E124" s="40">
        <f ca="1">IFERROR(__xludf.DUMMYFUNCTION("ARRAY_CONSTRAIN(ARRAYFORMULA(SUMPRODUCT(LARGE(FILTER(F124:T124, F$3:T$3 &lt; 13),{1,2,3,4,5,6,7}))), 1, 1)"),0)</f>
        <v>0</v>
      </c>
      <c r="F124" s="38">
        <v>0</v>
      </c>
      <c r="G124" s="38">
        <v>0</v>
      </c>
      <c r="H124" s="38">
        <v>0</v>
      </c>
      <c r="I124" s="38">
        <v>0</v>
      </c>
      <c r="J124" s="38">
        <v>0</v>
      </c>
      <c r="K124" s="38">
        <v>0</v>
      </c>
      <c r="L124" s="38">
        <v>0</v>
      </c>
      <c r="M124" s="38">
        <v>0</v>
      </c>
      <c r="N124" s="40">
        <v>0</v>
      </c>
      <c r="O124" s="40">
        <v>0</v>
      </c>
      <c r="P124" s="40">
        <v>0</v>
      </c>
      <c r="Q124" s="40">
        <v>0</v>
      </c>
      <c r="R124" s="40">
        <v>0</v>
      </c>
      <c r="S124" s="40">
        <v>0</v>
      </c>
      <c r="T124" s="40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>
      <c r="A125" s="38">
        <v>119</v>
      </c>
      <c r="B125" s="41" t="s">
        <v>222</v>
      </c>
      <c r="C125" s="38">
        <f>COUNTIFS(F125:T125,"&gt;0",$F$3:T$3,"&lt;13")</f>
        <v>0</v>
      </c>
      <c r="D125" s="38">
        <f ca="1">SUMIF($F$3:T$3,"&lt;13",F125:T125)</f>
        <v>0</v>
      </c>
      <c r="E125" s="40">
        <f ca="1">IFERROR(__xludf.DUMMYFUNCTION("ARRAY_CONSTRAIN(ARRAYFORMULA(SUMPRODUCT(LARGE(FILTER(F125:T125, F$3:T$3 &lt; 13),{1,2,3,4,5,6,7}))), 1, 1)"),0)</f>
        <v>0</v>
      </c>
      <c r="F125" s="38">
        <v>0</v>
      </c>
      <c r="G125" s="38">
        <v>0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>
      <c r="A126" s="38">
        <v>120</v>
      </c>
      <c r="B126" s="41" t="s">
        <v>223</v>
      </c>
      <c r="C126" s="38">
        <f>COUNTIFS(F126:T126,"&gt;0",$F$3:T$3,"&lt;13")</f>
        <v>0</v>
      </c>
      <c r="D126" s="38">
        <f ca="1">SUMIF($F$3:T$3,"&lt;13",F126:T126)</f>
        <v>0</v>
      </c>
      <c r="E126" s="40">
        <f ca="1">IFERROR(__xludf.DUMMYFUNCTION("ARRAY_CONSTRAIN(ARRAYFORMULA(SUMPRODUCT(LARGE(FILTER(F126:T126, F$3:T$3 &lt; 13),{1,2,3,4,5,6,7}))), 1, 1)"),0)</f>
        <v>0</v>
      </c>
      <c r="F126" s="38">
        <v>0</v>
      </c>
      <c r="G126" s="38">
        <v>0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>
        <v>0</v>
      </c>
      <c r="V126">
        <v>0</v>
      </c>
      <c r="W126">
        <v>0</v>
      </c>
      <c r="X126">
        <v>0</v>
      </c>
      <c r="Y126">
        <v>45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>
      <c r="A127" s="38">
        <v>121</v>
      </c>
      <c r="B127" s="41" t="s">
        <v>224</v>
      </c>
      <c r="C127" s="38">
        <f>COUNTIFS(F127:T127,"&gt;0",$F$3:T$3,"&lt;13")</f>
        <v>0</v>
      </c>
      <c r="D127" s="38">
        <f ca="1">SUMIF($F$3:T$3,"&lt;13",F127:T127)</f>
        <v>0</v>
      </c>
      <c r="E127" s="40">
        <f ca="1">IFERROR(__xludf.DUMMYFUNCTION("ARRAY_CONSTRAIN(ARRAYFORMULA(SUMPRODUCT(LARGE(FILTER(F127:T127, F$3:T$3 &lt; 13),{1,2,3,4,5,6,7}))), 1, 1)"),0)</f>
        <v>0</v>
      </c>
      <c r="F127" s="38">
        <v>0</v>
      </c>
      <c r="G127" s="38">
        <v>0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40">
        <v>0</v>
      </c>
      <c r="O127" s="40">
        <v>0</v>
      </c>
      <c r="P127" s="40">
        <v>0</v>
      </c>
      <c r="Q127" s="40">
        <v>0</v>
      </c>
      <c r="R127" s="40">
        <v>0</v>
      </c>
      <c r="S127" s="40">
        <v>0</v>
      </c>
      <c r="T127" s="40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>
      <c r="A128" s="38">
        <v>122</v>
      </c>
      <c r="B128" s="41" t="s">
        <v>225</v>
      </c>
      <c r="C128" s="38">
        <f>COUNTIFS(F128:T128,"&gt;0",$F$3:T$3,"&lt;13")</f>
        <v>0</v>
      </c>
      <c r="D128" s="38">
        <f ca="1">SUMIF($F$3:T$3,"&lt;13",F128:T128)</f>
        <v>0</v>
      </c>
      <c r="E128" s="40">
        <f ca="1">IFERROR(__xludf.DUMMYFUNCTION("ARRAY_CONSTRAIN(ARRAYFORMULA(SUMPRODUCT(LARGE(FILTER(F128:T128, F$3:T$3 &lt; 13),{1,2,3,4,5,6,7}))), 1, 1)"),0)</f>
        <v>0</v>
      </c>
      <c r="F128" s="38">
        <v>0</v>
      </c>
      <c r="G128" s="38">
        <v>0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>
        <v>35</v>
      </c>
      <c r="V128">
        <v>80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>
      <c r="A129" s="38">
        <v>123</v>
      </c>
      <c r="B129" s="41" t="s">
        <v>226</v>
      </c>
      <c r="C129" s="38">
        <f>COUNTIFS(F129:T129,"&gt;0",$F$3:T$3,"&lt;13")</f>
        <v>0</v>
      </c>
      <c r="D129" s="38">
        <f ca="1">SUMIF($F$3:T$3,"&lt;13",F129:T129)</f>
        <v>0</v>
      </c>
      <c r="E129" s="40">
        <f ca="1">IFERROR(__xludf.DUMMYFUNCTION("ARRAY_CONSTRAIN(ARRAYFORMULA(SUMPRODUCT(LARGE(FILTER(F129:T129, F$3:T$3 &lt; 13),{1,2,3,4,5,6,7}))), 1, 1)"),0)</f>
        <v>0</v>
      </c>
      <c r="F129" s="38">
        <v>0</v>
      </c>
      <c r="G129" s="38">
        <v>0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40">
        <v>0</v>
      </c>
      <c r="O129" s="40">
        <v>0</v>
      </c>
      <c r="P129" s="40">
        <v>0</v>
      </c>
      <c r="Q129" s="40">
        <v>0</v>
      </c>
      <c r="R129" s="40">
        <v>0</v>
      </c>
      <c r="S129" s="40">
        <v>0</v>
      </c>
      <c r="T129" s="40">
        <v>0</v>
      </c>
      <c r="U129">
        <v>20</v>
      </c>
      <c r="V129">
        <v>70</v>
      </c>
      <c r="W129">
        <v>50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>
      <c r="A130" s="38">
        <v>124</v>
      </c>
      <c r="B130" s="41" t="s">
        <v>227</v>
      </c>
      <c r="C130" s="38">
        <f>COUNTIFS(F130:T130,"&gt;0",$F$3:T$3,"&lt;13")</f>
        <v>0</v>
      </c>
      <c r="D130" s="38">
        <f ca="1">SUMIF($F$3:T$3,"&lt;13",F130:T130)</f>
        <v>0</v>
      </c>
      <c r="E130" s="40">
        <f ca="1">IFERROR(__xludf.DUMMYFUNCTION("ARRAY_CONSTRAIN(ARRAYFORMULA(SUMPRODUCT(LARGE(FILTER(F130:T130, F$3:T$3 &lt; 13),{1,2,3,4,5,6,7}))), 1, 1)"),0)</f>
        <v>0</v>
      </c>
      <c r="F130" s="38">
        <v>0</v>
      </c>
      <c r="G130" s="38">
        <v>0</v>
      </c>
      <c r="H130" s="38">
        <v>0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  <c r="N130" s="40">
        <v>0</v>
      </c>
      <c r="O130" s="40">
        <v>0</v>
      </c>
      <c r="P130" s="40">
        <v>0</v>
      </c>
      <c r="Q130" s="40">
        <v>0</v>
      </c>
      <c r="R130" s="40">
        <v>0</v>
      </c>
      <c r="S130" s="40">
        <v>0</v>
      </c>
      <c r="T130" s="4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>
      <c r="A131" s="38">
        <v>125</v>
      </c>
      <c r="B131" s="41" t="s">
        <v>228</v>
      </c>
      <c r="C131" s="38">
        <f>COUNTIFS(F131:T131,"&gt;0",$F$3:T$3,"&lt;13")</f>
        <v>0</v>
      </c>
      <c r="D131" s="38">
        <f ca="1">SUMIF($F$3:T$3,"&lt;13",F131:T131)</f>
        <v>0</v>
      </c>
      <c r="E131" s="40">
        <f ca="1">IFERROR(__xludf.DUMMYFUNCTION("ARRAY_CONSTRAIN(ARRAYFORMULA(SUMPRODUCT(LARGE(FILTER(F131:T131, F$3:T$3 &lt; 13),{1,2,3,4,5,6,7}))), 1, 1)"),0)</f>
        <v>0</v>
      </c>
      <c r="F131" s="38">
        <v>0</v>
      </c>
      <c r="G131" s="38">
        <v>0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40">
        <v>0</v>
      </c>
      <c r="O131" s="40">
        <v>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>
      <c r="A132" s="38">
        <v>126</v>
      </c>
      <c r="B132" s="41" t="s">
        <v>229</v>
      </c>
      <c r="C132" s="38">
        <f>COUNTIFS(F132:T132,"&gt;0",$F$3:T$3,"&lt;13")</f>
        <v>0</v>
      </c>
      <c r="D132" s="38">
        <f ca="1">SUMIF($F$3:T$3,"&lt;13",F132:T132)</f>
        <v>0</v>
      </c>
      <c r="E132" s="40">
        <f ca="1">IFERROR(__xludf.DUMMYFUNCTION("ARRAY_CONSTRAIN(ARRAYFORMULA(SUMPRODUCT(LARGE(FILTER(F132:T132, F$3:T$3 &lt; 13),{1,2,3,4,5,6,7}))), 1, 1)"),0)</f>
        <v>0</v>
      </c>
      <c r="F132" s="38">
        <v>0</v>
      </c>
      <c r="G132" s="38">
        <v>0</v>
      </c>
      <c r="H132" s="38">
        <v>0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T132" s="40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>
      <c r="A133" s="38">
        <v>127</v>
      </c>
      <c r="B133" s="41" t="s">
        <v>230</v>
      </c>
      <c r="C133" s="38">
        <f>COUNTIFS(F133:T133,"&gt;0",$F$3:T$3,"&lt;13")</f>
        <v>0</v>
      </c>
      <c r="D133" s="38">
        <f ca="1">SUMIF($F$3:T$3,"&lt;13",F133:T133)</f>
        <v>0</v>
      </c>
      <c r="E133" s="40">
        <f ca="1">IFERROR(__xludf.DUMMYFUNCTION("ARRAY_CONSTRAIN(ARRAYFORMULA(SUMPRODUCT(LARGE(FILTER(F133:T133, F$3:T$3 &lt; 13),{1,2,3,4,5,6,7}))), 1, 1)"),0)</f>
        <v>0</v>
      </c>
      <c r="F133" s="38">
        <v>0</v>
      </c>
      <c r="G133" s="38">
        <v>0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40">
        <v>0</v>
      </c>
      <c r="O133" s="40">
        <v>0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>
      <c r="A134" s="38">
        <v>128</v>
      </c>
      <c r="B134" s="41" t="s">
        <v>231</v>
      </c>
      <c r="C134" s="38">
        <f>COUNTIFS(F134:T134,"&gt;0",$F$3:T$3,"&lt;13")</f>
        <v>0</v>
      </c>
      <c r="D134" s="38">
        <f ca="1">SUMIF($F$3:T$3,"&lt;13",F134:T134)</f>
        <v>0</v>
      </c>
      <c r="E134" s="40">
        <f ca="1">IFERROR(__xludf.DUMMYFUNCTION("ARRAY_CONSTRAIN(ARRAYFORMULA(SUMPRODUCT(LARGE(FILTER(F134:T134, F$3:T$3 &lt; 13),{1,2,3,4,5,6,7}))), 1, 1)"),0)</f>
        <v>0</v>
      </c>
      <c r="F134" s="38">
        <v>0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40">
        <v>0</v>
      </c>
      <c r="O134" s="40">
        <v>0</v>
      </c>
      <c r="P134" s="40">
        <v>0</v>
      </c>
      <c r="Q134" s="40">
        <v>0</v>
      </c>
      <c r="R134" s="40">
        <v>0</v>
      </c>
      <c r="S134" s="40">
        <v>0</v>
      </c>
      <c r="T134" s="40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>
      <c r="A135" s="38">
        <v>129</v>
      </c>
      <c r="B135" s="41" t="s">
        <v>232</v>
      </c>
      <c r="C135" s="38">
        <f>COUNTIFS(F135:T135,"&gt;0",$F$3:T$3,"&lt;13")</f>
        <v>0</v>
      </c>
      <c r="D135" s="38">
        <f ca="1">SUMIF($F$3:T$3,"&lt;13",F135:T135)</f>
        <v>0</v>
      </c>
      <c r="E135" s="40">
        <f ca="1">IFERROR(__xludf.DUMMYFUNCTION("ARRAY_CONSTRAIN(ARRAYFORMULA(SUMPRODUCT(LARGE(FILTER(F135:T135, F$3:T$3 &lt; 13),{1,2,3,4,5,6,7}))), 1, 1)"),0)</f>
        <v>0</v>
      </c>
      <c r="F135" s="38">
        <v>0</v>
      </c>
      <c r="G135" s="38">
        <v>0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40">
        <v>0</v>
      </c>
      <c r="O135" s="40">
        <v>0</v>
      </c>
      <c r="P135" s="40">
        <v>0</v>
      </c>
      <c r="Q135" s="40">
        <v>0</v>
      </c>
      <c r="R135" s="40">
        <v>0</v>
      </c>
      <c r="S135" s="40">
        <v>0</v>
      </c>
      <c r="T135" s="40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spans="1:53">
      <c r="A136" s="38">
        <v>130</v>
      </c>
      <c r="B136" s="41" t="s">
        <v>233</v>
      </c>
      <c r="C136" s="38">
        <f>COUNTIFS(F136:T136,"&gt;0",$F$3:T$3,"&lt;13")</f>
        <v>0</v>
      </c>
      <c r="D136" s="38">
        <f ca="1">SUMIF($F$3:T$3,"&lt;13",F136:T136)</f>
        <v>0</v>
      </c>
      <c r="E136" s="40">
        <f ca="1">IFERROR(__xludf.DUMMYFUNCTION("ARRAY_CONSTRAIN(ARRAYFORMULA(SUMPRODUCT(LARGE(FILTER(F136:T136, F$3:T$3 &lt; 13),{1,2,3,4,5,6,7}))), 1, 1)"),0)</f>
        <v>0</v>
      </c>
      <c r="F136" s="38">
        <v>0</v>
      </c>
      <c r="G136" s="38">
        <v>0</v>
      </c>
      <c r="H136" s="38">
        <v>0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  <c r="N136" s="40">
        <v>0</v>
      </c>
      <c r="O136" s="40">
        <v>0</v>
      </c>
      <c r="P136" s="40">
        <v>0</v>
      </c>
      <c r="Q136" s="40">
        <v>0</v>
      </c>
      <c r="R136" s="40">
        <v>0</v>
      </c>
      <c r="S136" s="40">
        <v>0</v>
      </c>
      <c r="T136" s="40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spans="1:53">
      <c r="A137" s="38">
        <v>131</v>
      </c>
      <c r="B137" s="41" t="s">
        <v>234</v>
      </c>
      <c r="C137" s="38">
        <f>COUNTIFS(F137:T137,"&gt;0",$F$3:T$3,"&lt;13")</f>
        <v>0</v>
      </c>
      <c r="D137" s="38">
        <f ca="1">SUMIF($F$3:T$3,"&lt;13",F137:T137)</f>
        <v>0</v>
      </c>
      <c r="E137" s="40">
        <f ca="1">IFERROR(__xludf.DUMMYFUNCTION("ARRAY_CONSTRAIN(ARRAYFORMULA(SUMPRODUCT(LARGE(FILTER(F137:T137, F$3:T$3 &lt; 13),{1,2,3,4,5,6,7}))), 1, 1)"),0)</f>
        <v>0</v>
      </c>
      <c r="F137" s="38">
        <v>0</v>
      </c>
      <c r="G137" s="38">
        <v>0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40">
        <v>0</v>
      </c>
      <c r="O137" s="40">
        <v>0</v>
      </c>
      <c r="P137" s="40">
        <v>0</v>
      </c>
      <c r="Q137" s="40">
        <v>0</v>
      </c>
      <c r="R137" s="40">
        <v>0</v>
      </c>
      <c r="S137" s="40">
        <v>0</v>
      </c>
      <c r="T137" s="40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>
      <c r="A138" s="38">
        <v>132</v>
      </c>
      <c r="B138" s="41" t="s">
        <v>235</v>
      </c>
      <c r="C138" s="38">
        <f>COUNTIFS(F138:T138,"&gt;0",$F$3:T$3,"&lt;13")</f>
        <v>0</v>
      </c>
      <c r="D138" s="38">
        <f ca="1">SUMIF($F$3:T$3,"&lt;13",F138:T138)</f>
        <v>0</v>
      </c>
      <c r="E138" s="40">
        <f ca="1">IFERROR(__xludf.DUMMYFUNCTION("ARRAY_CONSTRAIN(ARRAYFORMULA(SUMPRODUCT(LARGE(FILTER(F138:T138, F$3:T$3 &lt; 13),{1,2,3,4,5,6,7}))), 1, 1)"),0)</f>
        <v>0</v>
      </c>
      <c r="F138" s="38">
        <v>0</v>
      </c>
      <c r="G138" s="38">
        <v>0</v>
      </c>
      <c r="H138" s="38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  <c r="N138" s="40">
        <v>0</v>
      </c>
      <c r="O138" s="40">
        <v>0</v>
      </c>
      <c r="P138" s="40">
        <v>0</v>
      </c>
      <c r="Q138" s="40">
        <v>0</v>
      </c>
      <c r="R138" s="40">
        <v>0</v>
      </c>
      <c r="S138" s="40">
        <v>0</v>
      </c>
      <c r="T138" s="40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>
      <c r="A139" s="38">
        <v>133</v>
      </c>
      <c r="B139" s="41" t="s">
        <v>236</v>
      </c>
      <c r="C139" s="38">
        <f>COUNTIFS(F139:T139,"&gt;0",$F$3:T$3,"&lt;13")</f>
        <v>0</v>
      </c>
      <c r="D139" s="38">
        <f ca="1">SUMIF($F$3:T$3,"&lt;13",F139:T139)</f>
        <v>0</v>
      </c>
      <c r="E139" s="40">
        <f ca="1">IFERROR(__xludf.DUMMYFUNCTION("ARRAY_CONSTRAIN(ARRAYFORMULA(SUMPRODUCT(LARGE(FILTER(F139:T139, F$3:T$3 &lt; 13),{1,2,3,4,5,6,7}))), 1, 1)"),0)</f>
        <v>0</v>
      </c>
      <c r="F139" s="38">
        <v>0</v>
      </c>
      <c r="G139" s="38">
        <v>0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  <c r="N139" s="40">
        <v>0</v>
      </c>
      <c r="O139" s="40">
        <v>0</v>
      </c>
      <c r="P139" s="40">
        <v>0</v>
      </c>
      <c r="Q139" s="40">
        <v>0</v>
      </c>
      <c r="R139" s="40">
        <v>0</v>
      </c>
      <c r="S139" s="40">
        <v>0</v>
      </c>
      <c r="T139" s="40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>
      <c r="A140" s="38">
        <v>134</v>
      </c>
      <c r="B140" s="41" t="s">
        <v>237</v>
      </c>
      <c r="C140" s="38">
        <f>COUNTIFS(F140:T140,"&gt;0",$F$3:T$3,"&lt;13")</f>
        <v>0</v>
      </c>
      <c r="D140" s="38">
        <f ca="1">SUMIF($F$3:T$3,"&lt;13",F140:T140)</f>
        <v>0</v>
      </c>
      <c r="E140" s="40">
        <f ca="1">IFERROR(__xludf.DUMMYFUNCTION("ARRAY_CONSTRAIN(ARRAYFORMULA(SUMPRODUCT(LARGE(FILTER(F140:T140, F$3:T$3 &lt; 13),{1,2,3,4,5,6,7}))), 1, 1)"),0)</f>
        <v>0</v>
      </c>
      <c r="F140" s="38">
        <v>0</v>
      </c>
      <c r="G140" s="38">
        <v>0</v>
      </c>
      <c r="H140" s="38">
        <v>0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  <c r="N140" s="40">
        <v>0</v>
      </c>
      <c r="O140" s="40">
        <v>0</v>
      </c>
      <c r="P140" s="40">
        <v>0</v>
      </c>
      <c r="Q140" s="40">
        <v>0</v>
      </c>
      <c r="R140" s="40">
        <v>0</v>
      </c>
      <c r="S140" s="40">
        <v>0</v>
      </c>
      <c r="T140" s="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>
      <c r="A141" s="38">
        <v>135</v>
      </c>
      <c r="B141" s="41" t="s">
        <v>238</v>
      </c>
      <c r="C141" s="38">
        <f>COUNTIFS(F141:T141,"&gt;0",$F$3:T$3,"&lt;13")</f>
        <v>0</v>
      </c>
      <c r="D141" s="38">
        <f ca="1">SUMIF($F$3:T$3,"&lt;13",F141:T141)</f>
        <v>0</v>
      </c>
      <c r="E141" s="40">
        <f ca="1">IFERROR(__xludf.DUMMYFUNCTION("ARRAY_CONSTRAIN(ARRAYFORMULA(SUMPRODUCT(LARGE(FILTER(F141:T141, F$3:T$3 &lt; 13),{1,2,3,4,5,6,7}))), 1, 1)"),0)</f>
        <v>0</v>
      </c>
      <c r="F141" s="38">
        <v>0</v>
      </c>
      <c r="G141" s="38">
        <v>0</v>
      </c>
      <c r="H141" s="38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40">
        <v>0</v>
      </c>
      <c r="O141" s="40">
        <v>0</v>
      </c>
      <c r="P141" s="40">
        <v>0</v>
      </c>
      <c r="Q141" s="40">
        <v>0</v>
      </c>
      <c r="R141" s="40">
        <v>0</v>
      </c>
      <c r="S141" s="40">
        <v>0</v>
      </c>
      <c r="T141" s="40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>
      <c r="A142" s="38">
        <v>136</v>
      </c>
      <c r="B142" s="41" t="s">
        <v>239</v>
      </c>
      <c r="C142" s="38">
        <f>COUNTIFS(F142:T142,"&gt;0",$F$3:T$3,"&lt;13")</f>
        <v>0</v>
      </c>
      <c r="D142" s="38">
        <f ca="1">SUMIF($F$3:T$3,"&lt;13",F142:T142)</f>
        <v>0</v>
      </c>
      <c r="E142" s="40">
        <f ca="1">IFERROR(__xludf.DUMMYFUNCTION("ARRAY_CONSTRAIN(ARRAYFORMULA(SUMPRODUCT(LARGE(FILTER(F142:T142, F$3:T$3 &lt; 13),{1,2,3,4,5,6,7}))), 1, 1)"),0)</f>
        <v>0</v>
      </c>
      <c r="F142" s="38">
        <v>0</v>
      </c>
      <c r="G142" s="38">
        <v>0</v>
      </c>
      <c r="H142" s="38">
        <v>0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0</v>
      </c>
      <c r="S142" s="40">
        <v>0</v>
      </c>
      <c r="T142" s="40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>
      <c r="A143" s="38">
        <v>137</v>
      </c>
      <c r="B143" s="41" t="s">
        <v>240</v>
      </c>
      <c r="C143" s="38">
        <f>COUNTIFS(F143:T143,"&gt;0",$F$3:T$3,"&lt;13")</f>
        <v>0</v>
      </c>
      <c r="D143" s="38">
        <f ca="1">SUMIF($F$3:T$3,"&lt;13",F143:T143)</f>
        <v>0</v>
      </c>
      <c r="E143" s="40">
        <f ca="1">IFERROR(__xludf.DUMMYFUNCTION("ARRAY_CONSTRAIN(ARRAYFORMULA(SUMPRODUCT(LARGE(FILTER(F143:T143, F$3:T$3 &lt; 13),{1,2,3,4,5,6,7}))), 1, 1)"),0)</f>
        <v>0</v>
      </c>
      <c r="F143" s="38">
        <v>0</v>
      </c>
      <c r="G143" s="38">
        <v>0</v>
      </c>
      <c r="H143" s="38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35</v>
      </c>
      <c r="BA143">
        <v>0</v>
      </c>
    </row>
    <row r="144" spans="1:53">
      <c r="A144" s="38">
        <v>138</v>
      </c>
      <c r="B144" s="41" t="s">
        <v>241</v>
      </c>
      <c r="C144" s="38">
        <f>COUNTIFS(F144:T144,"&gt;0",$F$3:T$3,"&lt;13")</f>
        <v>0</v>
      </c>
      <c r="D144" s="38">
        <f ca="1">SUMIF($F$3:T$3,"&lt;13",F144:T144)</f>
        <v>0</v>
      </c>
      <c r="E144" s="40">
        <f ca="1">IFERROR(__xludf.DUMMYFUNCTION("ARRAY_CONSTRAIN(ARRAYFORMULA(SUMPRODUCT(LARGE(FILTER(F144:T144, F$3:T$3 &lt; 13),{1,2,3,4,5,6,7}))), 1, 1)"),0)</f>
        <v>0</v>
      </c>
      <c r="F144" s="38">
        <v>0</v>
      </c>
      <c r="G144" s="38">
        <v>0</v>
      </c>
      <c r="H144" s="38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40">
        <v>0</v>
      </c>
      <c r="O144" s="40">
        <v>0</v>
      </c>
      <c r="P144" s="40">
        <v>0</v>
      </c>
      <c r="Q144" s="40">
        <v>0</v>
      </c>
      <c r="R144" s="40">
        <v>0</v>
      </c>
      <c r="S144" s="40">
        <v>0</v>
      </c>
      <c r="T144" s="40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>
      <c r="A145" s="38">
        <v>139</v>
      </c>
      <c r="B145" s="41" t="s">
        <v>242</v>
      </c>
      <c r="C145" s="38">
        <f>COUNTIFS(F145:T145,"&gt;0",$F$3:T$3,"&lt;13")</f>
        <v>0</v>
      </c>
      <c r="D145" s="38">
        <f ca="1">SUMIF($F$3:T$3,"&lt;13",F145:T145)</f>
        <v>0</v>
      </c>
      <c r="E145" s="40">
        <f ca="1">IFERROR(__xludf.DUMMYFUNCTION("ARRAY_CONSTRAIN(ARRAYFORMULA(SUMPRODUCT(LARGE(FILTER(F145:T145, F$3:T$3 &lt; 13),{1,2,3,4,5,6,7}))), 1, 1)"),0)</f>
        <v>0</v>
      </c>
      <c r="F145" s="38">
        <v>0</v>
      </c>
      <c r="G145" s="38">
        <v>0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</row>
    <row r="146" spans="1:53">
      <c r="A146" s="38">
        <v>140</v>
      </c>
      <c r="B146" s="41" t="s">
        <v>243</v>
      </c>
      <c r="C146" s="38">
        <f>COUNTIFS(F146:T146,"&gt;0",$F$3:T$3,"&lt;13")</f>
        <v>0</v>
      </c>
      <c r="D146" s="38">
        <f ca="1">SUMIF($F$3:T$3,"&lt;13",F146:T146)</f>
        <v>0</v>
      </c>
      <c r="E146" s="40">
        <f ca="1">IFERROR(__xludf.DUMMYFUNCTION("ARRAY_CONSTRAIN(ARRAYFORMULA(SUMPRODUCT(LARGE(FILTER(F146:T146, F$3:T$3 &lt; 13),{1,2,3,4,5,6,7}))), 1, 1)"),0)</f>
        <v>0</v>
      </c>
      <c r="F146" s="38">
        <v>0</v>
      </c>
      <c r="G146" s="38">
        <v>0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>
        <v>0</v>
      </c>
      <c r="V146">
        <v>0</v>
      </c>
      <c r="W146">
        <v>0</v>
      </c>
      <c r="X146">
        <v>0</v>
      </c>
      <c r="Y146">
        <v>25</v>
      </c>
      <c r="Z146">
        <v>60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>
      <c r="A147" s="38">
        <v>141</v>
      </c>
      <c r="B147" s="41" t="s">
        <v>244</v>
      </c>
      <c r="C147" s="38">
        <f>COUNTIFS(F147:T147,"&gt;0",$F$3:T$3,"&lt;13")</f>
        <v>0</v>
      </c>
      <c r="D147" s="38">
        <f ca="1">SUMIF($F$3:T$3,"&lt;13",F147:T147)</f>
        <v>0</v>
      </c>
      <c r="E147" s="40">
        <f ca="1">IFERROR(__xludf.DUMMYFUNCTION("ARRAY_CONSTRAIN(ARRAYFORMULA(SUMPRODUCT(LARGE(FILTER(F147:T147, F$3:T$3 &lt; 13),{1,2,3,4,5,6,7}))), 1, 1)"),0)</f>
        <v>0</v>
      </c>
      <c r="F147" s="38">
        <v>0</v>
      </c>
      <c r="G147" s="38">
        <v>0</v>
      </c>
      <c r="H147" s="38">
        <v>0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  <c r="N147" s="40">
        <v>0</v>
      </c>
      <c r="O147" s="40">
        <v>0</v>
      </c>
      <c r="P147" s="40">
        <v>0</v>
      </c>
      <c r="Q147" s="40">
        <v>0</v>
      </c>
      <c r="R147" s="40">
        <v>0</v>
      </c>
      <c r="S147" s="40">
        <v>0</v>
      </c>
      <c r="T147" s="40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>
      <c r="A148" s="38">
        <v>142</v>
      </c>
      <c r="B148" s="41" t="s">
        <v>245</v>
      </c>
      <c r="C148" s="38">
        <f>COUNTIFS(F148:T148,"&gt;0",$F$3:T$3,"&lt;13")</f>
        <v>0</v>
      </c>
      <c r="D148" s="38">
        <f ca="1">SUMIF($F$3:T$3,"&lt;13",F148:T148)</f>
        <v>0</v>
      </c>
      <c r="E148" s="40">
        <f ca="1">IFERROR(__xludf.DUMMYFUNCTION("ARRAY_CONSTRAIN(ARRAYFORMULA(SUMPRODUCT(LARGE(FILTER(F148:T148, F$3:T$3 &lt; 13),{1,2,3,4,5,6,7}))), 1, 1)"),0)</f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40">
        <v>0</v>
      </c>
      <c r="O148" s="40">
        <v>0</v>
      </c>
      <c r="P148" s="40">
        <v>0</v>
      </c>
      <c r="Q148" s="40">
        <v>0</v>
      </c>
      <c r="R148" s="40">
        <v>0</v>
      </c>
      <c r="S148" s="40">
        <v>0</v>
      </c>
      <c r="T148" s="40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>
      <c r="A149" s="38">
        <v>143</v>
      </c>
      <c r="B149" s="41" t="s">
        <v>246</v>
      </c>
      <c r="C149" s="38">
        <f>COUNTIFS(F149:T149,"&gt;0",$F$3:T$3,"&lt;13")</f>
        <v>0</v>
      </c>
      <c r="D149" s="38">
        <f ca="1">SUMIF($F$3:T$3,"&lt;13",F149:T149)</f>
        <v>0</v>
      </c>
      <c r="E149" s="40">
        <f ca="1">IFERROR(__xludf.DUMMYFUNCTION("ARRAY_CONSTRAIN(ARRAYFORMULA(SUMPRODUCT(LARGE(FILTER(F149:T149, F$3:T$3 &lt; 13),{1,2,3,4,5,6,7}))), 1, 1)"),0)</f>
        <v>0</v>
      </c>
      <c r="F149" s="38">
        <v>0</v>
      </c>
      <c r="G149" s="38">
        <v>0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40">
        <v>0</v>
      </c>
      <c r="O149" s="40">
        <v>0</v>
      </c>
      <c r="P149" s="40">
        <v>0</v>
      </c>
      <c r="Q149" s="40">
        <v>0</v>
      </c>
      <c r="R149" s="40">
        <v>0</v>
      </c>
      <c r="S149" s="40">
        <v>0</v>
      </c>
      <c r="T149" s="40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>
      <c r="A150" s="38">
        <v>144</v>
      </c>
      <c r="B150" s="41" t="s">
        <v>247</v>
      </c>
      <c r="C150" s="38">
        <f>COUNTIFS(F150:T150,"&gt;0",$F$3:T$3,"&lt;13")</f>
        <v>0</v>
      </c>
      <c r="D150" s="38">
        <f ca="1">SUMIF($F$3:T$3,"&lt;13",F150:T150)</f>
        <v>0</v>
      </c>
      <c r="E150" s="40">
        <f ca="1">IFERROR(__xludf.DUMMYFUNCTION("ARRAY_CONSTRAIN(ARRAYFORMULA(SUMPRODUCT(LARGE(FILTER(F150:T150, F$3:T$3 &lt; 13),{1,2,3,4,5,6,7}))), 1, 1)"),0)</f>
        <v>0</v>
      </c>
      <c r="F150" s="38">
        <v>0</v>
      </c>
      <c r="G150" s="38">
        <v>0</v>
      </c>
      <c r="H150" s="38">
        <v>0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  <c r="N150" s="40">
        <v>0</v>
      </c>
      <c r="O150" s="40">
        <v>0</v>
      </c>
      <c r="P150" s="40">
        <v>0</v>
      </c>
      <c r="Q150" s="40">
        <v>0</v>
      </c>
      <c r="R150" s="40">
        <v>0</v>
      </c>
      <c r="S150" s="40">
        <v>0</v>
      </c>
      <c r="T150" s="4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>
      <c r="A151" s="38">
        <v>145</v>
      </c>
      <c r="B151" s="41" t="s">
        <v>248</v>
      </c>
      <c r="C151" s="38">
        <f>COUNTIFS(F151:T151,"&gt;0",$F$3:T$3,"&lt;13")</f>
        <v>0</v>
      </c>
      <c r="D151" s="38">
        <f ca="1">SUMIF($F$3:T$3,"&lt;13",F151:T151)</f>
        <v>0</v>
      </c>
      <c r="E151" s="40">
        <f ca="1">IFERROR(__xludf.DUMMYFUNCTION("ARRAY_CONSTRAIN(ARRAYFORMULA(SUMPRODUCT(LARGE(FILTER(F151:T151, F$3:T$3 &lt; 13),{1,2,3,4,5,6,7}))), 1, 1)"),0)</f>
        <v>0</v>
      </c>
      <c r="F151" s="38">
        <v>0</v>
      </c>
      <c r="G151" s="38">
        <v>0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40">
        <v>0</v>
      </c>
      <c r="O151" s="40">
        <v>0</v>
      </c>
      <c r="P151" s="40">
        <v>0</v>
      </c>
      <c r="Q151" s="40">
        <v>0</v>
      </c>
      <c r="R151" s="40">
        <v>0</v>
      </c>
      <c r="S151" s="40">
        <v>0</v>
      </c>
      <c r="T151" s="40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>
      <c r="A152" s="38">
        <v>146</v>
      </c>
      <c r="B152" s="41" t="s">
        <v>249</v>
      </c>
      <c r="C152" s="38">
        <f>COUNTIFS(F152:T152,"&gt;0",$F$3:T$3,"&lt;13")</f>
        <v>0</v>
      </c>
      <c r="D152" s="38">
        <f ca="1">SUMIF($F$3:T$3,"&lt;13",F152:T152)</f>
        <v>0</v>
      </c>
      <c r="E152" s="40">
        <f ca="1">IFERROR(__xludf.DUMMYFUNCTION("ARRAY_CONSTRAIN(ARRAYFORMULA(SUMPRODUCT(LARGE(FILTER(F152:T152, F$3:T$3 &lt; 13),{1,2,3,4,5,6,7}))), 1, 1)"),0)</f>
        <v>0</v>
      </c>
      <c r="F152" s="38">
        <v>0</v>
      </c>
      <c r="G152" s="38">
        <v>0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>
      <c r="A153" s="38">
        <v>147</v>
      </c>
      <c r="B153" s="41" t="s">
        <v>250</v>
      </c>
      <c r="C153" s="38">
        <f>COUNTIFS(F153:T153,"&gt;0",$F$3:T$3,"&lt;13")</f>
        <v>0</v>
      </c>
      <c r="D153" s="38">
        <f ca="1">SUMIF($F$3:T$3,"&lt;13",F153:T153)</f>
        <v>0</v>
      </c>
      <c r="E153" s="40">
        <f ca="1">IFERROR(__xludf.DUMMYFUNCTION("ARRAY_CONSTRAIN(ARRAYFORMULA(SUMPRODUCT(LARGE(FILTER(F153:T153, F$3:T$3 &lt; 13),{1,2,3,4,5,6,7}))), 1, 1)"),0)</f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40">
        <v>0</v>
      </c>
      <c r="O153" s="40">
        <v>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45</v>
      </c>
      <c r="AC153">
        <v>25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>
      <c r="A154" s="38">
        <v>148</v>
      </c>
      <c r="B154" s="41" t="s">
        <v>251</v>
      </c>
      <c r="C154" s="38">
        <f>COUNTIFS(F154:T154,"&gt;0",$F$3:T$3,"&lt;13")</f>
        <v>0</v>
      </c>
      <c r="D154" s="38">
        <f ca="1">SUMIF($F$3:T$3,"&lt;13",F154:T154)</f>
        <v>0</v>
      </c>
      <c r="E154" s="40">
        <f ca="1">IFERROR(__xludf.DUMMYFUNCTION("ARRAY_CONSTRAIN(ARRAYFORMULA(SUMPRODUCT(LARGE(FILTER(F154:T154, F$3:T$3 &lt; 13),{1,2,3,4,5,6,7}))), 1, 1)"),0)</f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40">
        <v>0</v>
      </c>
      <c r="O154" s="40">
        <v>0</v>
      </c>
      <c r="P154" s="40">
        <v>0</v>
      </c>
      <c r="Q154" s="40">
        <v>0</v>
      </c>
      <c r="R154" s="40">
        <v>0</v>
      </c>
      <c r="S154" s="40">
        <v>0</v>
      </c>
      <c r="T154" s="40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45</v>
      </c>
      <c r="BA154">
        <v>0</v>
      </c>
    </row>
    <row r="155" spans="1:53">
      <c r="A155" s="38">
        <v>149</v>
      </c>
      <c r="B155" s="41" t="s">
        <v>252</v>
      </c>
      <c r="C155" s="38">
        <f>COUNTIFS(F155:T155,"&gt;0",$F$3:T$3,"&lt;13")</f>
        <v>0</v>
      </c>
      <c r="D155" s="38">
        <f ca="1">SUMIF($F$3:T$3,"&lt;13",F155:T155)</f>
        <v>0</v>
      </c>
      <c r="E155" s="40">
        <f ca="1">IFERROR(__xludf.DUMMYFUNCTION("ARRAY_CONSTRAIN(ARRAYFORMULA(SUMPRODUCT(LARGE(FILTER(F155:T155, F$3:T$3 &lt; 13),{1,2,3,4,5,6,7}))), 1, 1)"),0)</f>
        <v>0</v>
      </c>
      <c r="F155" s="38">
        <v>0</v>
      </c>
      <c r="G155" s="38">
        <v>0</v>
      </c>
      <c r="H155" s="38">
        <v>0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40">
        <v>0</v>
      </c>
      <c r="T155" s="40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>
      <c r="A156" s="38">
        <v>150</v>
      </c>
      <c r="B156" s="41" t="s">
        <v>253</v>
      </c>
      <c r="C156" s="38">
        <f>COUNTIFS(F156:T156,"&gt;0",$F$3:T$3,"&lt;13")</f>
        <v>0</v>
      </c>
      <c r="D156" s="38">
        <f ca="1">SUMIF($F$3:T$3,"&lt;13",F156:T156)</f>
        <v>0</v>
      </c>
      <c r="E156" s="40">
        <f ca="1">IFERROR(__xludf.DUMMYFUNCTION("ARRAY_CONSTRAIN(ARRAYFORMULA(SUMPRODUCT(LARGE(FILTER(F156:T156, F$3:T$3 &lt; 13),{1,2,3,4,5,6,7}))), 1, 1)"),0)</f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40">
        <v>0</v>
      </c>
      <c r="O156" s="40">
        <v>0</v>
      </c>
      <c r="P156" s="40">
        <v>0</v>
      </c>
      <c r="Q156" s="40">
        <v>0</v>
      </c>
      <c r="R156" s="40">
        <v>0</v>
      </c>
      <c r="S156" s="40">
        <v>0</v>
      </c>
      <c r="T156" s="40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>
      <c r="A157" s="38">
        <v>151</v>
      </c>
      <c r="B157" s="41" t="s">
        <v>254</v>
      </c>
      <c r="C157" s="38">
        <f>COUNTIFS(F157:T157,"&gt;0",$F$3:T$3,"&lt;13")</f>
        <v>0</v>
      </c>
      <c r="D157" s="38">
        <f ca="1">SUMIF($F$3:T$3,"&lt;13",F157:T157)</f>
        <v>0</v>
      </c>
      <c r="E157" s="40">
        <f ca="1">IFERROR(__xludf.DUMMYFUNCTION("ARRAY_CONSTRAIN(ARRAYFORMULA(SUMPRODUCT(LARGE(FILTER(F157:T157, F$3:T$3 &lt; 13),{1,2,3,4,5,6,7}))), 1, 1)"),0)</f>
        <v>0</v>
      </c>
      <c r="F157" s="38">
        <v>0</v>
      </c>
      <c r="G157" s="38">
        <v>0</v>
      </c>
      <c r="H157" s="38">
        <v>0</v>
      </c>
      <c r="I157" s="38">
        <v>0</v>
      </c>
      <c r="J157" s="38">
        <v>0</v>
      </c>
      <c r="K157" s="38">
        <v>0</v>
      </c>
      <c r="L157" s="38">
        <v>0</v>
      </c>
      <c r="M157" s="38">
        <v>0</v>
      </c>
      <c r="N157" s="40">
        <v>0</v>
      </c>
      <c r="O157" s="40">
        <v>0</v>
      </c>
      <c r="P157" s="40">
        <v>0</v>
      </c>
      <c r="Q157" s="40">
        <v>0</v>
      </c>
      <c r="R157" s="40">
        <v>0</v>
      </c>
      <c r="S157" s="40">
        <v>0</v>
      </c>
      <c r="T157" s="40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>
      <c r="A158" s="38">
        <v>152</v>
      </c>
      <c r="B158" s="41" t="s">
        <v>255</v>
      </c>
      <c r="C158" s="38">
        <f>COUNTIFS(F158:T158,"&gt;0",$F$3:T$3,"&lt;13")</f>
        <v>0</v>
      </c>
      <c r="D158" s="38">
        <f ca="1">SUMIF($F$3:T$3,"&lt;13",F158:T158)</f>
        <v>0</v>
      </c>
      <c r="E158" s="40">
        <f ca="1">IFERROR(__xludf.DUMMYFUNCTION("ARRAY_CONSTRAIN(ARRAYFORMULA(SUMPRODUCT(LARGE(FILTER(F158:T158, F$3:T$3 &lt; 13),{1,2,3,4,5,6,7}))), 1, 1)"),0)</f>
        <v>0</v>
      </c>
      <c r="F158" s="38">
        <v>0</v>
      </c>
      <c r="G158" s="38">
        <v>0</v>
      </c>
      <c r="H158" s="38">
        <v>0</v>
      </c>
      <c r="I158" s="38">
        <v>0</v>
      </c>
      <c r="J158" s="38">
        <v>0</v>
      </c>
      <c r="K158" s="38">
        <v>0</v>
      </c>
      <c r="L158" s="38">
        <v>0</v>
      </c>
      <c r="M158" s="38">
        <v>0</v>
      </c>
      <c r="N158" s="40">
        <v>0</v>
      </c>
      <c r="O158" s="40">
        <v>0</v>
      </c>
      <c r="P158" s="40">
        <v>0</v>
      </c>
      <c r="Q158" s="40">
        <v>0</v>
      </c>
      <c r="R158" s="40">
        <v>0</v>
      </c>
      <c r="S158" s="40">
        <v>0</v>
      </c>
      <c r="T158" s="40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>
      <c r="A159" s="38">
        <v>153</v>
      </c>
      <c r="B159" s="41" t="s">
        <v>256</v>
      </c>
      <c r="C159" s="38">
        <f>COUNTIFS(F159:T159,"&gt;0",$F$3:T$3,"&lt;13")</f>
        <v>0</v>
      </c>
      <c r="D159" s="38">
        <f ca="1">SUMIF($F$3:T$3,"&lt;13",F159:T159)</f>
        <v>0</v>
      </c>
      <c r="E159" s="40">
        <f ca="1">IFERROR(__xludf.DUMMYFUNCTION("ARRAY_CONSTRAIN(ARRAYFORMULA(SUMPRODUCT(LARGE(FILTER(F159:T159, F$3:T$3 &lt; 13),{1,2,3,4,5,6,7}))), 1, 1)"),0)</f>
        <v>0</v>
      </c>
      <c r="F159" s="38">
        <v>0</v>
      </c>
      <c r="G159" s="38">
        <v>0</v>
      </c>
      <c r="H159" s="38">
        <v>0</v>
      </c>
      <c r="I159" s="38">
        <v>0</v>
      </c>
      <c r="J159" s="38">
        <v>0</v>
      </c>
      <c r="K159" s="38">
        <v>0</v>
      </c>
      <c r="L159" s="38">
        <v>0</v>
      </c>
      <c r="M159" s="38">
        <v>0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>
      <c r="A160" s="38">
        <v>154</v>
      </c>
      <c r="B160" s="41" t="s">
        <v>257</v>
      </c>
      <c r="C160" s="38">
        <f>COUNTIFS(F160:T160,"&gt;0",$F$3:T$3,"&lt;13")</f>
        <v>0</v>
      </c>
      <c r="D160" s="38">
        <f ca="1">SUMIF($F$3:T$3,"&lt;13",F160:T160)</f>
        <v>0</v>
      </c>
      <c r="E160" s="40">
        <f ca="1">IFERROR(__xludf.DUMMYFUNCTION("ARRAY_CONSTRAIN(ARRAYFORMULA(SUMPRODUCT(LARGE(FILTER(F160:T160, F$3:T$3 &lt; 13),{1,2,3,4,5,6,7}))), 1, 1)"),0)</f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>
      <c r="A161" s="38">
        <v>155</v>
      </c>
      <c r="B161" s="41" t="s">
        <v>258</v>
      </c>
      <c r="C161" s="38">
        <f>COUNTIFS(F161:T161,"&gt;0",$F$3:T$3,"&lt;13")</f>
        <v>0</v>
      </c>
      <c r="D161" s="38">
        <f ca="1">SUMIF($F$3:T$3,"&lt;13",F161:T161)</f>
        <v>0</v>
      </c>
      <c r="E161" s="40">
        <f ca="1">IFERROR(__xludf.DUMMYFUNCTION("ARRAY_CONSTRAIN(ARRAYFORMULA(SUMPRODUCT(LARGE(FILTER(F161:T161, F$3:T$3 &lt; 13),{1,2,3,4,5,6,7}))), 1, 1)"),0)</f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40">
        <v>0</v>
      </c>
      <c r="O161" s="40">
        <v>0</v>
      </c>
      <c r="P161" s="40">
        <v>0</v>
      </c>
      <c r="Q161" s="40">
        <v>0</v>
      </c>
      <c r="R161" s="40">
        <v>0</v>
      </c>
      <c r="S161" s="40">
        <v>0</v>
      </c>
      <c r="T161" s="40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>
      <c r="A162" s="38">
        <v>156</v>
      </c>
      <c r="B162" s="41" t="s">
        <v>259</v>
      </c>
      <c r="C162" s="38">
        <f>COUNTIFS(F162:T162,"&gt;0",$F$3:T$3,"&lt;13")</f>
        <v>0</v>
      </c>
      <c r="D162" s="38">
        <f ca="1">SUMIF($F$3:T$3,"&lt;13",F162:T162)</f>
        <v>0</v>
      </c>
      <c r="E162" s="40">
        <f ca="1">IFERROR(__xludf.DUMMYFUNCTION("ARRAY_CONSTRAIN(ARRAYFORMULA(SUMPRODUCT(LARGE(FILTER(F162:T162, F$3:T$3 &lt; 13),{1,2,3,4,5,6,7}))), 1, 1)"),0)</f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40">
        <v>0</v>
      </c>
      <c r="O162" s="40">
        <v>0</v>
      </c>
      <c r="P162" s="40">
        <v>0</v>
      </c>
      <c r="Q162" s="40">
        <v>0</v>
      </c>
      <c r="R162" s="40">
        <v>0</v>
      </c>
      <c r="S162" s="40">
        <v>0</v>
      </c>
      <c r="T162" s="40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spans="1:53">
      <c r="A163" s="38">
        <v>157</v>
      </c>
      <c r="B163" s="41" t="s">
        <v>260</v>
      </c>
      <c r="C163" s="38">
        <f>COUNTIFS(F163:T163,"&gt;0",$F$3:T$3,"&lt;13")</f>
        <v>0</v>
      </c>
      <c r="D163" s="38">
        <f ca="1">SUMIF($F$3:T$3,"&lt;13",F163:T163)</f>
        <v>0</v>
      </c>
      <c r="E163" s="40">
        <f ca="1">IFERROR(__xludf.DUMMYFUNCTION("ARRAY_CONSTRAIN(ARRAYFORMULA(SUMPRODUCT(LARGE(FILTER(F163:T163, F$3:T$3 &lt; 13),{1,2,3,4,5,6,7}))), 1, 1)"),0)</f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>
      <c r="A164" s="38">
        <v>158</v>
      </c>
      <c r="B164" s="41" t="s">
        <v>261</v>
      </c>
      <c r="C164" s="38">
        <f>COUNTIFS(F164:T164,"&gt;0",$F$3:T$3,"&lt;13")</f>
        <v>0</v>
      </c>
      <c r="D164" s="38">
        <f ca="1">SUMIF($F$3:T$3,"&lt;13",F164:T164)</f>
        <v>0</v>
      </c>
      <c r="E164" s="40">
        <f ca="1">IFERROR(__xludf.DUMMYFUNCTION("ARRAY_CONSTRAIN(ARRAYFORMULA(SUMPRODUCT(LARGE(FILTER(F164:T164, F$3:T$3 &lt; 13),{1,2,3,4,5,6,7}))), 1, 1)"),0)</f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40">
        <v>0</v>
      </c>
      <c r="O164" s="40">
        <v>0</v>
      </c>
      <c r="P164" s="40">
        <v>0</v>
      </c>
      <c r="Q164" s="40">
        <v>0</v>
      </c>
      <c r="R164" s="40">
        <v>0</v>
      </c>
      <c r="S164" s="40">
        <v>0</v>
      </c>
      <c r="T164" s="40">
        <v>0</v>
      </c>
      <c r="U164">
        <v>0</v>
      </c>
      <c r="V164">
        <v>0</v>
      </c>
      <c r="W164">
        <v>50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30</v>
      </c>
      <c r="BA164">
        <v>0</v>
      </c>
    </row>
    <row r="165" spans="1:53">
      <c r="A165" s="38">
        <v>159</v>
      </c>
      <c r="B165" s="41" t="s">
        <v>262</v>
      </c>
      <c r="C165" s="38">
        <f>COUNTIFS(F165:T165,"&gt;0",$F$3:T$3,"&lt;13")</f>
        <v>0</v>
      </c>
      <c r="D165" s="38">
        <f ca="1">SUMIF($F$3:T$3,"&lt;13",F165:T165)</f>
        <v>0</v>
      </c>
      <c r="E165" s="40">
        <f ca="1">IFERROR(__xludf.DUMMYFUNCTION("ARRAY_CONSTRAIN(ARRAYFORMULA(SUMPRODUCT(LARGE(FILTER(F165:T165, F$3:T$3 &lt; 13),{1,2,3,4,5,6,7}))), 1, 1)"),0)</f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>
      <c r="A166" s="38">
        <v>160</v>
      </c>
      <c r="B166" s="41" t="s">
        <v>263</v>
      </c>
      <c r="C166" s="38">
        <f>COUNTIFS(F166:T166,"&gt;0",$F$3:T$3,"&lt;13")</f>
        <v>0</v>
      </c>
      <c r="D166" s="38">
        <f ca="1">SUMIF($F$3:T$3,"&lt;13",F166:T166)</f>
        <v>0</v>
      </c>
      <c r="E166" s="40">
        <f ca="1">IFERROR(__xludf.DUMMYFUNCTION("ARRAY_CONSTRAIN(ARRAYFORMULA(SUMPRODUCT(LARGE(FILTER(F166:T166, F$3:T$3 &lt; 13),{1,2,3,4,5,6,7}))), 1, 1)"),0)</f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>
      <c r="A167" s="38">
        <v>161</v>
      </c>
      <c r="B167" s="41" t="s">
        <v>264</v>
      </c>
      <c r="C167" s="38">
        <f>COUNTIFS(F167:T167,"&gt;0",$F$3:T$3,"&lt;13")</f>
        <v>0</v>
      </c>
      <c r="D167" s="38">
        <f ca="1">SUMIF($F$3:T$3,"&lt;13",F167:T167)</f>
        <v>0</v>
      </c>
      <c r="E167" s="40">
        <f ca="1">IFERROR(__xludf.DUMMYFUNCTION("ARRAY_CONSTRAIN(ARRAYFORMULA(SUMPRODUCT(LARGE(FILTER(F167:T167, F$3:T$3 &lt; 13),{1,2,3,4,5,6,7}))), 1, 1)"),0)</f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40">
        <v>0</v>
      </c>
      <c r="O167" s="40">
        <v>0</v>
      </c>
      <c r="P167" s="40">
        <v>0</v>
      </c>
      <c r="Q167" s="40">
        <v>0</v>
      </c>
      <c r="R167" s="40">
        <v>0</v>
      </c>
      <c r="S167" s="40">
        <v>0</v>
      </c>
      <c r="T167" s="40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>
      <c r="A168" s="38">
        <v>162</v>
      </c>
      <c r="B168" s="41" t="s">
        <v>265</v>
      </c>
      <c r="C168" s="38">
        <f>COUNTIFS(F168:T168,"&gt;0",$F$3:T$3,"&lt;13")</f>
        <v>0</v>
      </c>
      <c r="D168" s="38">
        <f ca="1">SUMIF($F$3:T$3,"&lt;13",F168:T168)</f>
        <v>0</v>
      </c>
      <c r="E168" s="40">
        <f ca="1">IFERROR(__xludf.DUMMYFUNCTION("ARRAY_CONSTRAIN(ARRAYFORMULA(SUMPRODUCT(LARGE(FILTER(F168:T168, F$3:T$3 &lt; 13),{1,2,3,4,5,6,7}))), 1, 1)"),0)</f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40">
        <v>0</v>
      </c>
      <c r="O168" s="40">
        <v>0</v>
      </c>
      <c r="P168" s="40">
        <v>0</v>
      </c>
      <c r="Q168" s="40">
        <v>0</v>
      </c>
      <c r="R168" s="40">
        <v>0</v>
      </c>
      <c r="S168" s="40">
        <v>0</v>
      </c>
      <c r="T168" s="40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>
      <c r="A169" s="38">
        <v>163</v>
      </c>
      <c r="B169" s="41" t="s">
        <v>266</v>
      </c>
      <c r="C169" s="38">
        <f>COUNTIFS(F169:T169,"&gt;0",$F$3:T$3,"&lt;13")</f>
        <v>0</v>
      </c>
      <c r="D169" s="38">
        <f ca="1">SUMIF($F$3:T$3,"&lt;13",F169:T169)</f>
        <v>0</v>
      </c>
      <c r="E169" s="40">
        <f ca="1">IFERROR(__xludf.DUMMYFUNCTION("ARRAY_CONSTRAIN(ARRAYFORMULA(SUMPRODUCT(LARGE(FILTER(F169:T169, F$3:T$3 &lt; 13),{1,2,3,4,5,6,7}))), 1, 1)"),0)</f>
        <v>0</v>
      </c>
      <c r="F169" s="38">
        <v>0</v>
      </c>
      <c r="G169" s="38">
        <v>0</v>
      </c>
      <c r="H169" s="38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0</v>
      </c>
      <c r="N169" s="40">
        <v>0</v>
      </c>
      <c r="O169" s="40">
        <v>0</v>
      </c>
      <c r="P169" s="40">
        <v>0</v>
      </c>
      <c r="Q169" s="40">
        <v>0</v>
      </c>
      <c r="R169" s="40">
        <v>0</v>
      </c>
      <c r="S169" s="40">
        <v>0</v>
      </c>
      <c r="T169" s="40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60</v>
      </c>
      <c r="AH169">
        <v>0</v>
      </c>
      <c r="AI169">
        <v>0</v>
      </c>
      <c r="AJ169">
        <v>0</v>
      </c>
      <c r="AK169">
        <v>40</v>
      </c>
      <c r="AL169">
        <v>0</v>
      </c>
      <c r="AM169">
        <v>0</v>
      </c>
      <c r="AN169">
        <v>0</v>
      </c>
      <c r="AO169">
        <v>0</v>
      </c>
      <c r="AP169">
        <v>30</v>
      </c>
      <c r="AQ169">
        <v>0</v>
      </c>
      <c r="AR169">
        <v>0</v>
      </c>
      <c r="AS169">
        <v>40</v>
      </c>
      <c r="AT169">
        <v>0</v>
      </c>
      <c r="AU169">
        <v>0</v>
      </c>
      <c r="AV169">
        <v>0</v>
      </c>
      <c r="AW169">
        <v>30</v>
      </c>
      <c r="AX169">
        <v>0</v>
      </c>
      <c r="AY169">
        <v>0</v>
      </c>
      <c r="AZ169">
        <v>0</v>
      </c>
      <c r="BA169">
        <v>0</v>
      </c>
    </row>
    <row r="170" spans="1:53">
      <c r="A170" s="38">
        <v>164</v>
      </c>
      <c r="B170" s="41" t="s">
        <v>267</v>
      </c>
      <c r="C170" s="38">
        <f>COUNTIFS(F170:T170,"&gt;0",$F$3:T$3,"&lt;13")</f>
        <v>0</v>
      </c>
      <c r="D170" s="38">
        <f ca="1">SUMIF($F$3:T$3,"&lt;13",F170:T170)</f>
        <v>0</v>
      </c>
      <c r="E170" s="40">
        <f ca="1">IFERROR(__xludf.DUMMYFUNCTION("ARRAY_CONSTRAIN(ARRAYFORMULA(SUMPRODUCT(LARGE(FILTER(F170:T170, F$3:T$3 &lt; 13),{1,2,3,4,5,6,7}))), 1, 1)"),0)</f>
        <v>0</v>
      </c>
      <c r="F170" s="38">
        <v>0</v>
      </c>
      <c r="G170" s="38">
        <v>0</v>
      </c>
      <c r="H170" s="38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0</v>
      </c>
      <c r="N170" s="40">
        <v>0</v>
      </c>
      <c r="O170" s="40">
        <v>0</v>
      </c>
      <c r="P170" s="40">
        <v>0</v>
      </c>
      <c r="Q170" s="40">
        <v>0</v>
      </c>
      <c r="R170" s="40">
        <v>0</v>
      </c>
      <c r="S170" s="40">
        <v>0</v>
      </c>
      <c r="T170" s="4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>
      <c r="A171" s="38">
        <v>165</v>
      </c>
      <c r="B171" s="41" t="s">
        <v>268</v>
      </c>
      <c r="C171" s="38">
        <f>COUNTIFS(F171:T171,"&gt;0",$F$3:T$3,"&lt;13")</f>
        <v>0</v>
      </c>
      <c r="D171" s="38">
        <f ca="1">SUMIF($F$3:T$3,"&lt;13",F171:T171)</f>
        <v>0</v>
      </c>
      <c r="E171" s="40">
        <f ca="1">IFERROR(__xludf.DUMMYFUNCTION("ARRAY_CONSTRAIN(ARRAYFORMULA(SUMPRODUCT(LARGE(FILTER(F171:T171, F$3:T$3 &lt; 13),{1,2,3,4,5,6,7}))), 1, 1)"),0)</f>
        <v>0</v>
      </c>
      <c r="F171" s="38">
        <v>0</v>
      </c>
      <c r="G171" s="38">
        <v>0</v>
      </c>
      <c r="H171" s="38">
        <v>0</v>
      </c>
      <c r="I171" s="38">
        <v>0</v>
      </c>
      <c r="J171" s="38">
        <v>0</v>
      </c>
      <c r="K171" s="38">
        <v>0</v>
      </c>
      <c r="L171" s="38">
        <v>0</v>
      </c>
      <c r="M171" s="38">
        <v>0</v>
      </c>
      <c r="N171" s="40">
        <v>0</v>
      </c>
      <c r="O171" s="40">
        <v>0</v>
      </c>
      <c r="P171" s="40">
        <v>0</v>
      </c>
      <c r="Q171" s="40">
        <v>0</v>
      </c>
      <c r="R171" s="40">
        <v>0</v>
      </c>
      <c r="S171" s="40">
        <v>0</v>
      </c>
      <c r="T171" s="40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>
      <c r="A172" s="38">
        <v>166</v>
      </c>
      <c r="B172" s="41" t="s">
        <v>269</v>
      </c>
      <c r="C172" s="38">
        <f>COUNTIFS(F172:T172,"&gt;0",$F$3:T$3,"&lt;13")</f>
        <v>0</v>
      </c>
      <c r="D172" s="38">
        <f ca="1">SUMIF($F$3:T$3,"&lt;13",F172:T172)</f>
        <v>0</v>
      </c>
      <c r="E172" s="40">
        <f ca="1">IFERROR(__xludf.DUMMYFUNCTION("ARRAY_CONSTRAIN(ARRAYFORMULA(SUMPRODUCT(LARGE(FILTER(F172:T172, F$3:T$3 &lt; 13),{1,2,3,4,5,6,7}))), 1, 1)"),0)</f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>
      <c r="A173" s="38">
        <v>167</v>
      </c>
      <c r="B173" s="41" t="s">
        <v>270</v>
      </c>
      <c r="C173" s="38">
        <f>COUNTIFS(F173:T173,"&gt;0",$F$3:T$3,"&lt;13")</f>
        <v>0</v>
      </c>
      <c r="D173" s="38">
        <f ca="1">SUMIF($F$3:T$3,"&lt;13",F173:T173)</f>
        <v>0</v>
      </c>
      <c r="E173" s="40">
        <f ca="1">IFERROR(__xludf.DUMMYFUNCTION("ARRAY_CONSTRAIN(ARRAYFORMULA(SUMPRODUCT(LARGE(FILTER(F173:T173, F$3:T$3 &lt; 13),{1,2,3,4,5,6,7}))), 1, 1)"),0)</f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40">
        <v>0</v>
      </c>
      <c r="O173" s="40">
        <v>0</v>
      </c>
      <c r="P173" s="40">
        <v>0</v>
      </c>
      <c r="Q173" s="40">
        <v>0</v>
      </c>
      <c r="R173" s="40">
        <v>0</v>
      </c>
      <c r="S173" s="40">
        <v>0</v>
      </c>
      <c r="T173" s="40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>
      <c r="A174" s="38">
        <v>168</v>
      </c>
      <c r="B174" s="41" t="s">
        <v>271</v>
      </c>
      <c r="C174" s="38">
        <f>COUNTIFS(F174:T174,"&gt;0",$F$3:T$3,"&lt;13")</f>
        <v>0</v>
      </c>
      <c r="D174" s="38">
        <f ca="1">SUMIF($F$3:T$3,"&lt;13",F174:T174)</f>
        <v>0</v>
      </c>
      <c r="E174" s="40">
        <f ca="1">IFERROR(__xludf.DUMMYFUNCTION("ARRAY_CONSTRAIN(ARRAYFORMULA(SUMPRODUCT(LARGE(FILTER(F174:T174, F$3:T$3 &lt; 13),{1,2,3,4,5,6,7}))), 1, 1)"),0)</f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40">
        <v>0</v>
      </c>
      <c r="O174" s="40">
        <v>0</v>
      </c>
      <c r="P174" s="40">
        <v>0</v>
      </c>
      <c r="Q174" s="40">
        <v>0</v>
      </c>
      <c r="R174" s="40">
        <v>0</v>
      </c>
      <c r="S174" s="40">
        <v>0</v>
      </c>
      <c r="T174" s="40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>
      <c r="A175" s="38">
        <v>169</v>
      </c>
      <c r="B175" s="41" t="s">
        <v>272</v>
      </c>
      <c r="C175" s="38">
        <f>COUNTIFS(F175:T175,"&gt;0",$F$3:T$3,"&lt;13")</f>
        <v>0</v>
      </c>
      <c r="D175" s="38">
        <f ca="1">SUMIF($F$3:T$3,"&lt;13",F175:T175)</f>
        <v>0</v>
      </c>
      <c r="E175" s="40">
        <f ca="1">IFERROR(__xludf.DUMMYFUNCTION("ARRAY_CONSTRAIN(ARRAYFORMULA(SUMPRODUCT(LARGE(FILTER(F175:T175, F$3:T$3 &lt; 13),{1,2,3,4,5,6,7}))), 1, 1)"),0)</f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0</v>
      </c>
      <c r="T175" s="40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30</v>
      </c>
      <c r="AV175">
        <v>0</v>
      </c>
      <c r="AW175">
        <v>50</v>
      </c>
      <c r="AX175">
        <v>0</v>
      </c>
      <c r="AY175">
        <v>0</v>
      </c>
      <c r="AZ175">
        <v>0</v>
      </c>
      <c r="BA175">
        <v>0</v>
      </c>
    </row>
    <row r="176" spans="1:53">
      <c r="A176" s="38">
        <v>170</v>
      </c>
      <c r="B176" s="41" t="s">
        <v>273</v>
      </c>
      <c r="C176" s="38">
        <f>COUNTIFS(F176:T176,"&gt;0",$F$3:T$3,"&lt;13")</f>
        <v>0</v>
      </c>
      <c r="D176" s="38">
        <f ca="1">SUMIF($F$3:T$3,"&lt;13",F176:T176)</f>
        <v>0</v>
      </c>
      <c r="E176" s="40">
        <f ca="1">IFERROR(__xludf.DUMMYFUNCTION("ARRAY_CONSTRAIN(ARRAYFORMULA(SUMPRODUCT(LARGE(FILTER(F176:T176, F$3:T$3 &lt; 13),{1,2,3,4,5,6,7}))), 1, 1)"),0)</f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40">
        <v>0</v>
      </c>
      <c r="O176" s="40">
        <v>0</v>
      </c>
      <c r="P176" s="40">
        <v>0</v>
      </c>
      <c r="Q176" s="40">
        <v>0</v>
      </c>
      <c r="R176" s="40">
        <v>0</v>
      </c>
      <c r="S176" s="40">
        <v>0</v>
      </c>
      <c r="T176" s="40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>
      <c r="A177" s="38">
        <v>171</v>
      </c>
      <c r="B177" s="41" t="s">
        <v>274</v>
      </c>
      <c r="C177" s="38">
        <f>COUNTIFS(F177:T177,"&gt;0",$F$3:T$3,"&lt;13")</f>
        <v>0</v>
      </c>
      <c r="D177" s="38">
        <f ca="1">SUMIF($F$3:T$3,"&lt;13",F177:T177)</f>
        <v>0</v>
      </c>
      <c r="E177" s="40">
        <f ca="1">IFERROR(__xludf.DUMMYFUNCTION("ARRAY_CONSTRAIN(ARRAYFORMULA(SUMPRODUCT(LARGE(FILTER(F177:T177, F$3:T$3 &lt; 13),{1,2,3,4,5,6,7}))), 1, 1)"),0)</f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40">
        <v>0</v>
      </c>
      <c r="O177" s="40">
        <v>0</v>
      </c>
      <c r="P177" s="40">
        <v>0</v>
      </c>
      <c r="Q177" s="40">
        <v>0</v>
      </c>
      <c r="R177" s="40">
        <v>0</v>
      </c>
      <c r="S177" s="40">
        <v>0</v>
      </c>
      <c r="T177" s="40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>
      <c r="A178" s="38">
        <v>172</v>
      </c>
      <c r="B178" s="41" t="s">
        <v>275</v>
      </c>
      <c r="C178" s="38">
        <f>COUNTIFS(F178:T178,"&gt;0",$F$3:T$3,"&lt;13")</f>
        <v>0</v>
      </c>
      <c r="D178" s="38">
        <f ca="1">SUMIF($F$3:T$3,"&lt;13",F178:T178)</f>
        <v>0</v>
      </c>
      <c r="E178" s="40">
        <f ca="1">IFERROR(__xludf.DUMMYFUNCTION("ARRAY_CONSTRAIN(ARRAYFORMULA(SUMPRODUCT(LARGE(FILTER(F178:T178, F$3:T$3 &lt; 13),{1,2,3,4,5,6,7}))), 1, 1)"),0)</f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40">
        <v>0</v>
      </c>
      <c r="O178" s="40">
        <v>0</v>
      </c>
      <c r="P178" s="40">
        <v>0</v>
      </c>
      <c r="Q178" s="40">
        <v>0</v>
      </c>
      <c r="R178" s="40">
        <v>0</v>
      </c>
      <c r="S178" s="40">
        <v>0</v>
      </c>
      <c r="T178" s="40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>
      <c r="A179" s="38">
        <v>173</v>
      </c>
      <c r="B179" s="41" t="s">
        <v>276</v>
      </c>
      <c r="C179" s="38">
        <f>COUNTIFS(F179:T179,"&gt;0",$F$3:T$3,"&lt;13")</f>
        <v>0</v>
      </c>
      <c r="D179" s="38">
        <f ca="1">SUMIF($F$3:T$3,"&lt;13",F179:T179)</f>
        <v>0</v>
      </c>
      <c r="E179" s="40">
        <f ca="1">IFERROR(__xludf.DUMMYFUNCTION("ARRAY_CONSTRAIN(ARRAYFORMULA(SUMPRODUCT(LARGE(FILTER(F179:T179, F$3:T$3 &lt; 13),{1,2,3,4,5,6,7}))), 1, 1)"),0)</f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40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>
      <c r="A180" s="38">
        <v>174</v>
      </c>
      <c r="B180" s="41" t="s">
        <v>277</v>
      </c>
      <c r="C180" s="38">
        <f>COUNTIFS(F180:T180,"&gt;0",$F$3:T$3,"&lt;13")</f>
        <v>0</v>
      </c>
      <c r="D180" s="38">
        <f ca="1">SUMIF($F$3:T$3,"&lt;13",F180:T180)</f>
        <v>0</v>
      </c>
      <c r="E180" s="40">
        <f ca="1">IFERROR(__xludf.DUMMYFUNCTION("ARRAY_CONSTRAIN(ARRAYFORMULA(SUMPRODUCT(LARGE(FILTER(F180:T180, F$3:T$3 &lt; 13),{1,2,3,4,5,6,7}))), 1, 1)"),0)</f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>
        <v>25</v>
      </c>
      <c r="V180">
        <v>0</v>
      </c>
      <c r="W180">
        <v>70</v>
      </c>
      <c r="X180">
        <v>40</v>
      </c>
      <c r="Y180">
        <v>35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>
      <c r="A181" s="38">
        <v>175</v>
      </c>
      <c r="B181" s="41" t="s">
        <v>278</v>
      </c>
      <c r="C181" s="38">
        <f>COUNTIFS(F181:T181,"&gt;0",$F$3:T$3,"&lt;13")</f>
        <v>0</v>
      </c>
      <c r="D181" s="38">
        <f ca="1">SUMIF($F$3:T$3,"&lt;13",F181:T181)</f>
        <v>0</v>
      </c>
      <c r="E181" s="40">
        <f ca="1">IFERROR(__xludf.DUMMYFUNCTION("ARRAY_CONSTRAIN(ARRAYFORMULA(SUMPRODUCT(LARGE(FILTER(F181:T181, F$3:T$3 &lt; 13),{1,2,3,4,5,6,7}))), 1, 1)"),0)</f>
        <v>0</v>
      </c>
      <c r="F181" s="38">
        <v>0</v>
      </c>
      <c r="G181" s="38">
        <v>0</v>
      </c>
      <c r="H181" s="38">
        <v>0</v>
      </c>
      <c r="I181" s="38">
        <v>0</v>
      </c>
      <c r="J181" s="38">
        <v>0</v>
      </c>
      <c r="K181" s="38">
        <v>0</v>
      </c>
      <c r="L181" s="38">
        <v>0</v>
      </c>
      <c r="M181" s="38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0">
        <v>0</v>
      </c>
      <c r="U181">
        <v>45</v>
      </c>
      <c r="V181">
        <v>90</v>
      </c>
      <c r="W181">
        <v>50</v>
      </c>
      <c r="X181">
        <v>25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>
      <c r="A182" s="38">
        <v>176</v>
      </c>
      <c r="B182" s="41" t="s">
        <v>279</v>
      </c>
      <c r="C182" s="38">
        <f>COUNTIFS(F182:T182,"&gt;0",$F$3:T$3,"&lt;13")</f>
        <v>0</v>
      </c>
      <c r="D182" s="38">
        <f ca="1">SUMIF($F$3:T$3,"&lt;13",F182:T182)</f>
        <v>0</v>
      </c>
      <c r="E182" s="40">
        <f ca="1">IFERROR(__xludf.DUMMYFUNCTION("ARRAY_CONSTRAIN(ARRAYFORMULA(SUMPRODUCT(LARGE(FILTER(F182:T182, F$3:T$3 &lt; 13),{1,2,3,4,5,6,7}))), 1, 1)"),0)</f>
        <v>0</v>
      </c>
      <c r="F182" s="38">
        <v>0</v>
      </c>
      <c r="G182" s="38">
        <v>0</v>
      </c>
      <c r="H182" s="38">
        <v>0</v>
      </c>
      <c r="I182" s="38">
        <v>0</v>
      </c>
      <c r="J182" s="38">
        <v>0</v>
      </c>
      <c r="K182" s="38">
        <v>0</v>
      </c>
      <c r="L182" s="38">
        <v>0</v>
      </c>
      <c r="M182" s="38">
        <v>0</v>
      </c>
      <c r="N182" s="40">
        <v>0</v>
      </c>
      <c r="O182" s="40">
        <v>0</v>
      </c>
      <c r="P182" s="40">
        <v>0</v>
      </c>
      <c r="Q182" s="40">
        <v>0</v>
      </c>
      <c r="R182" s="40">
        <v>0</v>
      </c>
      <c r="S182" s="40">
        <v>0</v>
      </c>
      <c r="T182" s="40">
        <v>0</v>
      </c>
      <c r="U182">
        <v>0</v>
      </c>
      <c r="V182">
        <v>0</v>
      </c>
      <c r="W182">
        <v>90</v>
      </c>
      <c r="X182">
        <v>25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50</v>
      </c>
      <c r="AF182">
        <v>60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 spans="1:53">
      <c r="A183" s="38">
        <v>177</v>
      </c>
      <c r="B183" s="41" t="s">
        <v>280</v>
      </c>
      <c r="C183" s="38">
        <f>COUNTIFS(F183:T183,"&gt;0",$F$3:T$3,"&lt;13")</f>
        <v>0</v>
      </c>
      <c r="D183" s="38">
        <f ca="1">SUMIF($F$3:T$3,"&lt;13",F183:T183)</f>
        <v>0</v>
      </c>
      <c r="E183" s="40">
        <f ca="1">IFERROR(__xludf.DUMMYFUNCTION("ARRAY_CONSTRAIN(ARRAYFORMULA(SUMPRODUCT(LARGE(FILTER(F183:T183, F$3:T$3 &lt; 13),{1,2,3,4,5,6,7}))), 1, 1)"),0)</f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0</v>
      </c>
      <c r="T183" s="40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>
      <c r="A184" s="38">
        <v>178</v>
      </c>
      <c r="B184" s="41" t="s">
        <v>281</v>
      </c>
      <c r="C184" s="38">
        <f>COUNTIFS(F184:T184,"&gt;0",$F$3:T$3,"&lt;13")</f>
        <v>0</v>
      </c>
      <c r="D184" s="38">
        <f ca="1">SUMIF($F$3:T$3,"&lt;13",F184:T184)</f>
        <v>0</v>
      </c>
      <c r="E184" s="40">
        <f ca="1">IFERROR(__xludf.DUMMYFUNCTION("ARRAY_CONSTRAIN(ARRAYFORMULA(SUMPRODUCT(LARGE(FILTER(F184:T184, F$3:T$3 &lt; 13),{1,2,3,4,5,6,7}))), 1, 1)"),0)</f>
        <v>0</v>
      </c>
      <c r="F184" s="38">
        <v>0</v>
      </c>
      <c r="G184" s="38">
        <v>0</v>
      </c>
      <c r="H184" s="38">
        <v>0</v>
      </c>
      <c r="I184" s="38">
        <v>0</v>
      </c>
      <c r="J184" s="38">
        <v>0</v>
      </c>
      <c r="K184" s="38">
        <v>0</v>
      </c>
      <c r="L184" s="38">
        <v>0</v>
      </c>
      <c r="M184" s="38">
        <v>0</v>
      </c>
      <c r="N184" s="40">
        <v>0</v>
      </c>
      <c r="O184" s="40">
        <v>0</v>
      </c>
      <c r="P184" s="40">
        <v>0</v>
      </c>
      <c r="Q184" s="40">
        <v>0</v>
      </c>
      <c r="R184" s="40">
        <v>0</v>
      </c>
      <c r="S184" s="40">
        <v>0</v>
      </c>
      <c r="T184" s="4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>
      <c r="A185" s="38">
        <v>179</v>
      </c>
      <c r="B185" s="41" t="s">
        <v>282</v>
      </c>
      <c r="C185" s="38">
        <f>COUNTIFS(F185:T185,"&gt;0",$F$3:T$3,"&lt;13")</f>
        <v>0</v>
      </c>
      <c r="D185" s="38">
        <f ca="1">SUMIF($F$3:T$3,"&lt;13",F185:T185)</f>
        <v>0</v>
      </c>
      <c r="E185" s="40">
        <f ca="1">IFERROR(__xludf.DUMMYFUNCTION("ARRAY_CONSTRAIN(ARRAYFORMULA(SUMPRODUCT(LARGE(FILTER(F185:T185, F$3:T$3 &lt; 13),{1,2,3,4,5,6,7}))), 1, 1)"),0)</f>
        <v>0</v>
      </c>
      <c r="F185" s="38">
        <v>0</v>
      </c>
      <c r="G185" s="38">
        <v>0</v>
      </c>
      <c r="H185" s="38">
        <v>0</v>
      </c>
      <c r="I185" s="38">
        <v>0</v>
      </c>
      <c r="J185" s="38">
        <v>0</v>
      </c>
      <c r="K185" s="38">
        <v>0</v>
      </c>
      <c r="L185" s="38">
        <v>0</v>
      </c>
      <c r="M185" s="38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40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50</v>
      </c>
      <c r="AO185">
        <v>0</v>
      </c>
      <c r="AP185">
        <v>0</v>
      </c>
      <c r="AQ185">
        <v>0</v>
      </c>
      <c r="AR185">
        <v>50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>
      <c r="A186" s="38">
        <v>180</v>
      </c>
      <c r="B186" s="41" t="s">
        <v>283</v>
      </c>
      <c r="C186" s="38">
        <f>COUNTIFS(F186:T186,"&gt;0",$F$3:T$3,"&lt;13")</f>
        <v>0</v>
      </c>
      <c r="D186" s="38">
        <f ca="1">SUMIF($F$3:T$3,"&lt;13",F186:T186)</f>
        <v>0</v>
      </c>
      <c r="E186" s="40">
        <f ca="1">IFERROR(__xludf.DUMMYFUNCTION("ARRAY_CONSTRAIN(ARRAYFORMULA(SUMPRODUCT(LARGE(FILTER(F186:T186, F$3:T$3 &lt; 13),{1,2,3,4,5,6,7}))), 1, 1)"),0)</f>
        <v>0</v>
      </c>
      <c r="F186" s="38">
        <v>0</v>
      </c>
      <c r="G186" s="38">
        <v>0</v>
      </c>
      <c r="H186" s="38">
        <v>0</v>
      </c>
      <c r="I186" s="38">
        <v>0</v>
      </c>
      <c r="J186" s="38">
        <v>0</v>
      </c>
      <c r="K186" s="38">
        <v>0</v>
      </c>
      <c r="L186" s="38">
        <v>0</v>
      </c>
      <c r="M186" s="38">
        <v>0</v>
      </c>
      <c r="N186" s="40">
        <v>0</v>
      </c>
      <c r="O186" s="40">
        <v>0</v>
      </c>
      <c r="P186" s="40">
        <v>0</v>
      </c>
      <c r="Q186" s="40">
        <v>0</v>
      </c>
      <c r="R186" s="40">
        <v>0</v>
      </c>
      <c r="S186" s="40">
        <v>0</v>
      </c>
      <c r="T186" s="40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>
      <c r="A187" s="38">
        <v>181</v>
      </c>
      <c r="B187" s="41" t="s">
        <v>284</v>
      </c>
      <c r="C187" s="38">
        <f>COUNTIFS(F187:T187,"&gt;0",$F$3:T$3,"&lt;13")</f>
        <v>0</v>
      </c>
      <c r="D187" s="38">
        <f ca="1">SUMIF($F$3:T$3,"&lt;13",F187:T187)</f>
        <v>0</v>
      </c>
      <c r="E187" s="40">
        <f ca="1">IFERROR(__xludf.DUMMYFUNCTION("ARRAY_CONSTRAIN(ARRAYFORMULA(SUMPRODUCT(LARGE(FILTER(F187:T187, F$3:T$3 &lt; 13),{1,2,3,4,5,6,7}))), 1, 1)"),0)</f>
        <v>0</v>
      </c>
      <c r="F187" s="38">
        <v>0</v>
      </c>
      <c r="G187" s="38">
        <v>0</v>
      </c>
      <c r="H187" s="38">
        <v>0</v>
      </c>
      <c r="I187" s="38">
        <v>0</v>
      </c>
      <c r="J187" s="38">
        <v>0</v>
      </c>
      <c r="K187" s="38">
        <v>0</v>
      </c>
      <c r="L187" s="38">
        <v>0</v>
      </c>
      <c r="M187" s="38">
        <v>0</v>
      </c>
      <c r="N187" s="40">
        <v>0</v>
      </c>
      <c r="O187" s="40">
        <v>0</v>
      </c>
      <c r="P187" s="40">
        <v>0</v>
      </c>
      <c r="Q187" s="40">
        <v>0</v>
      </c>
      <c r="R187" s="40">
        <v>0</v>
      </c>
      <c r="S187" s="40">
        <v>0</v>
      </c>
      <c r="T187" s="40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>
      <c r="A188" s="38">
        <v>182</v>
      </c>
      <c r="B188" s="41" t="s">
        <v>285</v>
      </c>
      <c r="C188" s="38">
        <f>COUNTIFS(F188:T188,"&gt;0",$F$3:T$3,"&lt;13")</f>
        <v>0</v>
      </c>
      <c r="D188" s="38">
        <f ca="1">SUMIF($F$3:T$3,"&lt;13",F188:T188)</f>
        <v>0</v>
      </c>
      <c r="E188" s="40">
        <f ca="1">IFERROR(__xludf.DUMMYFUNCTION("ARRAY_CONSTRAIN(ARRAYFORMULA(SUMPRODUCT(LARGE(FILTER(F188:T188, F$3:T$3 &lt; 13),{1,2,3,4,5,6,7}))), 1, 1)"),0)</f>
        <v>0</v>
      </c>
      <c r="F188" s="38">
        <v>0</v>
      </c>
      <c r="G188" s="38">
        <v>0</v>
      </c>
      <c r="H188" s="38">
        <v>0</v>
      </c>
      <c r="I188" s="38">
        <v>0</v>
      </c>
      <c r="J188" s="38">
        <v>0</v>
      </c>
      <c r="K188" s="38">
        <v>0</v>
      </c>
      <c r="L188" s="38">
        <v>0</v>
      </c>
      <c r="M188" s="38">
        <v>0</v>
      </c>
      <c r="N188" s="40">
        <v>0</v>
      </c>
      <c r="O188" s="40">
        <v>0</v>
      </c>
      <c r="P188" s="40">
        <v>0</v>
      </c>
      <c r="Q188" s="40">
        <v>0</v>
      </c>
      <c r="R188" s="40">
        <v>0</v>
      </c>
      <c r="S188" s="40">
        <v>0</v>
      </c>
      <c r="T188" s="40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>
      <c r="A189" s="38">
        <v>183</v>
      </c>
      <c r="B189" s="41" t="s">
        <v>286</v>
      </c>
      <c r="C189" s="38">
        <f>COUNTIFS(F189:T189,"&gt;0",$F$3:T$3,"&lt;13")</f>
        <v>0</v>
      </c>
      <c r="D189" s="38">
        <f ca="1">SUMIF($F$3:T$3,"&lt;13",F189:T189)</f>
        <v>0</v>
      </c>
      <c r="E189" s="40">
        <f ca="1">IFERROR(__xludf.DUMMYFUNCTION("ARRAY_CONSTRAIN(ARRAYFORMULA(SUMPRODUCT(LARGE(FILTER(F189:T189, F$3:T$3 &lt; 13),{1,2,3,4,5,6,7}))), 1, 1)"),0)</f>
        <v>0</v>
      </c>
      <c r="F189" s="38">
        <v>0</v>
      </c>
      <c r="G189" s="38">
        <v>0</v>
      </c>
      <c r="H189" s="38">
        <v>0</v>
      </c>
      <c r="I189" s="38">
        <v>0</v>
      </c>
      <c r="J189" s="38">
        <v>0</v>
      </c>
      <c r="K189" s="38">
        <v>0</v>
      </c>
      <c r="L189" s="38">
        <v>0</v>
      </c>
      <c r="M189" s="38">
        <v>0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40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40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>
      <c r="A190" s="38">
        <v>184</v>
      </c>
      <c r="B190" s="41" t="s">
        <v>287</v>
      </c>
      <c r="C190" s="38">
        <f>COUNTIFS(F190:T190,"&gt;0",$F$3:T$3,"&lt;13")</f>
        <v>0</v>
      </c>
      <c r="D190" s="38">
        <f ca="1">SUMIF($F$3:T$3,"&lt;13",F190:T190)</f>
        <v>0</v>
      </c>
      <c r="E190" s="40">
        <f ca="1">IFERROR(__xludf.DUMMYFUNCTION("ARRAY_CONSTRAIN(ARRAYFORMULA(SUMPRODUCT(LARGE(FILTER(F190:T190, F$3:T$3 &lt; 13),{1,2,3,4,5,6,7}))), 1, 1)"),0)</f>
        <v>0</v>
      </c>
      <c r="F190" s="38">
        <v>0</v>
      </c>
      <c r="G190" s="38">
        <v>0</v>
      </c>
      <c r="H190" s="38">
        <v>0</v>
      </c>
      <c r="I190" s="38">
        <v>0</v>
      </c>
      <c r="J190" s="38">
        <v>0</v>
      </c>
      <c r="K190" s="38">
        <v>0</v>
      </c>
      <c r="L190" s="38">
        <v>0</v>
      </c>
      <c r="M190" s="38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0</v>
      </c>
      <c r="T190" s="4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>
      <c r="A191" s="38">
        <v>185</v>
      </c>
      <c r="B191" s="41" t="s">
        <v>288</v>
      </c>
      <c r="C191" s="38">
        <f>COUNTIFS(F191:T191,"&gt;0",$F$3:T$3,"&lt;13")</f>
        <v>0</v>
      </c>
      <c r="D191" s="38">
        <f ca="1">SUMIF($F$3:T$3,"&lt;13",F191:T191)</f>
        <v>0</v>
      </c>
      <c r="E191" s="40">
        <f ca="1">IFERROR(__xludf.DUMMYFUNCTION("ARRAY_CONSTRAIN(ARRAYFORMULA(SUMPRODUCT(LARGE(FILTER(F191:T191, F$3:T$3 &lt; 13),{1,2,3,4,5,6,7}))), 1, 1)"),0)</f>
        <v>0</v>
      </c>
      <c r="F191" s="38">
        <v>0</v>
      </c>
      <c r="G191" s="38">
        <v>0</v>
      </c>
      <c r="H191" s="38">
        <v>0</v>
      </c>
      <c r="I191" s="38">
        <v>0</v>
      </c>
      <c r="J191" s="38">
        <v>0</v>
      </c>
      <c r="K191" s="38">
        <v>0</v>
      </c>
      <c r="L191" s="38">
        <v>0</v>
      </c>
      <c r="M191" s="38">
        <v>0</v>
      </c>
      <c r="N191" s="40">
        <v>0</v>
      </c>
      <c r="O191" s="40">
        <v>0</v>
      </c>
      <c r="P191" s="40">
        <v>0</v>
      </c>
      <c r="Q191" s="40">
        <v>0</v>
      </c>
      <c r="R191" s="40">
        <v>0</v>
      </c>
      <c r="S191" s="40">
        <v>0</v>
      </c>
      <c r="T191" s="40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>
      <c r="A192" s="38">
        <v>186</v>
      </c>
      <c r="B192" s="41" t="s">
        <v>289</v>
      </c>
      <c r="C192" s="38">
        <f>COUNTIFS(F192:T192,"&gt;0",$F$3:T$3,"&lt;13")</f>
        <v>0</v>
      </c>
      <c r="D192" s="38">
        <f ca="1">SUMIF($F$3:T$3,"&lt;13",F192:T192)</f>
        <v>0</v>
      </c>
      <c r="E192" s="40">
        <f ca="1">IFERROR(__xludf.DUMMYFUNCTION("ARRAY_CONSTRAIN(ARRAYFORMULA(SUMPRODUCT(LARGE(FILTER(F192:T192, F$3:T$3 &lt; 13),{1,2,3,4,5,6,7}))), 1, 1)"),0)</f>
        <v>0</v>
      </c>
      <c r="F192" s="38">
        <v>0</v>
      </c>
      <c r="G192" s="38">
        <v>0</v>
      </c>
      <c r="H192" s="38">
        <v>0</v>
      </c>
      <c r="I192" s="38">
        <v>0</v>
      </c>
      <c r="J192" s="38">
        <v>0</v>
      </c>
      <c r="K192" s="38">
        <v>0</v>
      </c>
      <c r="L192" s="38">
        <v>0</v>
      </c>
      <c r="M192" s="38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0">
        <v>0</v>
      </c>
      <c r="T192" s="40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>
      <c r="A193" s="38">
        <v>187</v>
      </c>
      <c r="B193" s="41" t="s">
        <v>290</v>
      </c>
      <c r="C193" s="38">
        <f>COUNTIFS(F193:T193,"&gt;0",$F$3:T$3,"&lt;13")</f>
        <v>0</v>
      </c>
      <c r="D193" s="38">
        <f ca="1">SUMIF($F$3:T$3,"&lt;13",F193:T193)</f>
        <v>0</v>
      </c>
      <c r="E193" s="40">
        <f ca="1">IFERROR(__xludf.DUMMYFUNCTION("ARRAY_CONSTRAIN(ARRAYFORMULA(SUMPRODUCT(LARGE(FILTER(F193:T193, F$3:T$3 &lt; 13),{1,2,3,4,5,6,7}))), 1, 1)"),0)</f>
        <v>0</v>
      </c>
      <c r="F193" s="38">
        <v>0</v>
      </c>
      <c r="G193" s="38">
        <v>0</v>
      </c>
      <c r="H193" s="38">
        <v>0</v>
      </c>
      <c r="I193" s="38">
        <v>0</v>
      </c>
      <c r="J193" s="38">
        <v>0</v>
      </c>
      <c r="K193" s="38">
        <v>0</v>
      </c>
      <c r="L193" s="38">
        <v>0</v>
      </c>
      <c r="M193" s="38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>
      <c r="A194" s="38">
        <v>188</v>
      </c>
      <c r="B194" s="41" t="s">
        <v>291</v>
      </c>
      <c r="C194" s="38">
        <f>COUNTIFS(F194:T194,"&gt;0",$F$3:T$3,"&lt;13")</f>
        <v>0</v>
      </c>
      <c r="D194" s="38">
        <f ca="1">SUMIF($F$3:T$3,"&lt;13",F194:T194)</f>
        <v>0</v>
      </c>
      <c r="E194" s="40">
        <f ca="1">IFERROR(__xludf.DUMMYFUNCTION("ARRAY_CONSTRAIN(ARRAYFORMULA(SUMPRODUCT(LARGE(FILTER(F194:T194, F$3:T$3 &lt; 13),{1,2,3,4,5,6,7}))), 1, 1)"),0)</f>
        <v>0</v>
      </c>
      <c r="F194" s="38">
        <v>0</v>
      </c>
      <c r="G194" s="38">
        <v>0</v>
      </c>
      <c r="H194" s="38">
        <v>0</v>
      </c>
      <c r="I194" s="38">
        <v>0</v>
      </c>
      <c r="J194" s="38">
        <v>0</v>
      </c>
      <c r="K194" s="38">
        <v>0</v>
      </c>
      <c r="L194" s="38">
        <v>0</v>
      </c>
      <c r="M194" s="38">
        <v>0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40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spans="1:53">
      <c r="A195" s="38">
        <v>189</v>
      </c>
      <c r="B195" s="41" t="s">
        <v>292</v>
      </c>
      <c r="C195" s="38">
        <f>COUNTIFS(F195:T195,"&gt;0",$F$3:T$3,"&lt;13")</f>
        <v>0</v>
      </c>
      <c r="D195" s="38">
        <f ca="1">SUMIF($F$3:T$3,"&lt;13",F195:T195)</f>
        <v>0</v>
      </c>
      <c r="E195" s="40">
        <f ca="1">IFERROR(__xludf.DUMMYFUNCTION("ARRAY_CONSTRAIN(ARRAYFORMULA(SUMPRODUCT(LARGE(FILTER(F195:T195, F$3:T$3 &lt; 13),{1,2,3,4,5,6,7}))), 1, 1)"),0)</f>
        <v>0</v>
      </c>
      <c r="F195" s="38">
        <v>0</v>
      </c>
      <c r="G195" s="38">
        <v>0</v>
      </c>
      <c r="H195" s="38">
        <v>0</v>
      </c>
      <c r="I195" s="38">
        <v>0</v>
      </c>
      <c r="J195" s="38">
        <v>0</v>
      </c>
      <c r="K195" s="38">
        <v>0</v>
      </c>
      <c r="L195" s="38">
        <v>0</v>
      </c>
      <c r="M195" s="38">
        <v>0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40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>
      <c r="A196" s="38">
        <v>190</v>
      </c>
      <c r="B196" s="41" t="s">
        <v>293</v>
      </c>
      <c r="C196" s="38">
        <f>COUNTIFS(F196:T196,"&gt;0",$F$3:T$3,"&lt;13")</f>
        <v>0</v>
      </c>
      <c r="D196" s="38">
        <f ca="1">SUMIF($F$3:T$3,"&lt;13",F196:T196)</f>
        <v>0</v>
      </c>
      <c r="E196" s="40">
        <f ca="1">IFERROR(__xludf.DUMMYFUNCTION("ARRAY_CONSTRAIN(ARRAYFORMULA(SUMPRODUCT(LARGE(FILTER(F196:T196, F$3:T$3 &lt; 13),{1,2,3,4,5,6,7}))), 1, 1)"),0)</f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40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spans="1:53">
      <c r="A197" s="38">
        <v>191</v>
      </c>
      <c r="B197" s="41" t="s">
        <v>294</v>
      </c>
      <c r="C197" s="38">
        <f>COUNTIFS(F197:T197,"&gt;0",$F$3:T$3,"&lt;13")</f>
        <v>0</v>
      </c>
      <c r="D197" s="38">
        <f ca="1">SUMIF($F$3:T$3,"&lt;13",F197:T197)</f>
        <v>0</v>
      </c>
      <c r="E197" s="40">
        <f ca="1">IFERROR(__xludf.DUMMYFUNCTION("ARRAY_CONSTRAIN(ARRAYFORMULA(SUMPRODUCT(LARGE(FILTER(F197:T197, F$3:T$3 &lt; 13),{1,2,3,4,5,6,7}))), 1, 1)"),0)</f>
        <v>0</v>
      </c>
      <c r="F197" s="38">
        <v>0</v>
      </c>
      <c r="G197" s="38">
        <v>0</v>
      </c>
      <c r="H197" s="38">
        <v>0</v>
      </c>
      <c r="I197" s="38">
        <v>0</v>
      </c>
      <c r="J197" s="38">
        <v>0</v>
      </c>
      <c r="K197" s="38">
        <v>0</v>
      </c>
      <c r="L197" s="38">
        <v>0</v>
      </c>
      <c r="M197" s="38">
        <v>0</v>
      </c>
      <c r="N197" s="40">
        <v>0</v>
      </c>
      <c r="O197" s="40">
        <v>0</v>
      </c>
      <c r="P197" s="40">
        <v>0</v>
      </c>
      <c r="Q197" s="40">
        <v>0</v>
      </c>
      <c r="R197" s="40">
        <v>0</v>
      </c>
      <c r="S197" s="40">
        <v>0</v>
      </c>
      <c r="T197" s="40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>
      <c r="A198" s="38">
        <v>192</v>
      </c>
      <c r="B198" s="41" t="s">
        <v>295</v>
      </c>
      <c r="C198" s="38">
        <f>COUNTIFS(F198:T198,"&gt;0",$F$3:T$3,"&lt;13")</f>
        <v>0</v>
      </c>
      <c r="D198" s="38">
        <f ca="1">SUMIF($F$3:T$3,"&lt;13",F198:T198)</f>
        <v>0</v>
      </c>
      <c r="E198" s="40">
        <f ca="1">IFERROR(__xludf.DUMMYFUNCTION("ARRAY_CONSTRAIN(ARRAYFORMULA(SUMPRODUCT(LARGE(FILTER(F198:T198, F$3:T$3 &lt; 13),{1,2,3,4,5,6,7}))), 1, 1)"),0)</f>
        <v>0</v>
      </c>
      <c r="F198" s="38">
        <v>0</v>
      </c>
      <c r="G198" s="38">
        <v>0</v>
      </c>
      <c r="H198" s="38">
        <v>0</v>
      </c>
      <c r="I198" s="38">
        <v>0</v>
      </c>
      <c r="J198" s="38">
        <v>0</v>
      </c>
      <c r="K198" s="38">
        <v>0</v>
      </c>
      <c r="L198" s="38">
        <v>0</v>
      </c>
      <c r="M198" s="38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>
      <c r="A199" s="38">
        <v>193</v>
      </c>
      <c r="B199" s="41" t="s">
        <v>296</v>
      </c>
      <c r="C199" s="38">
        <f>COUNTIFS(F199:T199,"&gt;0",$F$3:T$3,"&lt;13")</f>
        <v>0</v>
      </c>
      <c r="D199" s="38">
        <f ca="1">SUMIF($F$3:T$3,"&lt;13",F199:T199)</f>
        <v>0</v>
      </c>
      <c r="E199" s="40">
        <f ca="1">IFERROR(__xludf.DUMMYFUNCTION("ARRAY_CONSTRAIN(ARRAYFORMULA(SUMPRODUCT(LARGE(FILTER(F199:T199, F$3:T$3 &lt; 13),{1,2,3,4,5,6,7}))), 1, 1)"),0)</f>
        <v>0</v>
      </c>
      <c r="F199" s="38">
        <v>0</v>
      </c>
      <c r="G199" s="38">
        <v>0</v>
      </c>
      <c r="H199" s="38">
        <v>0</v>
      </c>
      <c r="I199" s="38">
        <v>0</v>
      </c>
      <c r="J199" s="38">
        <v>0</v>
      </c>
      <c r="K199" s="38">
        <v>0</v>
      </c>
      <c r="L199" s="38">
        <v>0</v>
      </c>
      <c r="M199" s="38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>
      <c r="A200" s="38">
        <v>194</v>
      </c>
      <c r="B200" s="39" t="s">
        <v>297</v>
      </c>
      <c r="C200" s="38">
        <f>COUNTIFS(F200:T200,"&gt;0",$F$3:T$3,"&lt;13")</f>
        <v>0</v>
      </c>
      <c r="D200" s="38">
        <f ca="1">SUMIF($F$3:T$3,"&lt;13",F200:T200)</f>
        <v>0</v>
      </c>
      <c r="E200" s="40">
        <f ca="1">IFERROR(__xludf.DUMMYFUNCTION("ARRAY_CONSTRAIN(ARRAYFORMULA(SUMPRODUCT(LARGE(FILTER(F200:T200, F$3:T$3 &lt; 13),{1,2,3,4,5,6,7}))), 1, 1)"),0)</f>
        <v>0</v>
      </c>
      <c r="F200" s="38">
        <v>0</v>
      </c>
      <c r="G200" s="38">
        <v>0</v>
      </c>
      <c r="H200" s="38">
        <v>0</v>
      </c>
      <c r="I200" s="38">
        <v>0</v>
      </c>
      <c r="J200" s="38">
        <v>0</v>
      </c>
      <c r="K200" s="38">
        <v>0</v>
      </c>
      <c r="L200" s="38">
        <v>0</v>
      </c>
      <c r="M200" s="38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>
      <c r="A201" s="38">
        <v>195</v>
      </c>
      <c r="B201" s="39" t="s">
        <v>298</v>
      </c>
      <c r="C201" s="38">
        <f>COUNTIFS(F201:T201,"&gt;0",$F$3:T$3,"&lt;13")</f>
        <v>0</v>
      </c>
      <c r="D201" s="38">
        <f ca="1">SUMIF($F$3:T$3,"&lt;13",F201:T201)</f>
        <v>0</v>
      </c>
      <c r="E201" s="40">
        <f ca="1">IFERROR(__xludf.DUMMYFUNCTION("ARRAY_CONSTRAIN(ARRAYFORMULA(SUMPRODUCT(LARGE(FILTER(F201:T201, F$3:T$3 &lt; 13),{1,2,3,4,5,6,7}))), 1, 1)"),0)</f>
        <v>0</v>
      </c>
      <c r="F201" s="38">
        <v>0</v>
      </c>
      <c r="G201" s="38">
        <v>0</v>
      </c>
      <c r="H201" s="38">
        <v>0</v>
      </c>
      <c r="I201" s="38">
        <v>0</v>
      </c>
      <c r="J201" s="38">
        <v>0</v>
      </c>
      <c r="K201" s="38">
        <v>0</v>
      </c>
      <c r="L201" s="38">
        <v>0</v>
      </c>
      <c r="M201" s="38">
        <v>0</v>
      </c>
      <c r="N201" s="40">
        <v>0</v>
      </c>
      <c r="O201" s="40">
        <v>0</v>
      </c>
      <c r="P201" s="40">
        <v>0</v>
      </c>
      <c r="Q201" s="40">
        <v>0</v>
      </c>
      <c r="R201" s="40">
        <v>0</v>
      </c>
      <c r="S201" s="40">
        <v>0</v>
      </c>
      <c r="T201" s="40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90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>
      <c r="A202" s="38">
        <v>196</v>
      </c>
      <c r="B202" s="41" t="s">
        <v>299</v>
      </c>
      <c r="C202" s="38">
        <f>COUNTIFS(F202:T202,"&gt;0",$F$3:T$3,"&lt;13")</f>
        <v>0</v>
      </c>
      <c r="D202" s="38">
        <f ca="1">SUMIF($F$3:T$3,"&lt;13",F202:T202)</f>
        <v>0</v>
      </c>
      <c r="E202" s="40">
        <f ca="1">IFERROR(__xludf.DUMMYFUNCTION("ARRAY_CONSTRAIN(ARRAYFORMULA(SUMPRODUCT(LARGE(FILTER(F202:T202, F$3:T$3 &lt; 13),{1,2,3,4,5,6,7}))), 1, 1)"),0)</f>
        <v>0</v>
      </c>
      <c r="F202" s="38">
        <v>0</v>
      </c>
      <c r="G202" s="38">
        <v>0</v>
      </c>
      <c r="H202" s="38">
        <v>0</v>
      </c>
      <c r="I202" s="38">
        <v>0</v>
      </c>
      <c r="J202" s="38">
        <v>0</v>
      </c>
      <c r="K202" s="38">
        <v>0</v>
      </c>
      <c r="L202" s="38">
        <v>0</v>
      </c>
      <c r="M202" s="38">
        <v>0</v>
      </c>
      <c r="N202" s="40">
        <v>0</v>
      </c>
      <c r="O202" s="40">
        <v>0</v>
      </c>
      <c r="P202" s="40">
        <v>0</v>
      </c>
      <c r="Q202" s="40">
        <v>0</v>
      </c>
      <c r="R202" s="40">
        <v>0</v>
      </c>
      <c r="S202" s="40">
        <v>0</v>
      </c>
      <c r="T202" s="40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>
      <c r="A203" s="38">
        <v>197</v>
      </c>
      <c r="B203" s="39" t="s">
        <v>300</v>
      </c>
      <c r="C203" s="38">
        <f>COUNTIFS(F203:T203,"&gt;0",$F$3:T$3,"&lt;13")</f>
        <v>0</v>
      </c>
      <c r="D203" s="38">
        <f ca="1">SUMIF($F$3:T$3,"&lt;13",F203:T203)</f>
        <v>0</v>
      </c>
      <c r="E203" s="40">
        <f ca="1">IFERROR(__xludf.DUMMYFUNCTION("ARRAY_CONSTRAIN(ARRAYFORMULA(SUMPRODUCT(LARGE(FILTER(F203:T203, F$3:T$3 &lt; 13),{1,2,3,4,5,6,7}))), 1, 1)"),0)</f>
        <v>0</v>
      </c>
      <c r="F203" s="38">
        <v>0</v>
      </c>
      <c r="G203" s="38">
        <v>0</v>
      </c>
      <c r="H203" s="38">
        <v>0</v>
      </c>
      <c r="I203" s="38">
        <v>0</v>
      </c>
      <c r="J203" s="38">
        <v>0</v>
      </c>
      <c r="K203" s="38">
        <v>0</v>
      </c>
      <c r="L203" s="38">
        <v>0</v>
      </c>
      <c r="M203" s="38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>
      <c r="A204" s="38">
        <v>198</v>
      </c>
      <c r="B204" s="41" t="s">
        <v>301</v>
      </c>
      <c r="C204" s="38">
        <f>COUNTIFS(F204:T204,"&gt;0",$F$3:T$3,"&lt;13")</f>
        <v>0</v>
      </c>
      <c r="D204" s="38">
        <f ca="1">SUMIF($F$3:T$3,"&lt;13",F204:T204)</f>
        <v>0</v>
      </c>
      <c r="E204" s="40">
        <f ca="1">IFERROR(__xludf.DUMMYFUNCTION("ARRAY_CONSTRAIN(ARRAYFORMULA(SUMPRODUCT(LARGE(FILTER(F204:T204, F$3:T$3 &lt; 13),{1,2,3,4,5,6,7}))), 1, 1)"),0)</f>
        <v>0</v>
      </c>
      <c r="F204" s="38">
        <v>0</v>
      </c>
      <c r="G204" s="38">
        <v>0</v>
      </c>
      <c r="H204" s="38">
        <v>0</v>
      </c>
      <c r="I204" s="38">
        <v>0</v>
      </c>
      <c r="J204" s="38">
        <v>0</v>
      </c>
      <c r="K204" s="38">
        <v>0</v>
      </c>
      <c r="L204" s="38">
        <v>0</v>
      </c>
      <c r="M204" s="38">
        <v>0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>
      <c r="A205" s="38">
        <v>199</v>
      </c>
      <c r="B205" s="41" t="s">
        <v>302</v>
      </c>
      <c r="C205" s="38">
        <f>COUNTIFS(F205:T205,"&gt;0",$F$3:T$3,"&lt;13")</f>
        <v>0</v>
      </c>
      <c r="D205" s="38">
        <f ca="1">SUMIF($F$3:T$3,"&lt;13",F205:T205)</f>
        <v>0</v>
      </c>
      <c r="E205" s="40">
        <f ca="1">IFERROR(__xludf.DUMMYFUNCTION("ARRAY_CONSTRAIN(ARRAYFORMULA(SUMPRODUCT(LARGE(FILTER(F205:T205, F$3:T$3 &lt; 13),{1,2,3,4,5,6,7}))), 1, 1)"),0)</f>
        <v>0</v>
      </c>
      <c r="F205" s="38">
        <v>0</v>
      </c>
      <c r="G205" s="38">
        <v>0</v>
      </c>
      <c r="H205" s="38">
        <v>0</v>
      </c>
      <c r="I205" s="38">
        <v>0</v>
      </c>
      <c r="J205" s="38">
        <v>0</v>
      </c>
      <c r="K205" s="38">
        <v>0</v>
      </c>
      <c r="L205" s="38">
        <v>0</v>
      </c>
      <c r="M205" s="38">
        <v>0</v>
      </c>
      <c r="N205" s="40">
        <v>0</v>
      </c>
      <c r="O205" s="40">
        <v>0</v>
      </c>
      <c r="P205" s="40">
        <v>0</v>
      </c>
      <c r="Q205" s="40">
        <v>0</v>
      </c>
      <c r="R205" s="40">
        <v>0</v>
      </c>
      <c r="S205" s="40">
        <v>0</v>
      </c>
      <c r="T205" s="40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>
      <c r="A206" s="38">
        <v>200</v>
      </c>
      <c r="B206" s="41" t="s">
        <v>303</v>
      </c>
      <c r="C206" s="38">
        <f>COUNTIFS(F206:T206,"&gt;0",$F$3:T$3,"&lt;13")</f>
        <v>0</v>
      </c>
      <c r="D206" s="38">
        <f ca="1">SUMIF($F$3:T$3,"&lt;13",F206:T206)</f>
        <v>0</v>
      </c>
      <c r="E206" s="40">
        <f ca="1">IFERROR(__xludf.DUMMYFUNCTION("ARRAY_CONSTRAIN(ARRAYFORMULA(SUMPRODUCT(LARGE(FILTER(F206:T206, F$3:T$3 &lt; 13),{1,2,3,4,5,6,7}))), 1, 1)"),0)</f>
        <v>0</v>
      </c>
      <c r="F206" s="38">
        <v>0</v>
      </c>
      <c r="G206" s="38">
        <v>0</v>
      </c>
      <c r="H206" s="38">
        <v>0</v>
      </c>
      <c r="I206" s="38">
        <v>0</v>
      </c>
      <c r="J206" s="38">
        <v>0</v>
      </c>
      <c r="K206" s="38">
        <v>0</v>
      </c>
      <c r="L206" s="38">
        <v>0</v>
      </c>
      <c r="M206" s="38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0</v>
      </c>
      <c r="S206" s="40">
        <v>0</v>
      </c>
      <c r="T206" s="40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>
      <c r="A207" s="38">
        <v>201</v>
      </c>
      <c r="B207" s="41" t="s">
        <v>304</v>
      </c>
      <c r="C207" s="38">
        <f>COUNTIFS(F207:T207,"&gt;0",$F$3:T$3,"&lt;13")</f>
        <v>0</v>
      </c>
      <c r="D207" s="38">
        <f ca="1">SUMIF($F$3:T$3,"&lt;13",F207:T207)</f>
        <v>0</v>
      </c>
      <c r="E207" s="40">
        <f ca="1">IFERROR(__xludf.DUMMYFUNCTION("ARRAY_CONSTRAIN(ARRAYFORMULA(SUMPRODUCT(LARGE(FILTER(F207:T207, F$3:T$3 &lt; 13),{1,2,3,4,5,6,7}))), 1, 1)"),0)</f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  <c r="N207" s="40">
        <v>0</v>
      </c>
      <c r="O207" s="40">
        <v>0</v>
      </c>
      <c r="P207" s="40">
        <v>0</v>
      </c>
      <c r="Q207" s="40">
        <v>0</v>
      </c>
      <c r="R207" s="40">
        <v>0</v>
      </c>
      <c r="S207" s="40">
        <v>0</v>
      </c>
      <c r="T207" s="40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>
      <c r="A208" s="38">
        <v>202</v>
      </c>
      <c r="B208" s="41" t="s">
        <v>305</v>
      </c>
      <c r="C208" s="38">
        <f>COUNTIFS(F208:T208,"&gt;0",$F$3:T$3,"&lt;13")</f>
        <v>0</v>
      </c>
      <c r="D208" s="38">
        <f ca="1">SUMIF($F$3:T$3,"&lt;13",F208:T208)</f>
        <v>0</v>
      </c>
      <c r="E208" s="40">
        <f ca="1">IFERROR(__xludf.DUMMYFUNCTION("ARRAY_CONSTRAIN(ARRAYFORMULA(SUMPRODUCT(LARGE(FILTER(F208:T208, F$3:T$3 &lt; 13),{1,2,3,4,5,6,7}))), 1, 1)"),0)</f>
        <v>0</v>
      </c>
      <c r="F208" s="38">
        <v>0</v>
      </c>
      <c r="G208" s="38">
        <v>0</v>
      </c>
      <c r="H208" s="38">
        <v>0</v>
      </c>
      <c r="I208" s="38">
        <v>0</v>
      </c>
      <c r="J208" s="38">
        <v>0</v>
      </c>
      <c r="K208" s="38">
        <v>0</v>
      </c>
      <c r="L208" s="38">
        <v>0</v>
      </c>
      <c r="M208" s="38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0</v>
      </c>
      <c r="T208" s="40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>
      <c r="A209" s="38">
        <v>203</v>
      </c>
      <c r="B209" s="41" t="s">
        <v>306</v>
      </c>
      <c r="C209" s="38">
        <f>COUNTIFS(F209:T209,"&gt;0",$F$3:T$3,"&lt;13")</f>
        <v>0</v>
      </c>
      <c r="D209" s="38">
        <f ca="1">SUMIF($F$3:T$3,"&lt;13",F209:T209)</f>
        <v>0</v>
      </c>
      <c r="E209" s="40">
        <f ca="1">IFERROR(__xludf.DUMMYFUNCTION("ARRAY_CONSTRAIN(ARRAYFORMULA(SUMPRODUCT(LARGE(FILTER(F209:T209, F$3:T$3 &lt; 13),{1,2,3,4,5,6,7}))), 1, 1)"),0)</f>
        <v>0</v>
      </c>
      <c r="F209" s="38">
        <v>0</v>
      </c>
      <c r="G209" s="38">
        <v>0</v>
      </c>
      <c r="H209" s="38">
        <v>0</v>
      </c>
      <c r="I209" s="38">
        <v>0</v>
      </c>
      <c r="J209" s="38">
        <v>0</v>
      </c>
      <c r="K209" s="38">
        <v>0</v>
      </c>
      <c r="L209" s="38">
        <v>0</v>
      </c>
      <c r="M209" s="38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>
      <c r="A210" s="38">
        <v>204</v>
      </c>
      <c r="B210" s="39" t="s">
        <v>307</v>
      </c>
      <c r="C210" s="38">
        <f>COUNTIFS(F210:T210,"&gt;0",$F$3:T$3,"&lt;13")</f>
        <v>0</v>
      </c>
      <c r="D210" s="38">
        <f ca="1">SUMIF($F$3:T$3,"&lt;13",F210:T210)</f>
        <v>0</v>
      </c>
      <c r="E210" s="40">
        <f ca="1">IFERROR(__xludf.DUMMYFUNCTION("ARRAY_CONSTRAIN(ARRAYFORMULA(SUMPRODUCT(LARGE(FILTER(F210:T210, F$3:T$3 &lt; 13),{1,2,3,4,5,6,7}))), 1, 1)"),0)</f>
        <v>0</v>
      </c>
      <c r="F210" s="38">
        <v>0</v>
      </c>
      <c r="G210" s="38">
        <v>0</v>
      </c>
      <c r="H210" s="38">
        <v>0</v>
      </c>
      <c r="I210" s="38">
        <v>0</v>
      </c>
      <c r="J210" s="38">
        <v>0</v>
      </c>
      <c r="K210" s="38">
        <v>0</v>
      </c>
      <c r="L210" s="38">
        <v>0</v>
      </c>
      <c r="M210" s="38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>
      <c r="A211" s="38">
        <v>205</v>
      </c>
      <c r="B211" s="41" t="s">
        <v>308</v>
      </c>
      <c r="C211" s="38">
        <f>COUNTIFS(F211:T211,"&gt;0",$F$3:T$3,"&lt;13")</f>
        <v>0</v>
      </c>
      <c r="D211" s="38">
        <f ca="1">SUMIF($F$3:T$3,"&lt;13",F211:T211)</f>
        <v>0</v>
      </c>
      <c r="E211" s="40">
        <f ca="1">IFERROR(__xludf.DUMMYFUNCTION("ARRAY_CONSTRAIN(ARRAYFORMULA(SUMPRODUCT(LARGE(FILTER(F211:T211, F$3:T$3 &lt; 13),{1,2,3,4,5,6,7}))), 1, 1)"),0)</f>
        <v>0</v>
      </c>
      <c r="F211" s="38">
        <v>0</v>
      </c>
      <c r="G211" s="38">
        <v>0</v>
      </c>
      <c r="H211" s="38">
        <v>0</v>
      </c>
      <c r="I211" s="38">
        <v>0</v>
      </c>
      <c r="J211" s="38">
        <v>0</v>
      </c>
      <c r="K211" s="38">
        <v>0</v>
      </c>
      <c r="L211" s="38">
        <v>0</v>
      </c>
      <c r="M211" s="38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>
      <c r="A212" s="38">
        <v>206</v>
      </c>
      <c r="B212" s="41" t="s">
        <v>309</v>
      </c>
      <c r="C212" s="38">
        <f>COUNTIFS(F212:T212,"&gt;0",$F$3:T$3,"&lt;13")</f>
        <v>0</v>
      </c>
      <c r="D212" s="38">
        <f ca="1">SUMIF($F$3:T$3,"&lt;13",F212:T212)</f>
        <v>0</v>
      </c>
      <c r="E212" s="40">
        <f ca="1">IFERROR(__xludf.DUMMYFUNCTION("ARRAY_CONSTRAIN(ARRAYFORMULA(SUMPRODUCT(LARGE(FILTER(F212:T212, F$3:T$3 &lt; 13),{1,2,3,4,5,6,7}))), 1, 1)"),0)</f>
        <v>0</v>
      </c>
      <c r="F212" s="38">
        <v>0</v>
      </c>
      <c r="G212" s="38">
        <v>0</v>
      </c>
      <c r="H212" s="38">
        <v>0</v>
      </c>
      <c r="I212" s="38">
        <v>0</v>
      </c>
      <c r="J212" s="38">
        <v>0</v>
      </c>
      <c r="K212" s="38">
        <v>0</v>
      </c>
      <c r="L212" s="38">
        <v>0</v>
      </c>
      <c r="M212" s="38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>
      <c r="A213" s="38">
        <v>207</v>
      </c>
      <c r="B213" s="41" t="s">
        <v>310</v>
      </c>
      <c r="C213" s="38">
        <f>COUNTIFS(F213:T213,"&gt;0",$F$3:T$3,"&lt;13")</f>
        <v>0</v>
      </c>
      <c r="D213" s="38">
        <f ca="1">SUMIF($F$3:T$3,"&lt;13",F213:T213)</f>
        <v>0</v>
      </c>
      <c r="E213" s="40">
        <f ca="1">IFERROR(__xludf.DUMMYFUNCTION("ARRAY_CONSTRAIN(ARRAYFORMULA(SUMPRODUCT(LARGE(FILTER(F213:T213, F$3:T$3 &lt; 13),{1,2,3,4,5,6,7}))), 1, 1)"),0)</f>
        <v>0</v>
      </c>
      <c r="F213" s="38">
        <v>0</v>
      </c>
      <c r="G213" s="38">
        <v>0</v>
      </c>
      <c r="H213" s="38">
        <v>0</v>
      </c>
      <c r="I213" s="38">
        <v>0</v>
      </c>
      <c r="J213" s="38">
        <v>0</v>
      </c>
      <c r="K213" s="38">
        <v>0</v>
      </c>
      <c r="L213" s="38">
        <v>0</v>
      </c>
      <c r="M213" s="38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>
      <c r="A214" s="38">
        <v>208</v>
      </c>
      <c r="B214" s="41" t="s">
        <v>311</v>
      </c>
      <c r="C214" s="38">
        <f>COUNTIFS(F214:T214,"&gt;0",$F$3:T$3,"&lt;13")</f>
        <v>0</v>
      </c>
      <c r="D214" s="38">
        <f ca="1">SUMIF($F$3:T$3,"&lt;13",F214:T214)</f>
        <v>0</v>
      </c>
      <c r="E214" s="40">
        <f ca="1">IFERROR(__xludf.DUMMYFUNCTION("ARRAY_CONSTRAIN(ARRAYFORMULA(SUMPRODUCT(LARGE(FILTER(F214:T214, F$3:T$3 &lt; 13),{1,2,3,4,5,6,7}))), 1, 1)"),0)</f>
        <v>0</v>
      </c>
      <c r="F214" s="38">
        <v>0</v>
      </c>
      <c r="G214" s="38">
        <v>0</v>
      </c>
      <c r="H214" s="38">
        <v>0</v>
      </c>
      <c r="I214" s="38">
        <v>0</v>
      </c>
      <c r="J214" s="38">
        <v>0</v>
      </c>
      <c r="K214" s="38">
        <v>0</v>
      </c>
      <c r="L214" s="38">
        <v>0</v>
      </c>
      <c r="M214" s="38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>
      <c r="A215" s="38">
        <v>209</v>
      </c>
      <c r="B215" s="41" t="s">
        <v>312</v>
      </c>
      <c r="C215" s="38">
        <f>COUNTIFS(F215:T215,"&gt;0",$F$3:T$3,"&lt;13")</f>
        <v>0</v>
      </c>
      <c r="D215" s="38">
        <f ca="1">SUMIF($F$3:T$3,"&lt;13",F215:T215)</f>
        <v>0</v>
      </c>
      <c r="E215" s="40">
        <f ca="1">IFERROR(__xludf.DUMMYFUNCTION("ARRAY_CONSTRAIN(ARRAYFORMULA(SUMPRODUCT(LARGE(FILTER(F215:T215, F$3:T$3 &lt; 13),{1,2,3,4,5,6,7}))), 1, 1)"),0)</f>
        <v>0</v>
      </c>
      <c r="F215" s="38">
        <v>0</v>
      </c>
      <c r="G215" s="38">
        <v>0</v>
      </c>
      <c r="H215" s="38">
        <v>0</v>
      </c>
      <c r="I215" s="38">
        <v>0</v>
      </c>
      <c r="J215" s="38">
        <v>0</v>
      </c>
      <c r="K215" s="38">
        <v>0</v>
      </c>
      <c r="L215" s="38">
        <v>0</v>
      </c>
      <c r="M215" s="38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>
      <c r="A216" s="38">
        <v>210</v>
      </c>
      <c r="B216" s="41" t="s">
        <v>313</v>
      </c>
      <c r="C216" s="38">
        <f>COUNTIFS(F216:T216,"&gt;0",$F$3:T$3,"&lt;13")</f>
        <v>0</v>
      </c>
      <c r="D216" s="38">
        <f ca="1">SUMIF($F$3:T$3,"&lt;13",F216:T216)</f>
        <v>0</v>
      </c>
      <c r="E216" s="40">
        <f ca="1">IFERROR(__xludf.DUMMYFUNCTION("ARRAY_CONSTRAIN(ARRAYFORMULA(SUMPRODUCT(LARGE(FILTER(F216:T216, F$3:T$3 &lt; 13),{1,2,3,4,5,6,7}))), 1, 1)"),0)</f>
        <v>0</v>
      </c>
      <c r="F216" s="38">
        <v>0</v>
      </c>
      <c r="G216" s="38">
        <v>0</v>
      </c>
      <c r="H216" s="38">
        <v>0</v>
      </c>
      <c r="I216" s="38">
        <v>0</v>
      </c>
      <c r="J216" s="38">
        <v>0</v>
      </c>
      <c r="K216" s="38">
        <v>0</v>
      </c>
      <c r="L216" s="38">
        <v>0</v>
      </c>
      <c r="M216" s="38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>
      <c r="A217" s="38">
        <v>211</v>
      </c>
      <c r="B217" s="41" t="s">
        <v>314</v>
      </c>
      <c r="C217" s="38">
        <f>COUNTIFS(F217:T217,"&gt;0",$F$3:T$3,"&lt;13")</f>
        <v>0</v>
      </c>
      <c r="D217" s="38">
        <f ca="1">SUMIF($F$3:T$3,"&lt;13",F217:T217)</f>
        <v>0</v>
      </c>
      <c r="E217" s="40">
        <f ca="1">IFERROR(__xludf.DUMMYFUNCTION("ARRAY_CONSTRAIN(ARRAYFORMULA(SUMPRODUCT(LARGE(FILTER(F217:T217, F$3:T$3 &lt; 13),{1,2,3,4,5,6,7}))), 1, 1)"),0)</f>
        <v>0</v>
      </c>
      <c r="F217" s="38">
        <v>0</v>
      </c>
      <c r="G217" s="38">
        <v>0</v>
      </c>
      <c r="H217" s="38">
        <v>0</v>
      </c>
      <c r="I217" s="38">
        <v>0</v>
      </c>
      <c r="J217" s="38">
        <v>0</v>
      </c>
      <c r="K217" s="38">
        <v>0</v>
      </c>
      <c r="L217" s="38">
        <v>0</v>
      </c>
      <c r="M217" s="38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>
      <c r="A218" s="38">
        <v>212</v>
      </c>
      <c r="B218" s="39" t="s">
        <v>37</v>
      </c>
      <c r="C218" s="38">
        <f>COUNTIFS(F218:T218,"&gt;0",$F$3:T$3,"&lt;13")</f>
        <v>0</v>
      </c>
      <c r="D218" s="38">
        <f ca="1">SUMIF($F$3:T$3,"&lt;13",F218:T218)</f>
        <v>0</v>
      </c>
      <c r="E218" s="40">
        <f ca="1">IFERROR(__xludf.DUMMYFUNCTION("ARRAY_CONSTRAIN(ARRAYFORMULA(SUMPRODUCT(LARGE(FILTER(F218:T218, F$3:T$3 &lt; 13),{1,2,3,4,5,6,7}))), 1, 1)"),0)</f>
        <v>0</v>
      </c>
      <c r="F218" s="38">
        <v>0</v>
      </c>
      <c r="G218" s="38">
        <v>0</v>
      </c>
      <c r="H218" s="38">
        <v>0</v>
      </c>
      <c r="I218" s="38">
        <v>0</v>
      </c>
      <c r="J218" s="38">
        <v>0</v>
      </c>
      <c r="K218" s="38">
        <v>0</v>
      </c>
      <c r="L218" s="38">
        <v>0</v>
      </c>
      <c r="M218" s="38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>
      <c r="A219" s="38">
        <v>213</v>
      </c>
      <c r="B219" s="41" t="s">
        <v>315</v>
      </c>
      <c r="C219" s="38">
        <f>COUNTIFS(F219:T219,"&gt;0",$F$3:T$3,"&lt;13")</f>
        <v>0</v>
      </c>
      <c r="D219" s="38">
        <f ca="1">SUMIF($F$3:T$3,"&lt;13",F219:T219)</f>
        <v>0</v>
      </c>
      <c r="E219" s="40">
        <f ca="1">IFERROR(__xludf.DUMMYFUNCTION("ARRAY_CONSTRAIN(ARRAYFORMULA(SUMPRODUCT(LARGE(FILTER(F219:T219, F$3:T$3 &lt; 13),{1,2,3,4,5,6,7}))), 1, 1)"),0)</f>
        <v>0</v>
      </c>
      <c r="F219" s="38">
        <v>0</v>
      </c>
      <c r="G219" s="38">
        <v>0</v>
      </c>
      <c r="H219" s="38">
        <v>0</v>
      </c>
      <c r="I219" s="38">
        <v>0</v>
      </c>
      <c r="J219" s="38">
        <v>0</v>
      </c>
      <c r="K219" s="38">
        <v>0</v>
      </c>
      <c r="L219" s="38">
        <v>0</v>
      </c>
      <c r="M219" s="38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>
      <c r="A220" s="38">
        <v>214</v>
      </c>
      <c r="B220" s="39" t="s">
        <v>316</v>
      </c>
      <c r="C220" s="38">
        <f>COUNTIFS(F220:T220,"&gt;0",$F$3:T$3,"&lt;13")</f>
        <v>0</v>
      </c>
      <c r="D220" s="38">
        <f ca="1">SUMIF($F$3:T$3,"&lt;13",F220:T220)</f>
        <v>0</v>
      </c>
      <c r="E220" s="40">
        <f ca="1">IFERROR(__xludf.DUMMYFUNCTION("ARRAY_CONSTRAIN(ARRAYFORMULA(SUMPRODUCT(LARGE(FILTER(F220:T220, F$3:T$3 &lt; 13),{1,2,3,4,5,6,7}))), 1, 1)"),0)</f>
        <v>0</v>
      </c>
      <c r="F220" s="38">
        <v>0</v>
      </c>
      <c r="G220" s="38">
        <v>0</v>
      </c>
      <c r="H220" s="38">
        <v>0</v>
      </c>
      <c r="I220" s="38">
        <v>0</v>
      </c>
      <c r="J220" s="38">
        <v>0</v>
      </c>
      <c r="K220" s="38">
        <v>0</v>
      </c>
      <c r="L220" s="38">
        <v>0</v>
      </c>
      <c r="M220" s="38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45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>
      <c r="A221" s="38">
        <v>215</v>
      </c>
      <c r="B221" s="41" t="s">
        <v>317</v>
      </c>
      <c r="C221" s="38">
        <f>COUNTIFS(F221:T221,"&gt;0",$F$3:T$3,"&lt;13")</f>
        <v>0</v>
      </c>
      <c r="D221" s="38">
        <f ca="1">SUMIF($F$3:T$3,"&lt;13",F221:T221)</f>
        <v>0</v>
      </c>
      <c r="E221" s="40">
        <f ca="1">IFERROR(__xludf.DUMMYFUNCTION("ARRAY_CONSTRAIN(ARRAYFORMULA(SUMPRODUCT(LARGE(FILTER(F221:T221, F$3:T$3 &lt; 13),{1,2,3,4,5,6,7}))), 1, 1)"),0)</f>
        <v>0</v>
      </c>
      <c r="F221" s="38">
        <v>0</v>
      </c>
      <c r="G221" s="38">
        <v>0</v>
      </c>
      <c r="H221" s="38">
        <v>0</v>
      </c>
      <c r="I221" s="38">
        <v>0</v>
      </c>
      <c r="J221" s="38">
        <v>0</v>
      </c>
      <c r="K221" s="38">
        <v>0</v>
      </c>
      <c r="L221" s="38">
        <v>0</v>
      </c>
      <c r="M221" s="38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>
      <c r="A222" s="38">
        <v>216</v>
      </c>
      <c r="B222" s="41" t="s">
        <v>318</v>
      </c>
      <c r="C222" s="38">
        <f>COUNTIFS(F222:T222,"&gt;0",$F$3:T$3,"&lt;13")</f>
        <v>0</v>
      </c>
      <c r="D222" s="38">
        <f ca="1">SUMIF($F$3:T$3,"&lt;13",F222:T222)</f>
        <v>0</v>
      </c>
      <c r="E222" s="40">
        <f ca="1">IFERROR(__xludf.DUMMYFUNCTION("ARRAY_CONSTRAIN(ARRAYFORMULA(SUMPRODUCT(LARGE(FILTER(F222:T222, F$3:T$3 &lt; 13),{1,2,3,4,5,6,7}))), 1, 1)"),0)</f>
        <v>0</v>
      </c>
      <c r="F222" s="38">
        <v>0</v>
      </c>
      <c r="G222" s="38">
        <v>0</v>
      </c>
      <c r="H222" s="38">
        <v>0</v>
      </c>
      <c r="I222" s="38">
        <v>0</v>
      </c>
      <c r="J222" s="38">
        <v>0</v>
      </c>
      <c r="K222" s="38">
        <v>0</v>
      </c>
      <c r="L222" s="38">
        <v>0</v>
      </c>
      <c r="M222" s="38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>
      <c r="A223" s="38">
        <v>217</v>
      </c>
      <c r="B223" s="41" t="s">
        <v>319</v>
      </c>
      <c r="C223" s="38">
        <f>COUNTIFS(F223:T223,"&gt;0",$F$3:T$3,"&lt;13")</f>
        <v>0</v>
      </c>
      <c r="D223" s="38">
        <f ca="1">SUMIF($F$3:T$3,"&lt;13",F223:T223)</f>
        <v>0</v>
      </c>
      <c r="E223" s="40">
        <f ca="1">IFERROR(__xludf.DUMMYFUNCTION("ARRAY_CONSTRAIN(ARRAYFORMULA(SUMPRODUCT(LARGE(FILTER(F223:T223, F$3:T$3 &lt; 13),{1,2,3,4,5,6,7}))), 1, 1)"),0)</f>
        <v>0</v>
      </c>
      <c r="F223" s="38">
        <v>0</v>
      </c>
      <c r="G223" s="38">
        <v>0</v>
      </c>
      <c r="H223" s="38">
        <v>0</v>
      </c>
      <c r="I223" s="38">
        <v>0</v>
      </c>
      <c r="J223" s="38">
        <v>0</v>
      </c>
      <c r="K223" s="38">
        <v>0</v>
      </c>
      <c r="L223" s="38">
        <v>0</v>
      </c>
      <c r="M223" s="38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>
      <c r="A224" s="38">
        <v>218</v>
      </c>
      <c r="B224" s="41" t="s">
        <v>320</v>
      </c>
      <c r="C224" s="38">
        <f>COUNTIFS(F224:T224,"&gt;0",$F$3:T$3,"&lt;13")</f>
        <v>0</v>
      </c>
      <c r="D224" s="38">
        <f ca="1">SUMIF($F$3:T$3,"&lt;13",F224:T224)</f>
        <v>0</v>
      </c>
      <c r="E224" s="40">
        <f ca="1">IFERROR(__xludf.DUMMYFUNCTION("ARRAY_CONSTRAIN(ARRAYFORMULA(SUMPRODUCT(LARGE(FILTER(F224:T224, F$3:T$3 &lt; 13),{1,2,3,4,5,6,7}))), 1, 1)"),0)</f>
        <v>0</v>
      </c>
      <c r="F224" s="38">
        <v>0</v>
      </c>
      <c r="G224" s="38">
        <v>0</v>
      </c>
      <c r="H224" s="38">
        <v>0</v>
      </c>
      <c r="I224" s="38">
        <v>0</v>
      </c>
      <c r="J224" s="38">
        <v>0</v>
      </c>
      <c r="K224" s="38">
        <v>0</v>
      </c>
      <c r="L224" s="38">
        <v>0</v>
      </c>
      <c r="M224" s="38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>
      <c r="A225" s="38">
        <v>219</v>
      </c>
      <c r="B225" s="41" t="s">
        <v>321</v>
      </c>
      <c r="C225" s="38">
        <f>COUNTIFS(F225:T225,"&gt;0",$F$3:T$3,"&lt;13")</f>
        <v>0</v>
      </c>
      <c r="D225" s="38">
        <f ca="1">SUMIF($F$3:T$3,"&lt;13",F225:T225)</f>
        <v>0</v>
      </c>
      <c r="E225" s="40">
        <f ca="1">IFERROR(__xludf.DUMMYFUNCTION("ARRAY_CONSTRAIN(ARRAYFORMULA(SUMPRODUCT(LARGE(FILTER(F225:T225, F$3:T$3 &lt; 13),{1,2,3,4,5,6,7}))), 1, 1)"),0)</f>
        <v>0</v>
      </c>
      <c r="F225" s="38">
        <v>0</v>
      </c>
      <c r="G225" s="38">
        <v>0</v>
      </c>
      <c r="H225" s="38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>
      <c r="A226" s="38">
        <v>220</v>
      </c>
      <c r="B226" s="41" t="s">
        <v>322</v>
      </c>
      <c r="C226" s="38">
        <f>COUNTIFS(F226:T226,"&gt;0",$F$3:T$3,"&lt;13")</f>
        <v>0</v>
      </c>
      <c r="D226" s="38">
        <f ca="1">SUMIF($F$3:T$3,"&lt;13",F226:T226)</f>
        <v>0</v>
      </c>
      <c r="E226" s="40">
        <f ca="1">IFERROR(__xludf.DUMMYFUNCTION("ARRAY_CONSTRAIN(ARRAYFORMULA(SUMPRODUCT(LARGE(FILTER(F226:T226, F$3:T$3 &lt; 13),{1,2,3,4,5,6,7}))), 1, 1)"),0)</f>
        <v>0</v>
      </c>
      <c r="F226" s="38">
        <v>0</v>
      </c>
      <c r="G226" s="38">
        <v>0</v>
      </c>
      <c r="H226" s="38">
        <v>0</v>
      </c>
      <c r="I226" s="38">
        <v>0</v>
      </c>
      <c r="J226" s="38">
        <v>0</v>
      </c>
      <c r="K226" s="38">
        <v>0</v>
      </c>
      <c r="L226" s="38">
        <v>0</v>
      </c>
      <c r="M226" s="38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>
      <c r="A227" s="38">
        <v>221</v>
      </c>
      <c r="B227" s="41" t="s">
        <v>323</v>
      </c>
      <c r="C227" s="38">
        <f>COUNTIFS(F227:T227,"&gt;0",$F$3:T$3,"&lt;13")</f>
        <v>0</v>
      </c>
      <c r="D227" s="38">
        <f ca="1">SUMIF($F$3:T$3,"&lt;13",F227:T227)</f>
        <v>0</v>
      </c>
      <c r="E227" s="40">
        <f ca="1">IFERROR(__xludf.DUMMYFUNCTION("ARRAY_CONSTRAIN(ARRAYFORMULA(SUMPRODUCT(LARGE(FILTER(F227:T227, F$3:T$3 &lt; 13),{1,2,3,4,5,6,7}))), 1, 1)"),0)</f>
        <v>0</v>
      </c>
      <c r="F227" s="38">
        <v>0</v>
      </c>
      <c r="G227" s="38">
        <v>0</v>
      </c>
      <c r="H227" s="38">
        <v>0</v>
      </c>
      <c r="I227" s="38">
        <v>0</v>
      </c>
      <c r="J227" s="38">
        <v>0</v>
      </c>
      <c r="K227" s="38">
        <v>0</v>
      </c>
      <c r="L227" s="38">
        <v>0</v>
      </c>
      <c r="M227" s="38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>
      <c r="A228" s="38">
        <v>222</v>
      </c>
      <c r="B228" s="41" t="s">
        <v>324</v>
      </c>
      <c r="C228" s="38">
        <f>COUNTIFS(F228:T228,"&gt;0",$F$3:T$3,"&lt;13")</f>
        <v>0</v>
      </c>
      <c r="D228" s="38">
        <f ca="1">SUMIF($F$3:T$3,"&lt;13",F228:T228)</f>
        <v>0</v>
      </c>
      <c r="E228" s="40">
        <f ca="1">IFERROR(__xludf.DUMMYFUNCTION("ARRAY_CONSTRAIN(ARRAYFORMULA(SUMPRODUCT(LARGE(FILTER(F228:T228, F$3:T$3 &lt; 13),{1,2,3,4,5,6,7}))), 1, 1)"),0)</f>
        <v>0</v>
      </c>
      <c r="F228" s="38">
        <v>0</v>
      </c>
      <c r="G228" s="38">
        <v>0</v>
      </c>
      <c r="H228" s="38">
        <v>0</v>
      </c>
      <c r="I228" s="38">
        <v>0</v>
      </c>
      <c r="J228" s="38">
        <v>0</v>
      </c>
      <c r="K228" s="38">
        <v>0</v>
      </c>
      <c r="L228" s="38">
        <v>0</v>
      </c>
      <c r="M228" s="38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>
      <c r="A229" s="38">
        <v>223</v>
      </c>
      <c r="B229" s="41" t="s">
        <v>325</v>
      </c>
      <c r="C229" s="38">
        <f>COUNTIFS(F229:T229,"&gt;0",$F$3:T$3,"&lt;13")</f>
        <v>0</v>
      </c>
      <c r="D229" s="38">
        <f ca="1">SUMIF($F$3:T$3,"&lt;13",F229:T229)</f>
        <v>0</v>
      </c>
      <c r="E229" s="40">
        <f ca="1">IFERROR(__xludf.DUMMYFUNCTION("ARRAY_CONSTRAIN(ARRAYFORMULA(SUMPRODUCT(LARGE(FILTER(F229:T229, F$3:T$3 &lt; 13),{1,2,3,4,5,6,7}))), 1, 1)"),0)</f>
        <v>0</v>
      </c>
      <c r="F229" s="38">
        <v>0</v>
      </c>
      <c r="G229" s="38">
        <v>0</v>
      </c>
      <c r="H229" s="38">
        <v>0</v>
      </c>
      <c r="I229" s="38">
        <v>0</v>
      </c>
      <c r="J229" s="38">
        <v>0</v>
      </c>
      <c r="K229" s="38">
        <v>0</v>
      </c>
      <c r="L229" s="38">
        <v>0</v>
      </c>
      <c r="M229" s="38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>
      <c r="A230" s="38">
        <v>224</v>
      </c>
      <c r="B230" s="39" t="s">
        <v>326</v>
      </c>
      <c r="C230" s="38">
        <f>COUNTIFS(F230:T230,"&gt;0",$F$3:T$3,"&lt;13")</f>
        <v>0</v>
      </c>
      <c r="D230" s="38">
        <f ca="1">SUMIF($F$3:T$3,"&lt;13",F230:T230)</f>
        <v>0</v>
      </c>
      <c r="E230" s="40">
        <f ca="1">IFERROR(__xludf.DUMMYFUNCTION("ARRAY_CONSTRAIN(ARRAYFORMULA(SUMPRODUCT(LARGE(FILTER(F230:T230, F$3:T$3 &lt; 13),{1,2,3,4,5,6,7}))), 1, 1)"),0)</f>
        <v>0</v>
      </c>
      <c r="F230" s="38">
        <v>0</v>
      </c>
      <c r="G230" s="38">
        <v>0</v>
      </c>
      <c r="H230" s="38">
        <v>0</v>
      </c>
      <c r="I230" s="38">
        <v>0</v>
      </c>
      <c r="J230" s="38">
        <v>0</v>
      </c>
      <c r="K230" s="38">
        <v>0</v>
      </c>
      <c r="L230" s="38">
        <v>0</v>
      </c>
      <c r="M230" s="38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70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>
      <c r="A231" s="38">
        <v>225</v>
      </c>
      <c r="B231" s="41" t="s">
        <v>327</v>
      </c>
      <c r="C231" s="38">
        <f>COUNTIFS(F231:T231,"&gt;0",$F$3:T$3,"&lt;13")</f>
        <v>0</v>
      </c>
      <c r="D231" s="38">
        <f ca="1">SUMIF($F$3:T$3,"&lt;13",F231:T231)</f>
        <v>0</v>
      </c>
      <c r="E231" s="40">
        <f ca="1">IFERROR(__xludf.DUMMYFUNCTION("ARRAY_CONSTRAIN(ARRAYFORMULA(SUMPRODUCT(LARGE(FILTER(F231:T231, F$3:T$3 &lt; 13),{1,2,3,4,5,6,7}))), 1, 1)"),0)</f>
        <v>0</v>
      </c>
      <c r="F231" s="38">
        <v>0</v>
      </c>
      <c r="G231" s="38">
        <v>0</v>
      </c>
      <c r="H231" s="38">
        <v>0</v>
      </c>
      <c r="I231" s="38">
        <v>0</v>
      </c>
      <c r="J231" s="38">
        <v>0</v>
      </c>
      <c r="K231" s="38">
        <v>0</v>
      </c>
      <c r="L231" s="38">
        <v>0</v>
      </c>
      <c r="M231" s="38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>
      <c r="A232" s="38">
        <v>226</v>
      </c>
      <c r="B232" s="41" t="s">
        <v>328</v>
      </c>
      <c r="C232" s="38">
        <f>COUNTIFS(F232:T232,"&gt;0",$F$3:T$3,"&lt;13")</f>
        <v>0</v>
      </c>
      <c r="D232" s="38">
        <f ca="1">SUMIF($F$3:T$3,"&lt;13",F232:T232)</f>
        <v>0</v>
      </c>
      <c r="E232" s="40">
        <f ca="1">IFERROR(__xludf.DUMMYFUNCTION("ARRAY_CONSTRAIN(ARRAYFORMULA(SUMPRODUCT(LARGE(FILTER(F232:T232, F$3:T$3 &lt; 13),{1,2,3,4,5,6,7}))), 1, 1)"),0)</f>
        <v>0</v>
      </c>
      <c r="F232" s="38">
        <v>0</v>
      </c>
      <c r="G232" s="38">
        <v>0</v>
      </c>
      <c r="H232" s="38">
        <v>0</v>
      </c>
      <c r="I232" s="38">
        <v>0</v>
      </c>
      <c r="J232" s="38">
        <v>0</v>
      </c>
      <c r="K232" s="38">
        <v>0</v>
      </c>
      <c r="L232" s="38">
        <v>0</v>
      </c>
      <c r="M232" s="38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>
      <c r="A233" s="38">
        <v>227</v>
      </c>
      <c r="B233" s="39" t="s">
        <v>329</v>
      </c>
      <c r="C233" s="38">
        <f>COUNTIFS(F233:T233,"&gt;0",$F$3:T$3,"&lt;13")</f>
        <v>0</v>
      </c>
      <c r="D233" s="38">
        <f ca="1">SUMIF($F$3:T$3,"&lt;13",F233:T233)</f>
        <v>0</v>
      </c>
      <c r="E233" s="40">
        <f ca="1">IFERROR(__xludf.DUMMYFUNCTION("ARRAY_CONSTRAIN(ARRAYFORMULA(SUMPRODUCT(LARGE(FILTER(F233:T233, F$3:T$3 &lt; 13),{1,2,3,4,5,6,7}))), 1, 1)"),0)</f>
        <v>0</v>
      </c>
      <c r="F233" s="38">
        <v>0</v>
      </c>
      <c r="G233" s="38">
        <v>0</v>
      </c>
      <c r="H233" s="38">
        <v>0</v>
      </c>
      <c r="I233" s="38">
        <v>0</v>
      </c>
      <c r="J233" s="38">
        <v>0</v>
      </c>
      <c r="K233" s="38">
        <v>0</v>
      </c>
      <c r="L233" s="38">
        <v>0</v>
      </c>
      <c r="M233" s="38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>
      <c r="A234" s="38">
        <v>228</v>
      </c>
      <c r="B234" s="39" t="s">
        <v>330</v>
      </c>
      <c r="C234" s="38">
        <f>COUNTIFS(F234:T234,"&gt;0",$F$3:T$3,"&lt;13")</f>
        <v>0</v>
      </c>
      <c r="D234" s="38">
        <f ca="1">SUMIF($F$3:T$3,"&lt;13",F234:T234)</f>
        <v>0</v>
      </c>
      <c r="E234" s="40">
        <f ca="1">IFERROR(__xludf.DUMMYFUNCTION("ARRAY_CONSTRAIN(ARRAYFORMULA(SUMPRODUCT(LARGE(FILTER(F234:T234, F$3:T$3 &lt; 13),{1,2,3,4,5,6,7}))), 1, 1)"),0)</f>
        <v>0</v>
      </c>
      <c r="F234" s="38">
        <v>0</v>
      </c>
      <c r="G234" s="38">
        <v>0</v>
      </c>
      <c r="H234" s="38">
        <v>0</v>
      </c>
      <c r="I234" s="38">
        <v>0</v>
      </c>
      <c r="J234" s="38">
        <v>0</v>
      </c>
      <c r="K234" s="38">
        <v>0</v>
      </c>
      <c r="L234" s="38">
        <v>0</v>
      </c>
      <c r="M234" s="38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>
      <c r="A235" s="38">
        <v>229</v>
      </c>
      <c r="B235" s="39" t="s">
        <v>331</v>
      </c>
      <c r="C235" s="38">
        <f>COUNTIFS(F235:T235,"&gt;0",$F$3:T$3,"&lt;13")</f>
        <v>0</v>
      </c>
      <c r="D235" s="38">
        <f ca="1">SUMIF($F$3:T$3,"&lt;13",F235:T235)</f>
        <v>0</v>
      </c>
      <c r="E235" s="40">
        <f ca="1">IFERROR(__xludf.DUMMYFUNCTION("ARRAY_CONSTRAIN(ARRAYFORMULA(SUMPRODUCT(LARGE(FILTER(F235:T235, F$3:T$3 &lt; 13),{1,2,3,4,5,6,7}))), 1, 1)"),0)</f>
        <v>0</v>
      </c>
      <c r="F235" s="38">
        <v>0</v>
      </c>
      <c r="G235" s="38">
        <v>0</v>
      </c>
      <c r="H235" s="38">
        <v>0</v>
      </c>
      <c r="I235" s="38">
        <v>0</v>
      </c>
      <c r="J235" s="38">
        <v>0</v>
      </c>
      <c r="K235" s="38">
        <v>0</v>
      </c>
      <c r="L235" s="38">
        <v>0</v>
      </c>
      <c r="M235" s="38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30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>
      <c r="A236" s="38">
        <v>230</v>
      </c>
      <c r="B236" s="39" t="s">
        <v>332</v>
      </c>
      <c r="C236" s="38">
        <f>COUNTIFS(F236:T236,"&gt;0",$F$3:T$3,"&lt;13")</f>
        <v>0</v>
      </c>
      <c r="D236" s="38">
        <f ca="1">SUMIF($F$3:T$3,"&lt;13",F236:T236)</f>
        <v>0</v>
      </c>
      <c r="E236" s="40">
        <f ca="1">IFERROR(__xludf.DUMMYFUNCTION("ARRAY_CONSTRAIN(ARRAYFORMULA(SUMPRODUCT(LARGE(FILTER(F236:T236, F$3:T$3 &lt; 13),{1,2,3,4,5,6,7}))), 1, 1)"),0)</f>
        <v>0</v>
      </c>
      <c r="F236" s="38">
        <v>0</v>
      </c>
      <c r="G236" s="38">
        <v>0</v>
      </c>
      <c r="H236" s="38">
        <v>0</v>
      </c>
      <c r="I236" s="38">
        <v>0</v>
      </c>
      <c r="J236" s="38">
        <v>0</v>
      </c>
      <c r="K236" s="38">
        <v>0</v>
      </c>
      <c r="L236" s="38">
        <v>0</v>
      </c>
      <c r="M236" s="38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>
      <c r="A237" s="38">
        <v>231</v>
      </c>
      <c r="B237" s="41" t="s">
        <v>333</v>
      </c>
      <c r="C237" s="38">
        <f>COUNTIFS(F237:T237,"&gt;0",$F$3:T$3,"&lt;13")</f>
        <v>0</v>
      </c>
      <c r="D237" s="38">
        <f ca="1">SUMIF($F$3:T$3,"&lt;13",F237:T237)</f>
        <v>0</v>
      </c>
      <c r="E237" s="40">
        <f ca="1">IFERROR(__xludf.DUMMYFUNCTION("ARRAY_CONSTRAIN(ARRAYFORMULA(SUMPRODUCT(LARGE(FILTER(F237:T237, F$3:T$3 &lt; 13),{1,2,3,4,5,6,7}))), 1, 1)"),0)</f>
        <v>0</v>
      </c>
      <c r="F237" s="38">
        <v>0</v>
      </c>
      <c r="G237" s="38">
        <v>0</v>
      </c>
      <c r="H237" s="38">
        <v>0</v>
      </c>
      <c r="I237" s="38">
        <v>0</v>
      </c>
      <c r="J237" s="38">
        <v>0</v>
      </c>
      <c r="K237" s="38">
        <v>0</v>
      </c>
      <c r="L237" s="38">
        <v>0</v>
      </c>
      <c r="M237" s="38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>
      <c r="A238" s="38">
        <v>232</v>
      </c>
      <c r="B238" s="39" t="s">
        <v>334</v>
      </c>
      <c r="C238" s="38">
        <f>COUNTIFS(F238:T238,"&gt;0",$F$3:T$3,"&lt;13")</f>
        <v>0</v>
      </c>
      <c r="D238" s="38">
        <f ca="1">SUMIF($F$3:T$3,"&lt;13",F238:T238)</f>
        <v>0</v>
      </c>
      <c r="E238" s="40">
        <f ca="1">IFERROR(__xludf.DUMMYFUNCTION("ARRAY_CONSTRAIN(ARRAYFORMULA(SUMPRODUCT(LARGE(FILTER(F238:T238, F$3:T$3 &lt; 13),{1,2,3,4,5,6,7}))), 1, 1)"),0)</f>
        <v>0</v>
      </c>
      <c r="F238" s="38">
        <v>0</v>
      </c>
      <c r="G238" s="38">
        <v>0</v>
      </c>
      <c r="H238" s="38">
        <v>0</v>
      </c>
      <c r="I238" s="38">
        <v>0</v>
      </c>
      <c r="J238" s="38">
        <v>0</v>
      </c>
      <c r="K238" s="38">
        <v>0</v>
      </c>
      <c r="L238" s="38">
        <v>0</v>
      </c>
      <c r="M238" s="38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>
      <c r="A239" s="38">
        <v>233</v>
      </c>
      <c r="B239" s="41" t="s">
        <v>335</v>
      </c>
      <c r="C239" s="38">
        <f>COUNTIFS(F239:T239,"&gt;0",$F$3:T$3,"&lt;13")</f>
        <v>0</v>
      </c>
      <c r="D239" s="38">
        <f ca="1">SUMIF($F$3:T$3,"&lt;13",F239:T239)</f>
        <v>0</v>
      </c>
      <c r="E239" s="40">
        <f ca="1">IFERROR(__xludf.DUMMYFUNCTION("ARRAY_CONSTRAIN(ARRAYFORMULA(SUMPRODUCT(LARGE(FILTER(F239:T239, F$3:T$3 &lt; 13),{1,2,3,4,5,6,7}))), 1, 1)"),0)</f>
        <v>0</v>
      </c>
      <c r="F239" s="38">
        <v>0</v>
      </c>
      <c r="G239" s="38">
        <v>0</v>
      </c>
      <c r="H239" s="38">
        <v>0</v>
      </c>
      <c r="I239" s="38">
        <v>0</v>
      </c>
      <c r="J239" s="38">
        <v>0</v>
      </c>
      <c r="K239" s="38">
        <v>0</v>
      </c>
      <c r="L239" s="38">
        <v>0</v>
      </c>
      <c r="M239" s="38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>
      <c r="A240" s="38">
        <v>234</v>
      </c>
      <c r="B240" s="41" t="s">
        <v>336</v>
      </c>
      <c r="C240" s="38">
        <f>COUNTIFS(F240:T240,"&gt;0",$F$3:T$3,"&lt;13")</f>
        <v>0</v>
      </c>
      <c r="D240" s="38">
        <f ca="1">SUMIF($F$3:T$3,"&lt;13",F240:T240)</f>
        <v>0</v>
      </c>
      <c r="E240" s="40">
        <f ca="1">IFERROR(__xludf.DUMMYFUNCTION("ARRAY_CONSTRAIN(ARRAYFORMULA(SUMPRODUCT(LARGE(FILTER(F240:T240, F$3:T$3 &lt; 13),{1,2,3,4,5,6,7}))), 1, 1)"),0)</f>
        <v>0</v>
      </c>
      <c r="F240" s="38">
        <v>0</v>
      </c>
      <c r="G240" s="38">
        <v>0</v>
      </c>
      <c r="H240" s="38">
        <v>0</v>
      </c>
      <c r="I240" s="38">
        <v>0</v>
      </c>
      <c r="J240" s="38">
        <v>0</v>
      </c>
      <c r="K240" s="38">
        <v>0</v>
      </c>
      <c r="L240" s="38">
        <v>0</v>
      </c>
      <c r="M240" s="38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>
      <c r="A241" s="38">
        <v>235</v>
      </c>
      <c r="B241" s="41" t="s">
        <v>337</v>
      </c>
      <c r="C241" s="38">
        <f>COUNTIFS(F241:T241,"&gt;0",$F$3:T$3,"&lt;13")</f>
        <v>0</v>
      </c>
      <c r="D241" s="38">
        <f ca="1">SUMIF($F$3:T$3,"&lt;13",F241:T241)</f>
        <v>0</v>
      </c>
      <c r="E241" s="40">
        <f ca="1">IFERROR(__xludf.DUMMYFUNCTION("ARRAY_CONSTRAIN(ARRAYFORMULA(SUMPRODUCT(LARGE(FILTER(F241:T241, F$3:T$3 &lt; 13),{1,2,3,4,5,6,7}))), 1, 1)"),0)</f>
        <v>0</v>
      </c>
      <c r="F241" s="38">
        <v>0</v>
      </c>
      <c r="G241" s="38">
        <v>0</v>
      </c>
      <c r="H241" s="38">
        <v>0</v>
      </c>
      <c r="I241" s="38">
        <v>0</v>
      </c>
      <c r="J241" s="38">
        <v>0</v>
      </c>
      <c r="K241" s="38">
        <v>0</v>
      </c>
      <c r="L241" s="38">
        <v>0</v>
      </c>
      <c r="M241" s="38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>
      <c r="A242" s="38">
        <v>236</v>
      </c>
      <c r="B242" s="41" t="s">
        <v>338</v>
      </c>
      <c r="C242" s="38">
        <f>COUNTIFS(F242:T242,"&gt;0",$F$3:T$3,"&lt;13")</f>
        <v>0</v>
      </c>
      <c r="D242" s="38">
        <f ca="1">SUMIF($F$3:T$3,"&lt;13",F242:T242)</f>
        <v>0</v>
      </c>
      <c r="E242" s="40">
        <f ca="1">IFERROR(__xludf.DUMMYFUNCTION("ARRAY_CONSTRAIN(ARRAYFORMULA(SUMPRODUCT(LARGE(FILTER(F242:T242, F$3:T$3 &lt; 13),{1,2,3,4,5,6,7}))), 1, 1)"),0)</f>
        <v>0</v>
      </c>
      <c r="F242" s="38">
        <v>0</v>
      </c>
      <c r="G242" s="38">
        <v>0</v>
      </c>
      <c r="H242" s="38">
        <v>0</v>
      </c>
      <c r="I242" s="38">
        <v>0</v>
      </c>
      <c r="J242" s="38">
        <v>0</v>
      </c>
      <c r="K242" s="38">
        <v>0</v>
      </c>
      <c r="L242" s="38">
        <v>0</v>
      </c>
      <c r="M242" s="38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>
      <c r="A243" s="38">
        <v>237</v>
      </c>
      <c r="B243" s="41" t="s">
        <v>339</v>
      </c>
      <c r="C243" s="38">
        <f>COUNTIFS(F243:T243,"&gt;0",$F$3:T$3,"&lt;13")</f>
        <v>0</v>
      </c>
      <c r="D243" s="38">
        <f ca="1">SUMIF($F$3:T$3,"&lt;13",F243:T243)</f>
        <v>0</v>
      </c>
      <c r="E243" s="40">
        <f ca="1">IFERROR(__xludf.DUMMYFUNCTION("ARRAY_CONSTRAIN(ARRAYFORMULA(SUMPRODUCT(LARGE(FILTER(F243:T243, F$3:T$3 &lt; 13),{1,2,3,4,5,6,7}))), 1, 1)"),0)</f>
        <v>0</v>
      </c>
      <c r="F243" s="38">
        <v>0</v>
      </c>
      <c r="G243" s="38">
        <v>0</v>
      </c>
      <c r="H243" s="38">
        <v>0</v>
      </c>
      <c r="I243" s="38">
        <v>0</v>
      </c>
      <c r="J243" s="38">
        <v>0</v>
      </c>
      <c r="K243" s="38">
        <v>0</v>
      </c>
      <c r="L243" s="38">
        <v>0</v>
      </c>
      <c r="M243" s="38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>
      <c r="A244" s="38">
        <v>238</v>
      </c>
      <c r="B244" s="41" t="s">
        <v>340</v>
      </c>
      <c r="C244" s="38">
        <f>COUNTIFS(F244:T244,"&gt;0",$F$3:T$3,"&lt;13")</f>
        <v>0</v>
      </c>
      <c r="D244" s="38">
        <f ca="1">SUMIF($F$3:T$3,"&lt;13",F244:T244)</f>
        <v>0</v>
      </c>
      <c r="E244" s="40">
        <f ca="1">IFERROR(__xludf.DUMMYFUNCTION("ARRAY_CONSTRAIN(ARRAYFORMULA(SUMPRODUCT(LARGE(FILTER(F244:T244, F$3:T$3 &lt; 13),{1,2,3,4,5,6,7}))), 1, 1)"),0)</f>
        <v>0</v>
      </c>
      <c r="F244" s="38">
        <v>0</v>
      </c>
      <c r="G244" s="38">
        <v>0</v>
      </c>
      <c r="H244" s="38">
        <v>0</v>
      </c>
      <c r="I244" s="38">
        <v>0</v>
      </c>
      <c r="J244" s="38">
        <v>0</v>
      </c>
      <c r="K244" s="38">
        <v>0</v>
      </c>
      <c r="L244" s="38">
        <v>0</v>
      </c>
      <c r="M244" s="38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>
      <c r="A245" s="38">
        <v>239</v>
      </c>
      <c r="B245" s="41" t="s">
        <v>341</v>
      </c>
      <c r="C245" s="38">
        <f>COUNTIFS(F245:T245,"&gt;0",$F$3:T$3,"&lt;13")</f>
        <v>0</v>
      </c>
      <c r="D245" s="38">
        <f ca="1">SUMIF($F$3:T$3,"&lt;13",F245:T245)</f>
        <v>0</v>
      </c>
      <c r="E245" s="40">
        <f ca="1">IFERROR(__xludf.DUMMYFUNCTION("ARRAY_CONSTRAIN(ARRAYFORMULA(SUMPRODUCT(LARGE(FILTER(F245:T245, F$3:T$3 &lt; 13),{1,2,3,4,5,6,7}))), 1, 1)"),0)</f>
        <v>0</v>
      </c>
      <c r="F245" s="38">
        <v>0</v>
      </c>
      <c r="G245" s="38">
        <v>0</v>
      </c>
      <c r="H245" s="38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>
      <c r="A246" s="38">
        <v>240</v>
      </c>
      <c r="B246" s="41" t="s">
        <v>342</v>
      </c>
      <c r="C246" s="38">
        <f>COUNTIFS(F246:T246,"&gt;0",$F$3:T$3,"&lt;13")</f>
        <v>0</v>
      </c>
      <c r="D246" s="38">
        <f ca="1">SUMIF($F$3:T$3,"&lt;13",F246:T246)</f>
        <v>0</v>
      </c>
      <c r="E246" s="40">
        <f ca="1">IFERROR(__xludf.DUMMYFUNCTION("ARRAY_CONSTRAIN(ARRAYFORMULA(SUMPRODUCT(LARGE(FILTER(F246:T246, F$3:T$3 &lt; 13),{1,2,3,4,5,6,7}))), 1, 1)"),0)</f>
        <v>0</v>
      </c>
      <c r="F246" s="38">
        <v>0</v>
      </c>
      <c r="G246" s="38">
        <v>0</v>
      </c>
      <c r="H246" s="38">
        <v>0</v>
      </c>
      <c r="I246" s="38">
        <v>0</v>
      </c>
      <c r="J246" s="38">
        <v>0</v>
      </c>
      <c r="K246" s="38">
        <v>0</v>
      </c>
      <c r="L246" s="38">
        <v>0</v>
      </c>
      <c r="M246" s="38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>
      <c r="A247" s="38">
        <v>241</v>
      </c>
      <c r="B247" s="41" t="s">
        <v>343</v>
      </c>
      <c r="C247" s="38">
        <f>COUNTIFS(F247:T247,"&gt;0",$F$3:T$3,"&lt;13")</f>
        <v>0</v>
      </c>
      <c r="D247" s="38">
        <f ca="1">SUMIF($F$3:T$3,"&lt;13",F247:T247)</f>
        <v>0</v>
      </c>
      <c r="E247" s="40">
        <f ca="1">IFERROR(__xludf.DUMMYFUNCTION("ARRAY_CONSTRAIN(ARRAYFORMULA(SUMPRODUCT(LARGE(FILTER(F247:T247, F$3:T$3 &lt; 13),{1,2,3,4,5,6,7}))), 1, 1)"),0)</f>
        <v>0</v>
      </c>
      <c r="F247" s="38">
        <v>0</v>
      </c>
      <c r="G247" s="38">
        <v>0</v>
      </c>
      <c r="H247" s="38">
        <v>0</v>
      </c>
      <c r="I247" s="38">
        <v>0</v>
      </c>
      <c r="J247" s="38">
        <v>0</v>
      </c>
      <c r="K247" s="38">
        <v>0</v>
      </c>
      <c r="L247" s="38">
        <v>0</v>
      </c>
      <c r="M247" s="38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>
      <c r="A248" s="38">
        <v>242</v>
      </c>
      <c r="B248" s="41" t="s">
        <v>344</v>
      </c>
      <c r="C248" s="38">
        <f>COUNTIFS(F248:T248,"&gt;0",$F$3:T$3,"&lt;13")</f>
        <v>0</v>
      </c>
      <c r="D248" s="38">
        <f ca="1">SUMIF($F$3:T$3,"&lt;13",F248:T248)</f>
        <v>0</v>
      </c>
      <c r="E248" s="40">
        <f ca="1">IFERROR(__xludf.DUMMYFUNCTION("ARRAY_CONSTRAIN(ARRAYFORMULA(SUMPRODUCT(LARGE(FILTER(F248:T248, F$3:T$3 &lt; 13),{1,2,3,4,5,6,7}))), 1, 1)"),0)</f>
        <v>0</v>
      </c>
      <c r="F248" s="38">
        <v>0</v>
      </c>
      <c r="G248" s="38">
        <v>0</v>
      </c>
      <c r="H248" s="38">
        <v>0</v>
      </c>
      <c r="I248" s="38">
        <v>0</v>
      </c>
      <c r="J248" s="38">
        <v>0</v>
      </c>
      <c r="K248" s="38">
        <v>0</v>
      </c>
      <c r="L248" s="38">
        <v>0</v>
      </c>
      <c r="M248" s="38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>
      <c r="A249" s="38">
        <v>243</v>
      </c>
      <c r="B249" s="41" t="s">
        <v>345</v>
      </c>
      <c r="C249" s="38">
        <f>COUNTIFS(F249:T249,"&gt;0",$F$3:T$3,"&lt;13")</f>
        <v>0</v>
      </c>
      <c r="D249" s="38">
        <f ca="1">SUMIF($F$3:T$3,"&lt;13",F249:T249)</f>
        <v>0</v>
      </c>
      <c r="E249" s="40">
        <f ca="1">IFERROR(__xludf.DUMMYFUNCTION("ARRAY_CONSTRAIN(ARRAYFORMULA(SUMPRODUCT(LARGE(FILTER(F249:T249, F$3:T$3 &lt; 13),{1,2,3,4,5,6,7}))), 1, 1)"),0)</f>
        <v>0</v>
      </c>
      <c r="F249" s="38">
        <v>0</v>
      </c>
      <c r="G249" s="38">
        <v>0</v>
      </c>
      <c r="H249" s="38">
        <v>0</v>
      </c>
      <c r="I249" s="38">
        <v>0</v>
      </c>
      <c r="J249" s="38">
        <v>0</v>
      </c>
      <c r="K249" s="38">
        <v>0</v>
      </c>
      <c r="L249" s="38">
        <v>0</v>
      </c>
      <c r="M249" s="38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>
      <c r="A250" s="38">
        <v>244</v>
      </c>
      <c r="B250" s="39" t="s">
        <v>346</v>
      </c>
      <c r="C250" s="38">
        <f>COUNTIFS(F250:T250,"&gt;0",$F$3:T$3,"&lt;13")</f>
        <v>0</v>
      </c>
      <c r="D250" s="38">
        <f ca="1">SUMIF($F$3:T$3,"&lt;13",F250:T250)</f>
        <v>0</v>
      </c>
      <c r="E250" s="40">
        <f ca="1">IFERROR(__xludf.DUMMYFUNCTION("ARRAY_CONSTRAIN(ARRAYFORMULA(SUMPRODUCT(LARGE(FILTER(F250:T250, F$3:T$3 &lt; 13),{1,2,3,4,5,6,7}))), 1, 1)"),0)</f>
        <v>0</v>
      </c>
      <c r="F250" s="38">
        <v>0</v>
      </c>
      <c r="G250" s="38">
        <v>0</v>
      </c>
      <c r="H250" s="38">
        <v>0</v>
      </c>
      <c r="I250" s="38">
        <v>0</v>
      </c>
      <c r="J250" s="38">
        <v>0</v>
      </c>
      <c r="K250" s="38">
        <v>0</v>
      </c>
      <c r="L250" s="38">
        <v>0</v>
      </c>
      <c r="M250" s="38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>
      <c r="A251" s="38">
        <v>245</v>
      </c>
      <c r="B251" s="39" t="s">
        <v>347</v>
      </c>
      <c r="C251" s="38">
        <f>COUNTIFS(F251:T251,"&gt;0",$F$3:T$3,"&lt;13")</f>
        <v>0</v>
      </c>
      <c r="D251" s="38">
        <f ca="1">SUMIF($F$3:T$3,"&lt;13",F251:T251)</f>
        <v>0</v>
      </c>
      <c r="E251" s="40">
        <f ca="1">IFERROR(__xludf.DUMMYFUNCTION("ARRAY_CONSTRAIN(ARRAYFORMULA(SUMPRODUCT(LARGE(FILTER(F251:T251, F$3:T$3 &lt; 13),{1,2,3,4,5,6,7}))), 1, 1)"),0)</f>
        <v>0</v>
      </c>
      <c r="F251" s="38">
        <v>0</v>
      </c>
      <c r="G251" s="38">
        <v>0</v>
      </c>
      <c r="H251" s="38">
        <v>0</v>
      </c>
      <c r="I251" s="38">
        <v>0</v>
      </c>
      <c r="J251" s="38">
        <v>0</v>
      </c>
      <c r="K251" s="38">
        <v>0</v>
      </c>
      <c r="L251" s="38">
        <v>0</v>
      </c>
      <c r="M251" s="38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 spans="1:53">
      <c r="A252" s="38">
        <v>246</v>
      </c>
      <c r="B252" s="41" t="s">
        <v>348</v>
      </c>
      <c r="C252" s="38">
        <f>COUNTIFS(F252:T252,"&gt;0",$F$3:T$3,"&lt;13")</f>
        <v>0</v>
      </c>
      <c r="D252" s="38">
        <f ca="1">SUMIF($F$3:T$3,"&lt;13",F252:T252)</f>
        <v>0</v>
      </c>
      <c r="E252" s="40">
        <f ca="1">IFERROR(__xludf.DUMMYFUNCTION("ARRAY_CONSTRAIN(ARRAYFORMULA(SUMPRODUCT(LARGE(FILTER(F252:T252, F$3:T$3 &lt; 13),{1,2,3,4,5,6,7}))), 1, 1)"),0)</f>
        <v>0</v>
      </c>
      <c r="F252" s="38">
        <v>0</v>
      </c>
      <c r="G252" s="38">
        <v>0</v>
      </c>
      <c r="H252" s="38">
        <v>0</v>
      </c>
      <c r="I252" s="38">
        <v>0</v>
      </c>
      <c r="J252" s="38">
        <v>0</v>
      </c>
      <c r="K252" s="38">
        <v>0</v>
      </c>
      <c r="L252" s="38">
        <v>0</v>
      </c>
      <c r="M252" s="38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>
      <c r="A253" s="38">
        <v>247</v>
      </c>
      <c r="B253" s="41" t="s">
        <v>349</v>
      </c>
      <c r="C253" s="38">
        <f>COUNTIFS(F253:T253,"&gt;0",$F$3:T$3,"&lt;13")</f>
        <v>0</v>
      </c>
      <c r="D253" s="38">
        <f ca="1">SUMIF($F$3:T$3,"&lt;13",F253:T253)</f>
        <v>0</v>
      </c>
      <c r="E253" s="40">
        <f ca="1">IFERROR(__xludf.DUMMYFUNCTION("ARRAY_CONSTRAIN(ARRAYFORMULA(SUMPRODUCT(LARGE(FILTER(F253:T253, F$3:T$3 &lt; 13),{1,2,3,4,5,6,7}))), 1, 1)"),0)</f>
        <v>0</v>
      </c>
      <c r="F253" s="38">
        <v>0</v>
      </c>
      <c r="G253" s="38">
        <v>0</v>
      </c>
      <c r="H253" s="38">
        <v>0</v>
      </c>
      <c r="I253" s="38">
        <v>0</v>
      </c>
      <c r="J253" s="38">
        <v>0</v>
      </c>
      <c r="K253" s="38">
        <v>0</v>
      </c>
      <c r="L253" s="38">
        <v>0</v>
      </c>
      <c r="M253" s="38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>
      <c r="A254" s="38">
        <v>248</v>
      </c>
      <c r="B254" s="41" t="s">
        <v>350</v>
      </c>
      <c r="C254" s="38">
        <f>COUNTIFS(F254:T254,"&gt;0",$F$3:T$3,"&lt;13")</f>
        <v>0</v>
      </c>
      <c r="D254" s="38">
        <f ca="1">SUMIF($F$3:T$3,"&lt;13",F254:T254)</f>
        <v>0</v>
      </c>
      <c r="E254" s="40">
        <f ca="1">IFERROR(__xludf.DUMMYFUNCTION("ARRAY_CONSTRAIN(ARRAYFORMULA(SUMPRODUCT(LARGE(FILTER(F254:T254, F$3:T$3 &lt; 13),{1,2,3,4,5,6,7}))), 1, 1)"),0)</f>
        <v>0</v>
      </c>
      <c r="F254" s="38">
        <v>0</v>
      </c>
      <c r="G254" s="38">
        <v>0</v>
      </c>
      <c r="H254" s="38">
        <v>0</v>
      </c>
      <c r="I254" s="38">
        <v>0</v>
      </c>
      <c r="J254" s="38">
        <v>0</v>
      </c>
      <c r="K254" s="38">
        <v>0</v>
      </c>
      <c r="L254" s="38">
        <v>0</v>
      </c>
      <c r="M254" s="38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>
      <c r="A255" s="38">
        <v>249</v>
      </c>
      <c r="B255" s="41" t="s">
        <v>351</v>
      </c>
      <c r="C255" s="38">
        <f>COUNTIFS(F255:T255,"&gt;0",$F$3:T$3,"&lt;13")</f>
        <v>0</v>
      </c>
      <c r="D255" s="38">
        <f ca="1">SUMIF($F$3:T$3,"&lt;13",F255:T255)</f>
        <v>0</v>
      </c>
      <c r="E255" s="40">
        <f ca="1">IFERROR(__xludf.DUMMYFUNCTION("ARRAY_CONSTRAIN(ARRAYFORMULA(SUMPRODUCT(LARGE(FILTER(F255:T255, F$3:T$3 &lt; 13),{1,2,3,4,5,6,7}))), 1, 1)"),0)</f>
        <v>0</v>
      </c>
      <c r="F255" s="38">
        <v>0</v>
      </c>
      <c r="G255" s="38">
        <v>0</v>
      </c>
      <c r="H255" s="38">
        <v>0</v>
      </c>
      <c r="I255" s="38">
        <v>0</v>
      </c>
      <c r="J255" s="38">
        <v>0</v>
      </c>
      <c r="K255" s="38">
        <v>0</v>
      </c>
      <c r="L255" s="38">
        <v>0</v>
      </c>
      <c r="M255" s="38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>
      <c r="A256" s="38">
        <v>250</v>
      </c>
      <c r="B256" s="41" t="s">
        <v>352</v>
      </c>
      <c r="C256" s="38">
        <f>COUNTIFS(F256:T256,"&gt;0",$F$3:T$3,"&lt;13")</f>
        <v>0</v>
      </c>
      <c r="D256" s="38">
        <f ca="1">SUMIF($F$3:T$3,"&lt;13",F256:T256)</f>
        <v>0</v>
      </c>
      <c r="E256" s="40">
        <f ca="1">IFERROR(__xludf.DUMMYFUNCTION("ARRAY_CONSTRAIN(ARRAYFORMULA(SUMPRODUCT(LARGE(FILTER(F256:T256, F$3:T$3 &lt; 13),{1,2,3,4,5,6,7}))), 1, 1)"),0)</f>
        <v>0</v>
      </c>
      <c r="F256" s="38">
        <v>0</v>
      </c>
      <c r="G256" s="38">
        <v>0</v>
      </c>
      <c r="H256" s="38">
        <v>0</v>
      </c>
      <c r="I256" s="38">
        <v>0</v>
      </c>
      <c r="J256" s="38">
        <v>0</v>
      </c>
      <c r="K256" s="38">
        <v>0</v>
      </c>
      <c r="L256" s="38">
        <v>0</v>
      </c>
      <c r="M256" s="38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>
      <c r="A257" s="38">
        <v>251</v>
      </c>
      <c r="B257" s="41" t="s">
        <v>353</v>
      </c>
      <c r="C257" s="38">
        <f>COUNTIFS(F257:T257,"&gt;0",$F$3:T$3,"&lt;13")</f>
        <v>0</v>
      </c>
      <c r="D257" s="38">
        <f ca="1">SUMIF($F$3:T$3,"&lt;13",F257:T257)</f>
        <v>0</v>
      </c>
      <c r="E257" s="40">
        <f ca="1">IFERROR(__xludf.DUMMYFUNCTION("ARRAY_CONSTRAIN(ARRAYFORMULA(SUMPRODUCT(LARGE(FILTER(F257:T257, F$3:T$3 &lt; 13),{1,2,3,4,5,6,7}))), 1, 1)"),0)</f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>
      <c r="A258" s="38">
        <v>252</v>
      </c>
      <c r="B258" s="41" t="s">
        <v>354</v>
      </c>
      <c r="C258" s="38">
        <f>COUNTIFS(F258:T258,"&gt;0",$F$3:T$3,"&lt;13")</f>
        <v>0</v>
      </c>
      <c r="D258" s="38">
        <f ca="1">SUMIF($F$3:T$3,"&lt;13",F258:T258)</f>
        <v>0</v>
      </c>
      <c r="E258" s="40">
        <f ca="1">IFERROR(__xludf.DUMMYFUNCTION("ARRAY_CONSTRAIN(ARRAYFORMULA(SUMPRODUCT(LARGE(FILTER(F258:T258, F$3:T$3 &lt; 13),{1,2,3,4,5,6,7}))), 1, 1)"),0)</f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>
      <c r="A259" s="38">
        <v>253</v>
      </c>
      <c r="B259" s="41" t="s">
        <v>355</v>
      </c>
      <c r="C259" s="38">
        <f>COUNTIFS(F259:T259,"&gt;0",$F$3:T$3,"&lt;13")</f>
        <v>0</v>
      </c>
      <c r="D259" s="38">
        <f ca="1">SUMIF($F$3:T$3,"&lt;13",F259:T259)</f>
        <v>0</v>
      </c>
      <c r="E259" s="40">
        <f ca="1">IFERROR(__xludf.DUMMYFUNCTION("ARRAY_CONSTRAIN(ARRAYFORMULA(SUMPRODUCT(LARGE(FILTER(F259:T259, F$3:T$3 &lt; 13),{1,2,3,4,5,6,7}))), 1, 1)"),0)</f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>
      <c r="A260" s="38">
        <v>254</v>
      </c>
      <c r="B260" s="41" t="s">
        <v>356</v>
      </c>
      <c r="C260" s="38">
        <f>COUNTIFS(F260:T260,"&gt;0",$F$3:T$3,"&lt;13")</f>
        <v>0</v>
      </c>
      <c r="D260" s="38">
        <f ca="1">SUMIF($F$3:T$3,"&lt;13",F260:T260)</f>
        <v>0</v>
      </c>
      <c r="E260" s="40">
        <f ca="1">IFERROR(__xludf.DUMMYFUNCTION("ARRAY_CONSTRAIN(ARRAYFORMULA(SUMPRODUCT(LARGE(FILTER(F260:T260, F$3:T$3 &lt; 13),{1,2,3,4,5,6,7}))), 1, 1)"),0)</f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>
      <c r="A261" s="38">
        <v>255</v>
      </c>
      <c r="B261" s="41" t="s">
        <v>357</v>
      </c>
      <c r="C261" s="38">
        <f>COUNTIFS(F261:T261,"&gt;0",$F$3:T$3,"&lt;13")</f>
        <v>0</v>
      </c>
      <c r="D261" s="38">
        <f ca="1">SUMIF($F$3:T$3,"&lt;13",F261:T261)</f>
        <v>0</v>
      </c>
      <c r="E261" s="40">
        <f ca="1">IFERROR(__xludf.DUMMYFUNCTION("ARRAY_CONSTRAIN(ARRAYFORMULA(SUMPRODUCT(LARGE(FILTER(F261:T261, F$3:T$3 &lt; 13),{1,2,3,4,5,6,7}))), 1, 1)"),0)</f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>
      <c r="A262" s="38">
        <v>256</v>
      </c>
      <c r="B262" s="41" t="s">
        <v>358</v>
      </c>
      <c r="C262" s="38">
        <f>COUNTIFS(F262:T262,"&gt;0",$F$3:T$3,"&lt;13")</f>
        <v>0</v>
      </c>
      <c r="D262" s="38">
        <f ca="1">SUMIF($F$3:T$3,"&lt;13",F262:T262)</f>
        <v>0</v>
      </c>
      <c r="E262" s="40">
        <f ca="1">IFERROR(__xludf.DUMMYFUNCTION("ARRAY_CONSTRAIN(ARRAYFORMULA(SUMPRODUCT(LARGE(FILTER(F262:T262, F$3:T$3 &lt; 13),{1,2,3,4,5,6,7}))), 1, 1)"),0)</f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>
      <c r="A263" s="38">
        <v>257</v>
      </c>
      <c r="B263" s="41" t="s">
        <v>359</v>
      </c>
      <c r="C263" s="38">
        <f>COUNTIFS(F263:T263,"&gt;0",$F$3:T$3,"&lt;13")</f>
        <v>0</v>
      </c>
      <c r="D263" s="38">
        <f ca="1">SUMIF($F$3:T$3,"&lt;13",F263:T263)</f>
        <v>0</v>
      </c>
      <c r="E263" s="40">
        <f ca="1">IFERROR(__xludf.DUMMYFUNCTION("ARRAY_CONSTRAIN(ARRAYFORMULA(SUMPRODUCT(LARGE(FILTER(F263:T263, F$3:T$3 &lt; 13),{1,2,3,4,5,6,7}))), 1, 1)"),0)</f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>
      <c r="A264" s="38">
        <v>258</v>
      </c>
      <c r="B264" s="41" t="s">
        <v>360</v>
      </c>
      <c r="C264" s="38">
        <f>COUNTIFS(F264:T264,"&gt;0",$F$3:T$3,"&lt;13")</f>
        <v>0</v>
      </c>
      <c r="D264" s="38">
        <f ca="1">SUMIF($F$3:T$3,"&lt;13",F264:T264)</f>
        <v>0</v>
      </c>
      <c r="E264" s="40">
        <f ca="1">IFERROR(__xludf.DUMMYFUNCTION("ARRAY_CONSTRAIN(ARRAYFORMULA(SUMPRODUCT(LARGE(FILTER(F264:T264, F$3:T$3 &lt; 13),{1,2,3,4,5,6,7}))), 1, 1)"),0)</f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>
      <c r="A265" s="38">
        <v>259</v>
      </c>
      <c r="B265" s="41" t="s">
        <v>361</v>
      </c>
      <c r="C265" s="38">
        <f>COUNTIFS(F265:T265,"&gt;0",$F$3:T$3,"&lt;13")</f>
        <v>0</v>
      </c>
      <c r="D265" s="38">
        <f ca="1">SUMIF($F$3:T$3,"&lt;13",F265:T265)</f>
        <v>0</v>
      </c>
      <c r="E265" s="40">
        <f ca="1">IFERROR(__xludf.DUMMYFUNCTION("ARRAY_CONSTRAIN(ARRAYFORMULA(SUMPRODUCT(LARGE(FILTER(F265:T265, F$3:T$3 &lt; 13),{1,2,3,4,5,6,7}))), 1, 1)"),0)</f>
        <v>0</v>
      </c>
      <c r="F265" s="38">
        <v>0</v>
      </c>
      <c r="G265" s="38">
        <v>0</v>
      </c>
      <c r="H265" s="38">
        <v>0</v>
      </c>
      <c r="I265" s="38">
        <v>0</v>
      </c>
      <c r="J265" s="38">
        <v>0</v>
      </c>
      <c r="K265" s="38">
        <v>0</v>
      </c>
      <c r="L265" s="38">
        <v>0</v>
      </c>
      <c r="M265" s="38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>
      <c r="A266" s="38">
        <v>260</v>
      </c>
      <c r="B266" s="41" t="s">
        <v>362</v>
      </c>
      <c r="C266" s="38">
        <f>COUNTIFS(F266:T266,"&gt;0",$F$3:T$3,"&lt;13")</f>
        <v>0</v>
      </c>
      <c r="D266" s="38">
        <f ca="1">SUMIF($F$3:T$3,"&lt;13",F266:T266)</f>
        <v>0</v>
      </c>
      <c r="E266" s="40">
        <f ca="1">IFERROR(__xludf.DUMMYFUNCTION("ARRAY_CONSTRAIN(ARRAYFORMULA(SUMPRODUCT(LARGE(FILTER(F266:T266, F$3:T$3 &lt; 13),{1,2,3,4,5,6,7}))), 1, 1)"),0)</f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>
      <c r="A267" s="38">
        <v>261</v>
      </c>
      <c r="B267" s="41" t="s">
        <v>363</v>
      </c>
      <c r="C267" s="38">
        <f>COUNTIFS(F267:T267,"&gt;0",$F$3:T$3,"&lt;13")</f>
        <v>0</v>
      </c>
      <c r="D267" s="38">
        <f ca="1">SUMIF($F$3:T$3,"&lt;13",F267:T267)</f>
        <v>0</v>
      </c>
      <c r="E267" s="40">
        <f ca="1">IFERROR(__xludf.DUMMYFUNCTION("ARRAY_CONSTRAIN(ARRAYFORMULA(SUMPRODUCT(LARGE(FILTER(F267:T267, F$3:T$3 &lt; 13),{1,2,3,4,5,6,7}))), 1, 1)"),0)</f>
        <v>0</v>
      </c>
      <c r="F267" s="38">
        <v>0</v>
      </c>
      <c r="G267" s="38">
        <v>0</v>
      </c>
      <c r="H267" s="38">
        <v>0</v>
      </c>
      <c r="I267" s="38">
        <v>0</v>
      </c>
      <c r="J267" s="38">
        <v>0</v>
      </c>
      <c r="K267" s="38">
        <v>0</v>
      </c>
      <c r="L267" s="38">
        <v>0</v>
      </c>
      <c r="M267" s="38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>
      <c r="A268" s="38">
        <v>262</v>
      </c>
      <c r="B268" s="41" t="s">
        <v>364</v>
      </c>
      <c r="C268" s="38">
        <f>COUNTIFS(F268:T268,"&gt;0",$F$3:T$3,"&lt;13")</f>
        <v>0</v>
      </c>
      <c r="D268" s="38">
        <f ca="1">SUMIF($F$3:T$3,"&lt;13",F268:T268)</f>
        <v>0</v>
      </c>
      <c r="E268" s="40">
        <f ca="1">IFERROR(__xludf.DUMMYFUNCTION("ARRAY_CONSTRAIN(ARRAYFORMULA(SUMPRODUCT(LARGE(FILTER(F268:T268, F$3:T$3 &lt; 13),{1,2,3,4,5,6,7}))), 1, 1)"),0)</f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>
      <c r="A269" s="38">
        <v>263</v>
      </c>
      <c r="B269" s="41" t="s">
        <v>365</v>
      </c>
      <c r="C269" s="38">
        <f>COUNTIFS(F269:T269,"&gt;0",$F$3:T$3,"&lt;13")</f>
        <v>0</v>
      </c>
      <c r="D269" s="38">
        <f ca="1">SUMIF($F$3:T$3,"&lt;13",F269:T269)</f>
        <v>0</v>
      </c>
      <c r="E269" s="40">
        <f ca="1">IFERROR(__xludf.DUMMYFUNCTION("ARRAY_CONSTRAIN(ARRAYFORMULA(SUMPRODUCT(LARGE(FILTER(F269:T269, F$3:T$3 &lt; 13),{1,2,3,4,5,6,7}))), 1, 1)"),0)</f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>
      <c r="A270" s="38">
        <v>264</v>
      </c>
      <c r="B270" s="41" t="s">
        <v>366</v>
      </c>
      <c r="C270" s="38">
        <f>COUNTIFS(F270:T270,"&gt;0",$F$3:T$3,"&lt;13")</f>
        <v>0</v>
      </c>
      <c r="D270" s="38">
        <f ca="1">SUMIF($F$3:T$3,"&lt;13",F270:T270)</f>
        <v>0</v>
      </c>
      <c r="E270" s="40">
        <f ca="1">IFERROR(__xludf.DUMMYFUNCTION("ARRAY_CONSTRAIN(ARRAYFORMULA(SUMPRODUCT(LARGE(FILTER(F270:T270, F$3:T$3 &lt; 13),{1,2,3,4,5,6,7}))), 1, 1)"),0)</f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>
      <c r="A271" s="38">
        <v>265</v>
      </c>
      <c r="B271" s="41" t="s">
        <v>367</v>
      </c>
      <c r="C271" s="38">
        <f>COUNTIFS(F271:T271,"&gt;0",$F$3:T$3,"&lt;13")</f>
        <v>0</v>
      </c>
      <c r="D271" s="38">
        <f ca="1">SUMIF($F$3:T$3,"&lt;13",F271:T271)</f>
        <v>0</v>
      </c>
      <c r="E271" s="40">
        <f ca="1">IFERROR(__xludf.DUMMYFUNCTION("ARRAY_CONSTRAIN(ARRAYFORMULA(SUMPRODUCT(LARGE(FILTER(F271:T271, F$3:T$3 &lt; 13),{1,2,3,4,5,6,7}))), 1, 1)"),0)</f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>
      <c r="A272" s="38">
        <v>266</v>
      </c>
      <c r="B272" s="41" t="s">
        <v>368</v>
      </c>
      <c r="C272" s="38">
        <f>COUNTIFS(F272:T272,"&gt;0",$F$3:T$3,"&lt;13")</f>
        <v>0</v>
      </c>
      <c r="D272" s="38">
        <f ca="1">SUMIF($F$3:T$3,"&lt;13",F272:T272)</f>
        <v>0</v>
      </c>
      <c r="E272" s="40">
        <f ca="1">IFERROR(__xludf.DUMMYFUNCTION("ARRAY_CONSTRAIN(ARRAYFORMULA(SUMPRODUCT(LARGE(FILTER(F272:T272, F$3:T$3 &lt; 13),{1,2,3,4,5,6,7}))), 1, 1)"),0)</f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 spans="1:53">
      <c r="A273" s="38">
        <v>267</v>
      </c>
      <c r="B273" s="41" t="s">
        <v>369</v>
      </c>
      <c r="C273" s="38">
        <f>COUNTIFS(F273:T273,"&gt;0",$F$3:T$3,"&lt;13")</f>
        <v>0</v>
      </c>
      <c r="D273" s="38">
        <f ca="1">SUMIF($F$3:T$3,"&lt;13",F273:T273)</f>
        <v>0</v>
      </c>
      <c r="E273" s="40">
        <f ca="1">IFERROR(__xludf.DUMMYFUNCTION("ARRAY_CONSTRAIN(ARRAYFORMULA(SUMPRODUCT(LARGE(FILTER(F273:T273, F$3:T$3 &lt; 13),{1,2,3,4,5,6,7}))), 1, 1)"),0)</f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>
      <c r="A274" s="38">
        <v>268</v>
      </c>
      <c r="B274" s="41" t="s">
        <v>370</v>
      </c>
      <c r="C274" s="38">
        <f>COUNTIFS(F274:T274,"&gt;0",$F$3:T$3,"&lt;13")</f>
        <v>0</v>
      </c>
      <c r="D274" s="38">
        <f ca="1">SUMIF($F$3:T$3,"&lt;13",F274:T274)</f>
        <v>0</v>
      </c>
      <c r="E274" s="40">
        <f ca="1">IFERROR(__xludf.DUMMYFUNCTION("ARRAY_CONSTRAIN(ARRAYFORMULA(SUMPRODUCT(LARGE(FILTER(F274:T274, F$3:T$3 &lt; 13),{1,2,3,4,5,6,7}))), 1, 1)"),0)</f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>
      <c r="A275" s="38">
        <v>269</v>
      </c>
      <c r="B275" s="41" t="s">
        <v>371</v>
      </c>
      <c r="C275" s="38">
        <f>COUNTIFS(F275:T275,"&gt;0",$F$3:T$3,"&lt;13")</f>
        <v>0</v>
      </c>
      <c r="D275" s="38">
        <f ca="1">SUMIF($F$3:T$3,"&lt;13",F275:T275)</f>
        <v>0</v>
      </c>
      <c r="E275" s="40">
        <f ca="1">IFERROR(__xludf.DUMMYFUNCTION("ARRAY_CONSTRAIN(ARRAYFORMULA(SUMPRODUCT(LARGE(FILTER(F275:T275, F$3:T$3 &lt; 13),{1,2,3,4,5,6,7}))), 1, 1)"),0)</f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>
      <c r="A276" s="38">
        <v>270</v>
      </c>
      <c r="B276" s="41" t="s">
        <v>372</v>
      </c>
      <c r="C276" s="38">
        <f>COUNTIFS(F276:T276,"&gt;0",$F$3:T$3,"&lt;13")</f>
        <v>0</v>
      </c>
      <c r="D276" s="38">
        <f ca="1">SUMIF($F$3:T$3,"&lt;13",F276:T276)</f>
        <v>0</v>
      </c>
      <c r="E276" s="40">
        <f ca="1">IFERROR(__xludf.DUMMYFUNCTION("ARRAY_CONSTRAIN(ARRAYFORMULA(SUMPRODUCT(LARGE(FILTER(F276:T276, F$3:T$3 &lt; 13),{1,2,3,4,5,6,7}))), 1, 1)"),0)</f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>
      <c r="A277" s="38">
        <v>271</v>
      </c>
      <c r="B277" s="41" t="s">
        <v>373</v>
      </c>
      <c r="C277" s="38">
        <f>COUNTIFS(F277:T277,"&gt;0",$F$3:T$3,"&lt;13")</f>
        <v>0</v>
      </c>
      <c r="D277" s="38">
        <f ca="1">SUMIF($F$3:T$3,"&lt;13",F277:T277)</f>
        <v>0</v>
      </c>
      <c r="E277" s="40">
        <f ca="1">IFERROR(__xludf.DUMMYFUNCTION("ARRAY_CONSTRAIN(ARRAYFORMULA(SUMPRODUCT(LARGE(FILTER(F277:T277, F$3:T$3 &lt; 13),{1,2,3,4,5,6,7}))), 1, 1)"),0)</f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40">
        <v>0</v>
      </c>
      <c r="T277" s="40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>
      <c r="A278" s="38">
        <v>272</v>
      </c>
      <c r="B278" s="41" t="s">
        <v>374</v>
      </c>
      <c r="C278" s="38">
        <f>COUNTIFS(F278:T278,"&gt;0",$F$3:T$3,"&lt;13")</f>
        <v>0</v>
      </c>
      <c r="D278" s="38">
        <f ca="1">SUMIF($F$3:T$3,"&lt;13",F278:T278)</f>
        <v>0</v>
      </c>
      <c r="E278" s="40">
        <f ca="1">IFERROR(__xludf.DUMMYFUNCTION("ARRAY_CONSTRAIN(ARRAYFORMULA(SUMPRODUCT(LARGE(FILTER(F278:T278, F$3:T$3 &lt; 13),{1,2,3,4,5,6,7}))), 1, 1)"),0)</f>
        <v>0</v>
      </c>
      <c r="F278" s="38">
        <v>0</v>
      </c>
      <c r="G278" s="38">
        <v>0</v>
      </c>
      <c r="H278" s="38">
        <v>0</v>
      </c>
      <c r="I278" s="38">
        <v>0</v>
      </c>
      <c r="J278" s="38">
        <v>0</v>
      </c>
      <c r="K278" s="38">
        <v>0</v>
      </c>
      <c r="L278" s="38">
        <v>0</v>
      </c>
      <c r="M278" s="38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0</v>
      </c>
      <c r="T278" s="40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>
      <c r="A279" s="38">
        <v>273</v>
      </c>
      <c r="B279" s="41" t="s">
        <v>375</v>
      </c>
      <c r="C279" s="38">
        <f>COUNTIFS(F279:T279,"&gt;0",$F$3:T$3,"&lt;13")</f>
        <v>0</v>
      </c>
      <c r="D279" s="38">
        <f ca="1">SUMIF($F$3:T$3,"&lt;13",F279:T279)</f>
        <v>0</v>
      </c>
      <c r="E279" s="40">
        <f ca="1">IFERROR(__xludf.DUMMYFUNCTION("ARRAY_CONSTRAIN(ARRAYFORMULA(SUMPRODUCT(LARGE(FILTER(F279:T279, F$3:T$3 &lt; 13),{1,2,3,4,5,6,7}))), 1, 1)"),0)</f>
        <v>0</v>
      </c>
      <c r="F279" s="38">
        <v>0</v>
      </c>
      <c r="G279" s="38">
        <v>0</v>
      </c>
      <c r="H279" s="38">
        <v>0</v>
      </c>
      <c r="I279" s="38">
        <v>0</v>
      </c>
      <c r="J279" s="38">
        <v>0</v>
      </c>
      <c r="K279" s="38">
        <v>0</v>
      </c>
      <c r="L279" s="38">
        <v>0</v>
      </c>
      <c r="M279" s="38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40">
        <v>0</v>
      </c>
      <c r="T279" s="40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>
      <c r="A280" s="38">
        <v>274</v>
      </c>
      <c r="B280" s="39" t="s">
        <v>376</v>
      </c>
      <c r="C280" s="38">
        <f>COUNTIFS(F280:T280,"&gt;0",$F$3:T$3,"&lt;13")</f>
        <v>0</v>
      </c>
      <c r="D280" s="38">
        <f ca="1">SUMIF($F$3:T$3,"&lt;13",F280:T280)</f>
        <v>0</v>
      </c>
      <c r="E280" s="40">
        <f ca="1">IFERROR(__xludf.DUMMYFUNCTION("ARRAY_CONSTRAIN(ARRAYFORMULA(SUMPRODUCT(LARGE(FILTER(F280:T280, F$3:T$3 &lt; 13),{1,2,3,4,5,6,7}))), 1, 1)"),0)</f>
        <v>0</v>
      </c>
      <c r="F280" s="38">
        <v>0</v>
      </c>
      <c r="G280" s="38">
        <v>0</v>
      </c>
      <c r="H280" s="38">
        <v>0</v>
      </c>
      <c r="I280" s="38">
        <v>0</v>
      </c>
      <c r="J280" s="38">
        <v>0</v>
      </c>
      <c r="K280" s="38">
        <v>0</v>
      </c>
      <c r="L280" s="38">
        <v>0</v>
      </c>
      <c r="M280" s="38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0</v>
      </c>
      <c r="S280" s="40">
        <v>0</v>
      </c>
      <c r="T280" s="4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 spans="1:53">
      <c r="A281" s="38">
        <v>275</v>
      </c>
      <c r="B281" s="39" t="s">
        <v>377</v>
      </c>
      <c r="C281" s="38">
        <f>COUNTIFS(F281:T281,"&gt;0",$F$3:T$3,"&lt;13")</f>
        <v>0</v>
      </c>
      <c r="D281" s="38">
        <f ca="1">SUMIF($F$3:T$3,"&lt;13",F281:T281)</f>
        <v>0</v>
      </c>
      <c r="E281" s="40">
        <f ca="1">IFERROR(__xludf.DUMMYFUNCTION("ARRAY_CONSTRAIN(ARRAYFORMULA(SUMPRODUCT(LARGE(FILTER(F281:T281, F$3:T$3 &lt; 13),{1,2,3,4,5,6,7}))), 1, 1)"),0)</f>
        <v>0</v>
      </c>
      <c r="F281" s="38">
        <v>0</v>
      </c>
      <c r="G281" s="38">
        <v>0</v>
      </c>
      <c r="H281" s="38">
        <v>0</v>
      </c>
      <c r="I281" s="38">
        <v>0</v>
      </c>
      <c r="J281" s="38">
        <v>0</v>
      </c>
      <c r="K281" s="38">
        <v>0</v>
      </c>
      <c r="L281" s="38">
        <v>0</v>
      </c>
      <c r="M281" s="38">
        <v>0</v>
      </c>
      <c r="N281" s="40">
        <v>0</v>
      </c>
      <c r="O281" s="40">
        <v>0</v>
      </c>
      <c r="P281" s="40">
        <v>0</v>
      </c>
      <c r="Q281" s="40">
        <v>0</v>
      </c>
      <c r="R281" s="40">
        <v>0</v>
      </c>
      <c r="S281" s="40">
        <v>0</v>
      </c>
      <c r="T281" s="40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>
      <c r="A282" s="38">
        <v>276</v>
      </c>
      <c r="B282" s="41" t="s">
        <v>378</v>
      </c>
      <c r="C282" s="38">
        <f>COUNTIFS(F282:T282,"&gt;0",$F$3:T$3,"&lt;13")</f>
        <v>0</v>
      </c>
      <c r="D282" s="38">
        <f ca="1">SUMIF($F$3:T$3,"&lt;13",F282:T282)</f>
        <v>0</v>
      </c>
      <c r="E282" s="40">
        <f ca="1">IFERROR(__xludf.DUMMYFUNCTION("ARRAY_CONSTRAIN(ARRAYFORMULA(SUMPRODUCT(LARGE(FILTER(F282:T282, F$3:T$3 &lt; 13),{1,2,3,4,5,6,7}))), 1, 1)"),0)</f>
        <v>0</v>
      </c>
      <c r="F282" s="38">
        <v>0</v>
      </c>
      <c r="G282" s="38">
        <v>0</v>
      </c>
      <c r="H282" s="38">
        <v>0</v>
      </c>
      <c r="I282" s="38">
        <v>0</v>
      </c>
      <c r="J282" s="38">
        <v>0</v>
      </c>
      <c r="K282" s="38">
        <v>0</v>
      </c>
      <c r="L282" s="38">
        <v>0</v>
      </c>
      <c r="M282" s="38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0</v>
      </c>
      <c r="S282" s="40">
        <v>0</v>
      </c>
      <c r="T282" s="40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>
      <c r="A283" s="38">
        <v>277</v>
      </c>
      <c r="B283" s="41" t="s">
        <v>379</v>
      </c>
      <c r="C283" s="38">
        <f>COUNTIFS(F283:T283,"&gt;0",$F$3:T$3,"&lt;13")</f>
        <v>0</v>
      </c>
      <c r="D283" s="38">
        <f ca="1">SUMIF($F$3:T$3,"&lt;13",F283:T283)</f>
        <v>0</v>
      </c>
      <c r="E283" s="40">
        <f ca="1">IFERROR(__xludf.DUMMYFUNCTION("ARRAY_CONSTRAIN(ARRAYFORMULA(SUMPRODUCT(LARGE(FILTER(F283:T283, F$3:T$3 &lt; 13),{1,2,3,4,5,6,7}))), 1, 1)"),0)</f>
        <v>0</v>
      </c>
      <c r="F283" s="38">
        <v>0</v>
      </c>
      <c r="G283" s="38">
        <v>0</v>
      </c>
      <c r="H283" s="38">
        <v>0</v>
      </c>
      <c r="I283" s="38">
        <v>0</v>
      </c>
      <c r="J283" s="38">
        <v>0</v>
      </c>
      <c r="K283" s="38">
        <v>0</v>
      </c>
      <c r="L283" s="38">
        <v>0</v>
      </c>
      <c r="M283" s="38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>
      <c r="A284" s="38">
        <v>278</v>
      </c>
      <c r="B284" s="41" t="s">
        <v>380</v>
      </c>
      <c r="C284" s="38">
        <f>COUNTIFS(F284:T284,"&gt;0",$F$3:T$3,"&lt;13")</f>
        <v>0</v>
      </c>
      <c r="D284" s="38">
        <f ca="1">SUMIF($F$3:T$3,"&lt;13",F284:T284)</f>
        <v>0</v>
      </c>
      <c r="E284" s="40">
        <f ca="1">IFERROR(__xludf.DUMMYFUNCTION("ARRAY_CONSTRAIN(ARRAYFORMULA(SUMPRODUCT(LARGE(FILTER(F284:T284, F$3:T$3 &lt; 13),{1,2,3,4,5,6,7}))), 1, 1)"),0)</f>
        <v>0</v>
      </c>
      <c r="F284" s="38">
        <v>0</v>
      </c>
      <c r="G284" s="38">
        <v>0</v>
      </c>
      <c r="H284" s="38">
        <v>0</v>
      </c>
      <c r="I284" s="38">
        <v>0</v>
      </c>
      <c r="J284" s="38">
        <v>0</v>
      </c>
      <c r="K284" s="38">
        <v>0</v>
      </c>
      <c r="L284" s="38">
        <v>0</v>
      </c>
      <c r="M284" s="38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40">
        <v>0</v>
      </c>
      <c r="T284" s="40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>
      <c r="A285" s="38">
        <v>279</v>
      </c>
      <c r="B285" s="41" t="s">
        <v>381</v>
      </c>
      <c r="C285" s="38">
        <f>COUNTIFS(F285:T285,"&gt;0",$F$3:T$3,"&lt;13")</f>
        <v>0</v>
      </c>
      <c r="D285" s="38">
        <f ca="1">SUMIF($F$3:T$3,"&lt;13",F285:T285)</f>
        <v>0</v>
      </c>
      <c r="E285" s="40">
        <f ca="1">IFERROR(__xludf.DUMMYFUNCTION("ARRAY_CONSTRAIN(ARRAYFORMULA(SUMPRODUCT(LARGE(FILTER(F285:T285, F$3:T$3 &lt; 13),{1,2,3,4,5,6,7}))), 1, 1)"),0)</f>
        <v>0</v>
      </c>
      <c r="F285" s="38">
        <v>0</v>
      </c>
      <c r="G285" s="38">
        <v>0</v>
      </c>
      <c r="H285" s="38">
        <v>0</v>
      </c>
      <c r="I285" s="38">
        <v>0</v>
      </c>
      <c r="J285" s="38">
        <v>0</v>
      </c>
      <c r="K285" s="38">
        <v>0</v>
      </c>
      <c r="L285" s="38">
        <v>0</v>
      </c>
      <c r="M285" s="38">
        <v>0</v>
      </c>
      <c r="N285" s="40">
        <v>0</v>
      </c>
      <c r="O285" s="40">
        <v>0</v>
      </c>
      <c r="P285" s="40">
        <v>0</v>
      </c>
      <c r="Q285" s="40">
        <v>0</v>
      </c>
      <c r="R285" s="40">
        <v>0</v>
      </c>
      <c r="S285" s="40">
        <v>0</v>
      </c>
      <c r="T285" s="40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>
      <c r="A286" s="38">
        <v>280</v>
      </c>
      <c r="B286" s="41" t="s">
        <v>382</v>
      </c>
      <c r="C286" s="38">
        <f>COUNTIFS(F286:T286,"&gt;0",$F$3:T$3,"&lt;13")</f>
        <v>0</v>
      </c>
      <c r="D286" s="38">
        <f ca="1">SUMIF($F$3:T$3,"&lt;13",F286:T286)</f>
        <v>0</v>
      </c>
      <c r="E286" s="40">
        <f ca="1">IFERROR(__xludf.DUMMYFUNCTION("ARRAY_CONSTRAIN(ARRAYFORMULA(SUMPRODUCT(LARGE(FILTER(F286:T286, F$3:T$3 &lt; 13),{1,2,3,4,5,6,7}))), 1, 1)"),0)</f>
        <v>0</v>
      </c>
      <c r="F286" s="38">
        <v>0</v>
      </c>
      <c r="G286" s="38">
        <v>0</v>
      </c>
      <c r="H286" s="38">
        <v>0</v>
      </c>
      <c r="I286" s="38">
        <v>0</v>
      </c>
      <c r="J286" s="38">
        <v>0</v>
      </c>
      <c r="K286" s="38">
        <v>0</v>
      </c>
      <c r="L286" s="38">
        <v>0</v>
      </c>
      <c r="M286" s="38">
        <v>0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40">
        <v>0</v>
      </c>
      <c r="T286" s="40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 spans="1:53">
      <c r="A287" s="38">
        <v>281</v>
      </c>
      <c r="B287" s="41" t="s">
        <v>383</v>
      </c>
      <c r="C287" s="38">
        <f>COUNTIFS(F287:T287,"&gt;0",$F$3:T$3,"&lt;13")</f>
        <v>0</v>
      </c>
      <c r="D287" s="38">
        <f ca="1">SUMIF($F$3:T$3,"&lt;13",F287:T287)</f>
        <v>0</v>
      </c>
      <c r="E287" s="40">
        <f ca="1">IFERROR(__xludf.DUMMYFUNCTION("ARRAY_CONSTRAIN(ARRAYFORMULA(SUMPRODUCT(LARGE(FILTER(F287:T287, F$3:T$3 &lt; 13),{1,2,3,4,5,6,7}))), 1, 1)"),0)</f>
        <v>0</v>
      </c>
      <c r="F287" s="38">
        <v>0</v>
      </c>
      <c r="G287" s="38">
        <v>0</v>
      </c>
      <c r="H287" s="38">
        <v>0</v>
      </c>
      <c r="I287" s="38">
        <v>0</v>
      </c>
      <c r="J287" s="38">
        <v>0</v>
      </c>
      <c r="K287" s="38">
        <v>0</v>
      </c>
      <c r="L287" s="38">
        <v>0</v>
      </c>
      <c r="M287" s="38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0</v>
      </c>
      <c r="S287" s="40">
        <v>0</v>
      </c>
      <c r="T287" s="40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>
      <c r="A288" s="38">
        <v>282</v>
      </c>
      <c r="B288" s="41" t="s">
        <v>384</v>
      </c>
      <c r="C288" s="38">
        <f>COUNTIFS(F288:T288,"&gt;0",$F$3:T$3,"&lt;13")</f>
        <v>0</v>
      </c>
      <c r="D288" s="38">
        <f ca="1">SUMIF($F$3:T$3,"&lt;13",F288:T288)</f>
        <v>0</v>
      </c>
      <c r="E288" s="40">
        <f ca="1">IFERROR(__xludf.DUMMYFUNCTION("ARRAY_CONSTRAIN(ARRAYFORMULA(SUMPRODUCT(LARGE(FILTER(F288:T288, F$3:T$3 &lt; 13),{1,2,3,4,5,6,7}))), 1, 1)"),0)</f>
        <v>0</v>
      </c>
      <c r="F288" s="38">
        <v>0</v>
      </c>
      <c r="G288" s="38">
        <v>0</v>
      </c>
      <c r="H288" s="38">
        <v>0</v>
      </c>
      <c r="I288" s="38">
        <v>0</v>
      </c>
      <c r="J288" s="38">
        <v>0</v>
      </c>
      <c r="K288" s="38">
        <v>0</v>
      </c>
      <c r="L288" s="38">
        <v>0</v>
      </c>
      <c r="M288" s="38">
        <v>0</v>
      </c>
      <c r="N288" s="40">
        <v>0</v>
      </c>
      <c r="O288" s="40">
        <v>0</v>
      </c>
      <c r="P288" s="40">
        <v>0</v>
      </c>
      <c r="Q288" s="40">
        <v>0</v>
      </c>
      <c r="R288" s="40">
        <v>0</v>
      </c>
      <c r="S288" s="40">
        <v>0</v>
      </c>
      <c r="T288" s="40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>
      <c r="A289" s="38">
        <v>283</v>
      </c>
      <c r="B289" s="41" t="s">
        <v>385</v>
      </c>
      <c r="C289" s="38">
        <f>COUNTIFS(F289:T289,"&gt;0",$F$3:T$3,"&lt;13")</f>
        <v>0</v>
      </c>
      <c r="D289" s="38">
        <f ca="1">SUMIF($F$3:T$3,"&lt;13",F289:T289)</f>
        <v>0</v>
      </c>
      <c r="E289" s="40">
        <f ca="1">IFERROR(__xludf.DUMMYFUNCTION("ARRAY_CONSTRAIN(ARRAYFORMULA(SUMPRODUCT(LARGE(FILTER(F289:T289, F$3:T$3 &lt; 13),{1,2,3,4,5,6,7}))), 1, 1)"),0)</f>
        <v>0</v>
      </c>
      <c r="F289" s="38">
        <v>0</v>
      </c>
      <c r="G289" s="38">
        <v>0</v>
      </c>
      <c r="H289" s="38">
        <v>0</v>
      </c>
      <c r="I289" s="38">
        <v>0</v>
      </c>
      <c r="J289" s="38">
        <v>0</v>
      </c>
      <c r="K289" s="38">
        <v>0</v>
      </c>
      <c r="L289" s="38">
        <v>0</v>
      </c>
      <c r="M289" s="38">
        <v>0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40">
        <v>0</v>
      </c>
      <c r="T289" s="40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>
      <c r="A290" s="38">
        <v>284</v>
      </c>
      <c r="B290" s="41" t="s">
        <v>386</v>
      </c>
      <c r="C290" s="38">
        <f>COUNTIFS(F290:T290,"&gt;0",$F$3:T$3,"&lt;13")</f>
        <v>0</v>
      </c>
      <c r="D290" s="38">
        <f ca="1">SUMIF($F$3:T$3,"&lt;13",F290:T290)</f>
        <v>0</v>
      </c>
      <c r="E290" s="40">
        <f ca="1">IFERROR(__xludf.DUMMYFUNCTION("ARRAY_CONSTRAIN(ARRAYFORMULA(SUMPRODUCT(LARGE(FILTER(F290:T290, F$3:T$3 &lt; 13),{1,2,3,4,5,6,7}))), 1, 1)"),0)</f>
        <v>0</v>
      </c>
      <c r="F290" s="38">
        <v>0</v>
      </c>
      <c r="G290" s="38">
        <v>0</v>
      </c>
      <c r="H290" s="38">
        <v>0</v>
      </c>
      <c r="I290" s="38">
        <v>0</v>
      </c>
      <c r="J290" s="38">
        <v>0</v>
      </c>
      <c r="K290" s="38">
        <v>0</v>
      </c>
      <c r="L290" s="38">
        <v>0</v>
      </c>
      <c r="M290" s="38">
        <v>0</v>
      </c>
      <c r="N290" s="40">
        <v>0</v>
      </c>
      <c r="O290" s="40">
        <v>0</v>
      </c>
      <c r="P290" s="40">
        <v>0</v>
      </c>
      <c r="Q290" s="40">
        <v>0</v>
      </c>
      <c r="R290" s="40">
        <v>0</v>
      </c>
      <c r="S290" s="40">
        <v>0</v>
      </c>
      <c r="T290" s="4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>
      <c r="A291" s="38">
        <v>285</v>
      </c>
      <c r="B291" s="41" t="s">
        <v>387</v>
      </c>
      <c r="C291" s="38">
        <f>COUNTIFS(F291:T291,"&gt;0",$F$3:T$3,"&lt;13")</f>
        <v>0</v>
      </c>
      <c r="D291" s="38">
        <f ca="1">SUMIF($F$3:T$3,"&lt;13",F291:T291)</f>
        <v>0</v>
      </c>
      <c r="E291" s="40">
        <f ca="1">IFERROR(__xludf.DUMMYFUNCTION("ARRAY_CONSTRAIN(ARRAYFORMULA(SUMPRODUCT(LARGE(FILTER(F291:T291, F$3:T$3 &lt; 13),{1,2,3,4,5,6,7}))), 1, 1)"),0)</f>
        <v>0</v>
      </c>
      <c r="F291" s="38">
        <v>0</v>
      </c>
      <c r="G291" s="38">
        <v>0</v>
      </c>
      <c r="H291" s="38">
        <v>0</v>
      </c>
      <c r="I291" s="38">
        <v>0</v>
      </c>
      <c r="J291" s="38">
        <v>0</v>
      </c>
      <c r="K291" s="38">
        <v>0</v>
      </c>
      <c r="L291" s="38">
        <v>0</v>
      </c>
      <c r="M291" s="38">
        <v>0</v>
      </c>
      <c r="N291" s="40">
        <v>0</v>
      </c>
      <c r="O291" s="40">
        <v>0</v>
      </c>
      <c r="P291" s="40">
        <v>0</v>
      </c>
      <c r="Q291" s="40">
        <v>0</v>
      </c>
      <c r="R291" s="40">
        <v>0</v>
      </c>
      <c r="S291" s="40">
        <v>0</v>
      </c>
      <c r="T291" s="40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>
      <c r="A292" s="38">
        <v>286</v>
      </c>
      <c r="B292" s="41" t="s">
        <v>388</v>
      </c>
      <c r="C292" s="38">
        <f>COUNTIFS(F292:T292,"&gt;0",$F$3:T$3,"&lt;13")</f>
        <v>0</v>
      </c>
      <c r="D292" s="38">
        <f ca="1">SUMIF($F$3:T$3,"&lt;13",F292:T292)</f>
        <v>0</v>
      </c>
      <c r="E292" s="40">
        <f ca="1">IFERROR(__xludf.DUMMYFUNCTION("ARRAY_CONSTRAIN(ARRAYFORMULA(SUMPRODUCT(LARGE(FILTER(F292:T292, F$3:T$3 &lt; 13),{1,2,3,4,5,6,7}))), 1, 1)"),0)</f>
        <v>0</v>
      </c>
      <c r="F292" s="38">
        <v>0</v>
      </c>
      <c r="G292" s="38">
        <v>0</v>
      </c>
      <c r="H292" s="38">
        <v>0</v>
      </c>
      <c r="I292" s="38">
        <v>0</v>
      </c>
      <c r="J292" s="38">
        <v>0</v>
      </c>
      <c r="K292" s="38">
        <v>0</v>
      </c>
      <c r="L292" s="38">
        <v>0</v>
      </c>
      <c r="M292" s="38">
        <v>0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40">
        <v>0</v>
      </c>
      <c r="T292" s="40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>
      <c r="A293" s="38">
        <v>287</v>
      </c>
      <c r="B293" s="41" t="s">
        <v>389</v>
      </c>
      <c r="C293" s="38">
        <f>COUNTIFS(F293:T293,"&gt;0",$F$3:T$3,"&lt;13")</f>
        <v>0</v>
      </c>
      <c r="D293" s="38">
        <f ca="1">SUMIF($F$3:T$3,"&lt;13",F293:T293)</f>
        <v>0</v>
      </c>
      <c r="E293" s="40">
        <f ca="1">IFERROR(__xludf.DUMMYFUNCTION("ARRAY_CONSTRAIN(ARRAYFORMULA(SUMPRODUCT(LARGE(FILTER(F293:T293, F$3:T$3 &lt; 13),{1,2,3,4,5,6,7}))), 1, 1)"),0)</f>
        <v>0</v>
      </c>
      <c r="F293" s="38">
        <v>0</v>
      </c>
      <c r="G293" s="38">
        <v>0</v>
      </c>
      <c r="H293" s="38">
        <v>0</v>
      </c>
      <c r="I293" s="38">
        <v>0</v>
      </c>
      <c r="J293" s="38">
        <v>0</v>
      </c>
      <c r="K293" s="38">
        <v>0</v>
      </c>
      <c r="L293" s="38">
        <v>0</v>
      </c>
      <c r="M293" s="38">
        <v>0</v>
      </c>
      <c r="N293" s="40">
        <v>0</v>
      </c>
      <c r="O293" s="40">
        <v>0</v>
      </c>
      <c r="P293" s="40">
        <v>0</v>
      </c>
      <c r="Q293" s="40">
        <v>0</v>
      </c>
      <c r="R293" s="40">
        <v>0</v>
      </c>
      <c r="S293" s="40">
        <v>0</v>
      </c>
      <c r="T293" s="40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>
      <c r="A294" s="38">
        <v>288</v>
      </c>
      <c r="B294" s="41" t="s">
        <v>390</v>
      </c>
      <c r="C294" s="38">
        <f>COUNTIFS(F294:T294,"&gt;0",$F$3:T$3,"&lt;13")</f>
        <v>0</v>
      </c>
      <c r="D294" s="38">
        <f ca="1">SUMIF($F$3:T$3,"&lt;13",F294:T294)</f>
        <v>0</v>
      </c>
      <c r="E294" s="40">
        <f ca="1">IFERROR(__xludf.DUMMYFUNCTION("ARRAY_CONSTRAIN(ARRAYFORMULA(SUMPRODUCT(LARGE(FILTER(F294:T294, F$3:T$3 &lt; 13),{1,2,3,4,5,6,7}))), 1, 1)"),0)</f>
        <v>0</v>
      </c>
      <c r="F294" s="38">
        <v>0</v>
      </c>
      <c r="G294" s="38">
        <v>0</v>
      </c>
      <c r="H294" s="38">
        <v>0</v>
      </c>
      <c r="I294" s="38">
        <v>0</v>
      </c>
      <c r="J294" s="38">
        <v>0</v>
      </c>
      <c r="K294" s="38">
        <v>0</v>
      </c>
      <c r="L294" s="38">
        <v>0</v>
      </c>
      <c r="M294" s="38">
        <v>0</v>
      </c>
      <c r="N294" s="40">
        <v>0</v>
      </c>
      <c r="O294" s="40">
        <v>0</v>
      </c>
      <c r="P294" s="40">
        <v>0</v>
      </c>
      <c r="Q294" s="40">
        <v>0</v>
      </c>
      <c r="R294" s="40">
        <v>0</v>
      </c>
      <c r="S294" s="40">
        <v>0</v>
      </c>
      <c r="T294" s="40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>
      <c r="A295" s="38">
        <v>289</v>
      </c>
      <c r="B295" s="41" t="s">
        <v>391</v>
      </c>
      <c r="C295" s="38">
        <f>COUNTIFS(F295:T295,"&gt;0",$F$3:T$3,"&lt;13")</f>
        <v>0</v>
      </c>
      <c r="D295" s="38">
        <f ca="1">SUMIF($F$3:T$3,"&lt;13",F295:T295)</f>
        <v>0</v>
      </c>
      <c r="E295" s="40">
        <f ca="1">IFERROR(__xludf.DUMMYFUNCTION("ARRAY_CONSTRAIN(ARRAYFORMULA(SUMPRODUCT(LARGE(FILTER(F295:T295, F$3:T$3 &lt; 13),{1,2,3,4,5,6,7}))), 1, 1)"),0)</f>
        <v>0</v>
      </c>
      <c r="F295" s="38">
        <v>0</v>
      </c>
      <c r="G295" s="38">
        <v>0</v>
      </c>
      <c r="H295" s="38">
        <v>0</v>
      </c>
      <c r="I295" s="38">
        <v>0</v>
      </c>
      <c r="J295" s="38">
        <v>0</v>
      </c>
      <c r="K295" s="38">
        <v>0</v>
      </c>
      <c r="L295" s="38">
        <v>0</v>
      </c>
      <c r="M295" s="38">
        <v>0</v>
      </c>
      <c r="N295" s="40">
        <v>0</v>
      </c>
      <c r="O295" s="40">
        <v>0</v>
      </c>
      <c r="P295" s="40">
        <v>0</v>
      </c>
      <c r="Q295" s="40">
        <v>0</v>
      </c>
      <c r="R295" s="40">
        <v>0</v>
      </c>
      <c r="S295" s="40">
        <v>0</v>
      </c>
      <c r="T295" s="40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>
      <c r="A296" s="38">
        <v>290</v>
      </c>
      <c r="B296" s="41" t="s">
        <v>392</v>
      </c>
      <c r="C296" s="38">
        <f>COUNTIFS(F296:T296,"&gt;0",$F$3:T$3,"&lt;13")</f>
        <v>0</v>
      </c>
      <c r="D296" s="38">
        <f ca="1">SUMIF($F$3:T$3,"&lt;13",F296:T296)</f>
        <v>0</v>
      </c>
      <c r="E296" s="40">
        <f ca="1">IFERROR(__xludf.DUMMYFUNCTION("ARRAY_CONSTRAIN(ARRAYFORMULA(SUMPRODUCT(LARGE(FILTER(F296:T296, F$3:T$3 &lt; 13),{1,2,3,4,5,6,7}))), 1, 1)"),0)</f>
        <v>0</v>
      </c>
      <c r="F296" s="38">
        <v>0</v>
      </c>
      <c r="G296" s="38">
        <v>0</v>
      </c>
      <c r="H296" s="38">
        <v>0</v>
      </c>
      <c r="I296" s="38">
        <v>0</v>
      </c>
      <c r="J296" s="38">
        <v>0</v>
      </c>
      <c r="K296" s="38">
        <v>0</v>
      </c>
      <c r="L296" s="38">
        <v>0</v>
      </c>
      <c r="M296" s="38">
        <v>0</v>
      </c>
      <c r="N296" s="40">
        <v>0</v>
      </c>
      <c r="O296" s="40">
        <v>0</v>
      </c>
      <c r="P296" s="40">
        <v>0</v>
      </c>
      <c r="Q296" s="40">
        <v>0</v>
      </c>
      <c r="R296" s="40">
        <v>0</v>
      </c>
      <c r="S296" s="40">
        <v>0</v>
      </c>
      <c r="T296" s="40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>
      <c r="A297" s="38">
        <v>291</v>
      </c>
      <c r="B297" s="41" t="s">
        <v>393</v>
      </c>
      <c r="C297" s="38">
        <f>COUNTIFS(F297:T297,"&gt;0",$F$3:T$3,"&lt;13")</f>
        <v>0</v>
      </c>
      <c r="D297" s="38">
        <f ca="1">SUMIF($F$3:T$3,"&lt;13",F297:T297)</f>
        <v>0</v>
      </c>
      <c r="E297" s="40">
        <f ca="1">IFERROR(__xludf.DUMMYFUNCTION("ARRAY_CONSTRAIN(ARRAYFORMULA(SUMPRODUCT(LARGE(FILTER(F297:T297, F$3:T$3 &lt; 13),{1,2,3,4,5,6,7}))), 1, 1)"),0)</f>
        <v>0</v>
      </c>
      <c r="F297" s="38">
        <v>0</v>
      </c>
      <c r="G297" s="38">
        <v>0</v>
      </c>
      <c r="H297" s="38">
        <v>0</v>
      </c>
      <c r="I297" s="38">
        <v>0</v>
      </c>
      <c r="J297" s="38">
        <v>0</v>
      </c>
      <c r="K297" s="38">
        <v>0</v>
      </c>
      <c r="L297" s="38">
        <v>0</v>
      </c>
      <c r="M297" s="38">
        <v>0</v>
      </c>
      <c r="N297" s="40">
        <v>0</v>
      </c>
      <c r="O297" s="40">
        <v>0</v>
      </c>
      <c r="P297" s="40">
        <v>0</v>
      </c>
      <c r="Q297" s="40">
        <v>0</v>
      </c>
      <c r="R297" s="40">
        <v>0</v>
      </c>
      <c r="S297" s="40">
        <v>0</v>
      </c>
      <c r="T297" s="40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>
      <c r="A298" s="38">
        <v>292</v>
      </c>
      <c r="B298" s="41" t="s">
        <v>394</v>
      </c>
      <c r="C298" s="38">
        <f>COUNTIFS(F298:T298,"&gt;0",$F$3:T$3,"&lt;13")</f>
        <v>0</v>
      </c>
      <c r="D298" s="38">
        <f ca="1">SUMIF($F$3:T$3,"&lt;13",F298:T298)</f>
        <v>0</v>
      </c>
      <c r="E298" s="40">
        <f ca="1">IFERROR(__xludf.DUMMYFUNCTION("ARRAY_CONSTRAIN(ARRAYFORMULA(SUMPRODUCT(LARGE(FILTER(F298:T298, F$3:T$3 &lt; 13),{1,2,3,4,5,6,7}))), 1, 1)"),0)</f>
        <v>0</v>
      </c>
      <c r="F298" s="38">
        <v>0</v>
      </c>
      <c r="G298" s="38">
        <v>0</v>
      </c>
      <c r="H298" s="38">
        <v>0</v>
      </c>
      <c r="I298" s="38">
        <v>0</v>
      </c>
      <c r="J298" s="38">
        <v>0</v>
      </c>
      <c r="K298" s="38">
        <v>0</v>
      </c>
      <c r="L298" s="38">
        <v>0</v>
      </c>
      <c r="M298" s="38">
        <v>0</v>
      </c>
      <c r="N298" s="40">
        <v>0</v>
      </c>
      <c r="O298" s="40">
        <v>0</v>
      </c>
      <c r="P298" s="40">
        <v>0</v>
      </c>
      <c r="Q298" s="40">
        <v>0</v>
      </c>
      <c r="R298" s="40">
        <v>0</v>
      </c>
      <c r="S298" s="40">
        <v>0</v>
      </c>
      <c r="T298" s="40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 spans="1:53">
      <c r="A299" s="38">
        <v>293</v>
      </c>
      <c r="B299" s="41" t="s">
        <v>395</v>
      </c>
      <c r="C299" s="38">
        <f>COUNTIFS(F299:T299,"&gt;0",$F$3:T$3,"&lt;13")</f>
        <v>0</v>
      </c>
      <c r="D299" s="38">
        <f ca="1">SUMIF($F$3:T$3,"&lt;13",F299:T299)</f>
        <v>0</v>
      </c>
      <c r="E299" s="40">
        <f ca="1">IFERROR(__xludf.DUMMYFUNCTION("ARRAY_CONSTRAIN(ARRAYFORMULA(SUMPRODUCT(LARGE(FILTER(F299:T299, F$3:T$3 &lt; 13),{1,2,3,4,5,6,7}))), 1, 1)"),0)</f>
        <v>0</v>
      </c>
      <c r="F299" s="38">
        <v>0</v>
      </c>
      <c r="G299" s="38">
        <v>0</v>
      </c>
      <c r="H299" s="38">
        <v>0</v>
      </c>
      <c r="I299" s="38">
        <v>0</v>
      </c>
      <c r="J299" s="38">
        <v>0</v>
      </c>
      <c r="K299" s="38">
        <v>0</v>
      </c>
      <c r="L299" s="38">
        <v>0</v>
      </c>
      <c r="M299" s="38">
        <v>0</v>
      </c>
      <c r="N299" s="40">
        <v>0</v>
      </c>
      <c r="O299" s="40">
        <v>0</v>
      </c>
      <c r="P299" s="40">
        <v>0</v>
      </c>
      <c r="Q299" s="40">
        <v>0</v>
      </c>
      <c r="R299" s="40">
        <v>0</v>
      </c>
      <c r="S299" s="40">
        <v>0</v>
      </c>
      <c r="T299" s="40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>
      <c r="A300" s="38">
        <v>294</v>
      </c>
      <c r="B300" s="41" t="s">
        <v>396</v>
      </c>
      <c r="C300" s="38">
        <f>COUNTIFS(F300:T300,"&gt;0",$F$3:T$3,"&lt;13")</f>
        <v>0</v>
      </c>
      <c r="D300" s="38">
        <f ca="1">SUMIF($F$3:T$3,"&lt;13",F300:T300)</f>
        <v>0</v>
      </c>
      <c r="E300" s="40">
        <f ca="1">IFERROR(__xludf.DUMMYFUNCTION("ARRAY_CONSTRAIN(ARRAYFORMULA(SUMPRODUCT(LARGE(FILTER(F300:T300, F$3:T$3 &lt; 13),{1,2,3,4,5,6,7}))), 1, 1)"),0)</f>
        <v>0</v>
      </c>
      <c r="F300" s="38">
        <v>0</v>
      </c>
      <c r="G300" s="38">
        <v>0</v>
      </c>
      <c r="H300" s="38">
        <v>0</v>
      </c>
      <c r="I300" s="38">
        <v>0</v>
      </c>
      <c r="J300" s="38">
        <v>0</v>
      </c>
      <c r="K300" s="38">
        <v>0</v>
      </c>
      <c r="L300" s="38">
        <v>0</v>
      </c>
      <c r="M300" s="38">
        <v>0</v>
      </c>
      <c r="N300" s="40">
        <v>0</v>
      </c>
      <c r="O300" s="40">
        <v>0</v>
      </c>
      <c r="P300" s="40">
        <v>0</v>
      </c>
      <c r="Q300" s="40">
        <v>0</v>
      </c>
      <c r="R300" s="40">
        <v>0</v>
      </c>
      <c r="S300" s="40">
        <v>0</v>
      </c>
      <c r="T300" s="4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>
      <c r="A301" s="38">
        <v>295</v>
      </c>
      <c r="B301" s="41" t="s">
        <v>397</v>
      </c>
      <c r="C301" s="38">
        <f>COUNTIFS(F301:T301,"&gt;0",$F$3:T$3,"&lt;13")</f>
        <v>0</v>
      </c>
      <c r="D301" s="38">
        <f ca="1">SUMIF($F$3:T$3,"&lt;13",F301:T301)</f>
        <v>0</v>
      </c>
      <c r="E301" s="40">
        <f ca="1">IFERROR(__xludf.DUMMYFUNCTION("ARRAY_CONSTRAIN(ARRAYFORMULA(SUMPRODUCT(LARGE(FILTER(F301:T301, F$3:T$3 &lt; 13),{1,2,3,4,5,6,7}))), 1, 1)"),0)</f>
        <v>0</v>
      </c>
      <c r="F301" s="38">
        <v>0</v>
      </c>
      <c r="G301" s="38">
        <v>0</v>
      </c>
      <c r="H301" s="38">
        <v>0</v>
      </c>
      <c r="I301" s="38">
        <v>0</v>
      </c>
      <c r="J301" s="38">
        <v>0</v>
      </c>
      <c r="K301" s="38">
        <v>0</v>
      </c>
      <c r="L301" s="38">
        <v>0</v>
      </c>
      <c r="M301" s="38">
        <v>0</v>
      </c>
      <c r="N301" s="40">
        <v>0</v>
      </c>
      <c r="O301" s="40">
        <v>0</v>
      </c>
      <c r="P301" s="40">
        <v>0</v>
      </c>
      <c r="Q301" s="40">
        <v>0</v>
      </c>
      <c r="R301" s="40">
        <v>0</v>
      </c>
      <c r="S301" s="40">
        <v>0</v>
      </c>
      <c r="T301" s="40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>
      <c r="A302" s="38">
        <v>296</v>
      </c>
      <c r="B302" s="41" t="s">
        <v>398</v>
      </c>
      <c r="C302" s="38">
        <f>COUNTIFS(F302:T302,"&gt;0",$F$3:T$3,"&lt;13")</f>
        <v>0</v>
      </c>
      <c r="D302" s="38">
        <f ca="1">SUMIF($F$3:T$3,"&lt;13",F302:T302)</f>
        <v>0</v>
      </c>
      <c r="E302" s="40">
        <f ca="1">IFERROR(__xludf.DUMMYFUNCTION("ARRAY_CONSTRAIN(ARRAYFORMULA(SUMPRODUCT(LARGE(FILTER(F302:T302, F$3:T$3 &lt; 13),{1,2,3,4,5,6,7}))), 1, 1)"),0)</f>
        <v>0</v>
      </c>
      <c r="F302" s="38">
        <v>0</v>
      </c>
      <c r="G302" s="38">
        <v>0</v>
      </c>
      <c r="H302" s="38">
        <v>0</v>
      </c>
      <c r="I302" s="38">
        <v>0</v>
      </c>
      <c r="J302" s="38">
        <v>0</v>
      </c>
      <c r="K302" s="38">
        <v>0</v>
      </c>
      <c r="L302" s="38">
        <v>0</v>
      </c>
      <c r="M302" s="38">
        <v>0</v>
      </c>
      <c r="N302" s="40">
        <v>0</v>
      </c>
      <c r="O302" s="40">
        <v>0</v>
      </c>
      <c r="P302" s="40">
        <v>0</v>
      </c>
      <c r="Q302" s="40">
        <v>0</v>
      </c>
      <c r="R302" s="40">
        <v>0</v>
      </c>
      <c r="S302" s="40">
        <v>0</v>
      </c>
      <c r="T302" s="40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>
      <c r="A303" s="38">
        <v>297</v>
      </c>
      <c r="B303" s="41" t="s">
        <v>399</v>
      </c>
      <c r="C303" s="38">
        <f>COUNTIFS(F303:T303,"&gt;0",$F$3:T$3,"&lt;13")</f>
        <v>0</v>
      </c>
      <c r="D303" s="38">
        <f ca="1">SUMIF($F$3:T$3,"&lt;13",F303:T303)</f>
        <v>0</v>
      </c>
      <c r="E303" s="40">
        <f ca="1">IFERROR(__xludf.DUMMYFUNCTION("ARRAY_CONSTRAIN(ARRAYFORMULA(SUMPRODUCT(LARGE(FILTER(F303:T303, F$3:T$3 &lt; 13),{1,2,3,4,5,6,7}))), 1, 1)"),0)</f>
        <v>0</v>
      </c>
      <c r="F303" s="38">
        <v>0</v>
      </c>
      <c r="G303" s="38">
        <v>0</v>
      </c>
      <c r="H303" s="38">
        <v>0</v>
      </c>
      <c r="I303" s="38">
        <v>0</v>
      </c>
      <c r="J303" s="38">
        <v>0</v>
      </c>
      <c r="K303" s="38">
        <v>0</v>
      </c>
      <c r="L303" s="38">
        <v>0</v>
      </c>
      <c r="M303" s="38">
        <v>0</v>
      </c>
      <c r="N303" s="40">
        <v>0</v>
      </c>
      <c r="O303" s="40">
        <v>0</v>
      </c>
      <c r="P303" s="40">
        <v>0</v>
      </c>
      <c r="Q303" s="40">
        <v>0</v>
      </c>
      <c r="R303" s="40">
        <v>0</v>
      </c>
      <c r="S303" s="40">
        <v>0</v>
      </c>
      <c r="T303" s="40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>
      <c r="A304" s="38">
        <v>298</v>
      </c>
      <c r="B304" s="41" t="s">
        <v>400</v>
      </c>
      <c r="C304" s="38">
        <f>COUNTIFS(F304:T304,"&gt;0",$F$3:T$3,"&lt;13")</f>
        <v>0</v>
      </c>
      <c r="D304" s="38">
        <f ca="1">SUMIF($F$3:T$3,"&lt;13",F304:T304)</f>
        <v>0</v>
      </c>
      <c r="E304" s="40">
        <f ca="1">IFERROR(__xludf.DUMMYFUNCTION("ARRAY_CONSTRAIN(ARRAYFORMULA(SUMPRODUCT(LARGE(FILTER(F304:T304, F$3:T$3 &lt; 13),{1,2,3,4,5,6,7}))), 1, 1)"),0)</f>
        <v>0</v>
      </c>
      <c r="F304" s="38">
        <v>0</v>
      </c>
      <c r="G304" s="38">
        <v>0</v>
      </c>
      <c r="H304" s="38">
        <v>0</v>
      </c>
      <c r="I304" s="38">
        <v>0</v>
      </c>
      <c r="J304" s="38">
        <v>0</v>
      </c>
      <c r="K304" s="38">
        <v>0</v>
      </c>
      <c r="L304" s="38">
        <v>0</v>
      </c>
      <c r="M304" s="38">
        <v>0</v>
      </c>
      <c r="N304" s="40">
        <v>0</v>
      </c>
      <c r="O304" s="40">
        <v>0</v>
      </c>
      <c r="P304" s="40">
        <v>0</v>
      </c>
      <c r="Q304" s="40">
        <v>0</v>
      </c>
      <c r="R304" s="40">
        <v>0</v>
      </c>
      <c r="S304" s="40">
        <v>0</v>
      </c>
      <c r="T304" s="40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>
      <c r="A305" s="38">
        <v>299</v>
      </c>
      <c r="B305" s="41" t="s">
        <v>401</v>
      </c>
      <c r="C305" s="38">
        <f>COUNTIFS(F305:T305,"&gt;0",$F$3:T$3,"&lt;13")</f>
        <v>0</v>
      </c>
      <c r="D305" s="38">
        <f ca="1">SUMIF($F$3:T$3,"&lt;13",F305:T305)</f>
        <v>0</v>
      </c>
      <c r="E305" s="40">
        <f ca="1">IFERROR(__xludf.DUMMYFUNCTION("ARRAY_CONSTRAIN(ARRAYFORMULA(SUMPRODUCT(LARGE(FILTER(F305:T305, F$3:T$3 &lt; 13),{1,2,3,4,5,6,7}))), 1, 1)"),0)</f>
        <v>0</v>
      </c>
      <c r="F305" s="38">
        <v>0</v>
      </c>
      <c r="G305" s="38">
        <v>0</v>
      </c>
      <c r="H305" s="38">
        <v>0</v>
      </c>
      <c r="I305" s="38">
        <v>0</v>
      </c>
      <c r="J305" s="38">
        <v>0</v>
      </c>
      <c r="K305" s="38">
        <v>0</v>
      </c>
      <c r="L305" s="38">
        <v>0</v>
      </c>
      <c r="M305" s="38">
        <v>0</v>
      </c>
      <c r="N305" s="40">
        <v>0</v>
      </c>
      <c r="O305" s="40">
        <v>0</v>
      </c>
      <c r="P305" s="40">
        <v>0</v>
      </c>
      <c r="Q305" s="40">
        <v>0</v>
      </c>
      <c r="R305" s="40">
        <v>0</v>
      </c>
      <c r="S305" s="40">
        <v>0</v>
      </c>
      <c r="T305" s="40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>
      <c r="A306" s="38">
        <v>300</v>
      </c>
      <c r="B306" s="41" t="s">
        <v>402</v>
      </c>
      <c r="C306" s="38">
        <f>COUNTIFS(F306:T306,"&gt;0",$F$3:T$3,"&lt;13")</f>
        <v>0</v>
      </c>
      <c r="D306" s="38">
        <f ca="1">SUMIF($F$3:T$3,"&lt;13",F306:T306)</f>
        <v>0</v>
      </c>
      <c r="E306" s="40">
        <f ca="1">IFERROR(__xludf.DUMMYFUNCTION("ARRAY_CONSTRAIN(ARRAYFORMULA(SUMPRODUCT(LARGE(FILTER(F306:T306, F$3:T$3 &lt; 13),{1,2,3,4,5,6,7}))), 1, 1)"),0)</f>
        <v>0</v>
      </c>
      <c r="F306" s="38">
        <v>0</v>
      </c>
      <c r="G306" s="38">
        <v>0</v>
      </c>
      <c r="H306" s="38">
        <v>0</v>
      </c>
      <c r="I306" s="38">
        <v>0</v>
      </c>
      <c r="J306" s="38">
        <v>0</v>
      </c>
      <c r="K306" s="38">
        <v>0</v>
      </c>
      <c r="L306" s="38">
        <v>0</v>
      </c>
      <c r="M306" s="38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 spans="1:53">
      <c r="A307" s="38">
        <v>301</v>
      </c>
      <c r="B307" s="41" t="s">
        <v>403</v>
      </c>
      <c r="C307" s="38">
        <f>COUNTIFS(F307:T307,"&gt;0",$F$3:T$3,"&lt;13")</f>
        <v>0</v>
      </c>
      <c r="D307" s="38">
        <f ca="1">SUMIF($F$3:T$3,"&lt;13",F307:T307)</f>
        <v>0</v>
      </c>
      <c r="E307" s="40">
        <f ca="1">IFERROR(__xludf.DUMMYFUNCTION("ARRAY_CONSTRAIN(ARRAYFORMULA(SUMPRODUCT(LARGE(FILTER(F307:T307, F$3:T$3 &lt; 13),{1,2,3,4,5,6,7}))), 1, 1)"),0)</f>
        <v>0</v>
      </c>
      <c r="F307" s="38">
        <v>0</v>
      </c>
      <c r="G307" s="38">
        <v>0</v>
      </c>
      <c r="H307" s="38">
        <v>0</v>
      </c>
      <c r="I307" s="38">
        <v>0</v>
      </c>
      <c r="J307" s="38">
        <v>0</v>
      </c>
      <c r="K307" s="38">
        <v>0</v>
      </c>
      <c r="L307" s="38">
        <v>0</v>
      </c>
      <c r="M307" s="38">
        <v>0</v>
      </c>
      <c r="N307" s="40">
        <v>0</v>
      </c>
      <c r="O307" s="40">
        <v>0</v>
      </c>
      <c r="P307" s="40">
        <v>0</v>
      </c>
      <c r="Q307" s="40">
        <v>0</v>
      </c>
      <c r="R307" s="40">
        <v>0</v>
      </c>
      <c r="S307" s="40">
        <v>0</v>
      </c>
      <c r="T307" s="40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 spans="1:53">
      <c r="A308" s="38">
        <v>302</v>
      </c>
      <c r="B308" s="41" t="s">
        <v>404</v>
      </c>
      <c r="C308" s="38">
        <f>COUNTIFS(F308:T308,"&gt;0",$F$3:T$3,"&lt;13")</f>
        <v>0</v>
      </c>
      <c r="D308" s="38">
        <f ca="1">SUMIF($F$3:T$3,"&lt;13",F308:T308)</f>
        <v>0</v>
      </c>
      <c r="E308" s="40">
        <f ca="1">IFERROR(__xludf.DUMMYFUNCTION("ARRAY_CONSTRAIN(ARRAYFORMULA(SUMPRODUCT(LARGE(FILTER(F308:T308, F$3:T$3 &lt; 13),{1,2,3,4,5,6,7}))), 1, 1)"),0)</f>
        <v>0</v>
      </c>
      <c r="F308" s="38">
        <v>0</v>
      </c>
      <c r="G308" s="38">
        <v>0</v>
      </c>
      <c r="H308" s="38">
        <v>0</v>
      </c>
      <c r="I308" s="38">
        <v>0</v>
      </c>
      <c r="J308" s="38">
        <v>0</v>
      </c>
      <c r="K308" s="38">
        <v>0</v>
      </c>
      <c r="L308" s="38">
        <v>0</v>
      </c>
      <c r="M308" s="38">
        <v>0</v>
      </c>
      <c r="N308" s="40">
        <v>0</v>
      </c>
      <c r="O308" s="40">
        <v>0</v>
      </c>
      <c r="P308" s="40">
        <v>0</v>
      </c>
      <c r="Q308" s="40">
        <v>0</v>
      </c>
      <c r="R308" s="40">
        <v>0</v>
      </c>
      <c r="S308" s="40">
        <v>0</v>
      </c>
      <c r="T308" s="40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>
      <c r="A309" s="38">
        <v>303</v>
      </c>
      <c r="B309" s="41" t="s">
        <v>405</v>
      </c>
      <c r="C309" s="38">
        <f>COUNTIFS(F309:T309,"&gt;0",$F$3:T$3,"&lt;13")</f>
        <v>0</v>
      </c>
      <c r="D309" s="38">
        <f ca="1">SUMIF($F$3:T$3,"&lt;13",F309:T309)</f>
        <v>0</v>
      </c>
      <c r="E309" s="40">
        <f ca="1">IFERROR(__xludf.DUMMYFUNCTION("ARRAY_CONSTRAIN(ARRAYFORMULA(SUMPRODUCT(LARGE(FILTER(F309:T309, F$3:T$3 &lt; 13),{1,2,3,4,5,6,7}))), 1, 1)"),0)</f>
        <v>0</v>
      </c>
      <c r="F309" s="38">
        <v>0</v>
      </c>
      <c r="G309" s="38">
        <v>0</v>
      </c>
      <c r="H309" s="38">
        <v>0</v>
      </c>
      <c r="I309" s="38">
        <v>0</v>
      </c>
      <c r="J309" s="38">
        <v>0</v>
      </c>
      <c r="K309" s="38">
        <v>0</v>
      </c>
      <c r="L309" s="38">
        <v>0</v>
      </c>
      <c r="M309" s="38">
        <v>0</v>
      </c>
      <c r="N309" s="40">
        <v>0</v>
      </c>
      <c r="O309" s="40">
        <v>0</v>
      </c>
      <c r="P309" s="40">
        <v>0</v>
      </c>
      <c r="Q309" s="40">
        <v>0</v>
      </c>
      <c r="R309" s="40">
        <v>0</v>
      </c>
      <c r="S309" s="40">
        <v>0</v>
      </c>
      <c r="T309" s="40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>
      <c r="A310" s="38">
        <v>304</v>
      </c>
      <c r="B310" s="41" t="s">
        <v>406</v>
      </c>
      <c r="C310" s="38">
        <f>COUNTIFS(F310:T310,"&gt;0",$F$3:T$3,"&lt;13")</f>
        <v>0</v>
      </c>
      <c r="D310" s="38">
        <f ca="1">SUMIF($F$3:T$3,"&lt;13",F310:T310)</f>
        <v>0</v>
      </c>
      <c r="E310" s="40">
        <f ca="1">IFERROR(__xludf.DUMMYFUNCTION("ARRAY_CONSTRAIN(ARRAYFORMULA(SUMPRODUCT(LARGE(FILTER(F310:T310, F$3:T$3 &lt; 13),{1,2,3,4,5,6,7}))), 1, 1)"),0)</f>
        <v>0</v>
      </c>
      <c r="F310" s="38">
        <v>0</v>
      </c>
      <c r="G310" s="38">
        <v>0</v>
      </c>
      <c r="H310" s="38">
        <v>0</v>
      </c>
      <c r="I310" s="38">
        <v>0</v>
      </c>
      <c r="J310" s="38">
        <v>0</v>
      </c>
      <c r="K310" s="38">
        <v>0</v>
      </c>
      <c r="L310" s="38">
        <v>0</v>
      </c>
      <c r="M310" s="38">
        <v>0</v>
      </c>
      <c r="N310" s="40">
        <v>0</v>
      </c>
      <c r="O310" s="40">
        <v>0</v>
      </c>
      <c r="P310" s="40">
        <v>0</v>
      </c>
      <c r="Q310" s="40">
        <v>0</v>
      </c>
      <c r="R310" s="40">
        <v>0</v>
      </c>
      <c r="S310" s="40">
        <v>0</v>
      </c>
      <c r="T310" s="4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>
      <c r="A311" s="38">
        <v>305</v>
      </c>
      <c r="B311" s="41" t="s">
        <v>407</v>
      </c>
      <c r="C311" s="38">
        <f>COUNTIFS(F311:T311,"&gt;0",$F$3:T$3,"&lt;13")</f>
        <v>0</v>
      </c>
      <c r="D311" s="38">
        <f ca="1">SUMIF($F$3:T$3,"&lt;13",F311:T311)</f>
        <v>0</v>
      </c>
      <c r="E311" s="40">
        <f ca="1">IFERROR(__xludf.DUMMYFUNCTION("ARRAY_CONSTRAIN(ARRAYFORMULA(SUMPRODUCT(LARGE(FILTER(F311:T311, F$3:T$3 &lt; 13),{1,2,3,4,5,6,7}))), 1, 1)"),0)</f>
        <v>0</v>
      </c>
      <c r="F311" s="38">
        <v>0</v>
      </c>
      <c r="G311" s="38">
        <v>0</v>
      </c>
      <c r="H311" s="38">
        <v>0</v>
      </c>
      <c r="I311" s="38">
        <v>0</v>
      </c>
      <c r="J311" s="38">
        <v>0</v>
      </c>
      <c r="K311" s="38">
        <v>0</v>
      </c>
      <c r="L311" s="38">
        <v>0</v>
      </c>
      <c r="M311" s="38">
        <v>0</v>
      </c>
      <c r="N311" s="40">
        <v>0</v>
      </c>
      <c r="O311" s="40">
        <v>0</v>
      </c>
      <c r="P311" s="40">
        <v>0</v>
      </c>
      <c r="Q311" s="40">
        <v>0</v>
      </c>
      <c r="R311" s="40">
        <v>0</v>
      </c>
      <c r="S311" s="40">
        <v>0</v>
      </c>
      <c r="T311" s="40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>
      <c r="A312" s="38">
        <v>306</v>
      </c>
      <c r="B312" s="41" t="s">
        <v>408</v>
      </c>
      <c r="C312" s="38">
        <f>COUNTIFS(F312:T312,"&gt;0",$F$3:T$3,"&lt;13")</f>
        <v>0</v>
      </c>
      <c r="D312" s="38">
        <f ca="1">SUMIF($F$3:T$3,"&lt;13",F312:T312)</f>
        <v>0</v>
      </c>
      <c r="E312" s="40">
        <f ca="1">IFERROR(__xludf.DUMMYFUNCTION("ARRAY_CONSTRAIN(ARRAYFORMULA(SUMPRODUCT(LARGE(FILTER(F312:T312, F$3:T$3 &lt; 13),{1,2,3,4,5,6,7}))), 1, 1)"),0)</f>
        <v>0</v>
      </c>
      <c r="F312" s="38">
        <v>0</v>
      </c>
      <c r="G312" s="38">
        <v>0</v>
      </c>
      <c r="H312" s="38">
        <v>0</v>
      </c>
      <c r="I312" s="38">
        <v>0</v>
      </c>
      <c r="J312" s="38">
        <v>0</v>
      </c>
      <c r="K312" s="38">
        <v>0</v>
      </c>
      <c r="L312" s="38">
        <v>0</v>
      </c>
      <c r="M312" s="38">
        <v>0</v>
      </c>
      <c r="N312" s="40">
        <v>0</v>
      </c>
      <c r="O312" s="40">
        <v>0</v>
      </c>
      <c r="P312" s="40">
        <v>0</v>
      </c>
      <c r="Q312" s="40">
        <v>0</v>
      </c>
      <c r="R312" s="40">
        <v>0</v>
      </c>
      <c r="S312" s="40">
        <v>0</v>
      </c>
      <c r="T312" s="40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>
      <c r="A313" s="38">
        <v>307</v>
      </c>
      <c r="B313" s="41" t="s">
        <v>409</v>
      </c>
      <c r="C313" s="38">
        <f>COUNTIFS(F313:T313,"&gt;0",$F$3:T$3,"&lt;13")</f>
        <v>0</v>
      </c>
      <c r="D313" s="38">
        <f ca="1">SUMIF($F$3:T$3,"&lt;13",F313:T313)</f>
        <v>0</v>
      </c>
      <c r="E313" s="40">
        <f ca="1">IFERROR(__xludf.DUMMYFUNCTION("ARRAY_CONSTRAIN(ARRAYFORMULA(SUMPRODUCT(LARGE(FILTER(F313:T313, F$3:T$3 &lt; 13),{1,2,3,4,5,6,7}))), 1, 1)"),0)</f>
        <v>0</v>
      </c>
      <c r="F313" s="38">
        <v>0</v>
      </c>
      <c r="G313" s="38">
        <v>0</v>
      </c>
      <c r="H313" s="38">
        <v>0</v>
      </c>
      <c r="I313" s="38">
        <v>0</v>
      </c>
      <c r="J313" s="38">
        <v>0</v>
      </c>
      <c r="K313" s="38">
        <v>0</v>
      </c>
      <c r="L313" s="38">
        <v>0</v>
      </c>
      <c r="M313" s="38">
        <v>0</v>
      </c>
      <c r="N313" s="40">
        <v>0</v>
      </c>
      <c r="O313" s="40">
        <v>0</v>
      </c>
      <c r="P313" s="40">
        <v>0</v>
      </c>
      <c r="Q313" s="40">
        <v>0</v>
      </c>
      <c r="R313" s="40">
        <v>0</v>
      </c>
      <c r="S313" s="40">
        <v>0</v>
      </c>
      <c r="T313" s="40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spans="1:53">
      <c r="A314" s="38">
        <v>308</v>
      </c>
      <c r="B314" s="41" t="s">
        <v>410</v>
      </c>
      <c r="C314" s="38">
        <f>COUNTIFS(F314:T314,"&gt;0",$F$3:T$3,"&lt;13")</f>
        <v>0</v>
      </c>
      <c r="D314" s="38">
        <f ca="1">SUMIF($F$3:T$3,"&lt;13",F314:T314)</f>
        <v>0</v>
      </c>
      <c r="E314" s="40">
        <f ca="1">IFERROR(__xludf.DUMMYFUNCTION("ARRAY_CONSTRAIN(ARRAYFORMULA(SUMPRODUCT(LARGE(FILTER(F314:T314, F$3:T$3 &lt; 13),{1,2,3,4,5,6,7}))), 1, 1)"),0)</f>
        <v>0</v>
      </c>
      <c r="F314" s="38">
        <v>0</v>
      </c>
      <c r="G314" s="38">
        <v>0</v>
      </c>
      <c r="H314" s="38">
        <v>0</v>
      </c>
      <c r="I314" s="38">
        <v>0</v>
      </c>
      <c r="J314" s="38">
        <v>0</v>
      </c>
      <c r="K314" s="38">
        <v>0</v>
      </c>
      <c r="L314" s="38">
        <v>0</v>
      </c>
      <c r="M314" s="38">
        <v>0</v>
      </c>
      <c r="N314" s="40">
        <v>0</v>
      </c>
      <c r="O314" s="40">
        <v>0</v>
      </c>
      <c r="P314" s="40">
        <v>0</v>
      </c>
      <c r="Q314" s="40">
        <v>0</v>
      </c>
      <c r="R314" s="40">
        <v>0</v>
      </c>
      <c r="S314" s="40">
        <v>0</v>
      </c>
      <c r="T314" s="40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>
      <c r="A315" s="38">
        <v>309</v>
      </c>
      <c r="B315" s="41" t="s">
        <v>411</v>
      </c>
      <c r="C315" s="38">
        <f>COUNTIFS(F315:T315,"&gt;0",$F$3:T$3,"&lt;13")</f>
        <v>0</v>
      </c>
      <c r="D315" s="38">
        <f ca="1">SUMIF($F$3:T$3,"&lt;13",F315:T315)</f>
        <v>0</v>
      </c>
      <c r="E315" s="40">
        <f ca="1">IFERROR(__xludf.DUMMYFUNCTION("ARRAY_CONSTRAIN(ARRAYFORMULA(SUMPRODUCT(LARGE(FILTER(F315:T315, F$3:T$3 &lt; 13),{1,2,3,4,5,6,7}))), 1, 1)"),0)</f>
        <v>0</v>
      </c>
      <c r="F315" s="38">
        <v>0</v>
      </c>
      <c r="G315" s="38">
        <v>0</v>
      </c>
      <c r="H315" s="38">
        <v>0</v>
      </c>
      <c r="I315" s="38">
        <v>0</v>
      </c>
      <c r="J315" s="38">
        <v>0</v>
      </c>
      <c r="K315" s="38">
        <v>0</v>
      </c>
      <c r="L315" s="38">
        <v>0</v>
      </c>
      <c r="M315" s="38">
        <v>0</v>
      </c>
      <c r="N315" s="40">
        <v>0</v>
      </c>
      <c r="O315" s="40">
        <v>0</v>
      </c>
      <c r="P315" s="40">
        <v>0</v>
      </c>
      <c r="Q315" s="40">
        <v>0</v>
      </c>
      <c r="R315" s="40">
        <v>0</v>
      </c>
      <c r="S315" s="40">
        <v>0</v>
      </c>
      <c r="T315" s="40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40</v>
      </c>
      <c r="AX315">
        <v>0</v>
      </c>
      <c r="AY315">
        <v>0</v>
      </c>
      <c r="AZ315">
        <v>0</v>
      </c>
      <c r="BA315">
        <v>0</v>
      </c>
    </row>
    <row r="316" spans="1:53">
      <c r="A316" s="38">
        <v>310</v>
      </c>
      <c r="B316" s="41" t="s">
        <v>412</v>
      </c>
      <c r="C316" s="38">
        <f>COUNTIFS(F316:T316,"&gt;0",$F$3:T$3,"&lt;13")</f>
        <v>0</v>
      </c>
      <c r="D316" s="38">
        <f ca="1">SUMIF($F$3:T$3,"&lt;13",F316:T316)</f>
        <v>0</v>
      </c>
      <c r="E316" s="40">
        <f ca="1">IFERROR(__xludf.DUMMYFUNCTION("ARRAY_CONSTRAIN(ARRAYFORMULA(SUMPRODUCT(LARGE(FILTER(F316:T316, F$3:T$3 &lt; 13),{1,2,3,4,5,6,7}))), 1, 1)"),0)</f>
        <v>0</v>
      </c>
      <c r="F316" s="38">
        <v>0</v>
      </c>
      <c r="G316" s="38">
        <v>0</v>
      </c>
      <c r="H316" s="38">
        <v>0</v>
      </c>
      <c r="I316" s="38">
        <v>0</v>
      </c>
      <c r="J316" s="38">
        <v>0</v>
      </c>
      <c r="K316" s="38">
        <v>0</v>
      </c>
      <c r="L316" s="38">
        <v>0</v>
      </c>
      <c r="M316" s="38">
        <v>0</v>
      </c>
      <c r="N316" s="40">
        <v>0</v>
      </c>
      <c r="O316" s="40">
        <v>0</v>
      </c>
      <c r="P316" s="40">
        <v>0</v>
      </c>
      <c r="Q316" s="40">
        <v>0</v>
      </c>
      <c r="R316" s="40">
        <v>0</v>
      </c>
      <c r="S316" s="40">
        <v>0</v>
      </c>
      <c r="T316" s="40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70</v>
      </c>
      <c r="AF316">
        <v>50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>
      <c r="A317" s="38">
        <v>311</v>
      </c>
      <c r="B317" s="41" t="s">
        <v>413</v>
      </c>
      <c r="C317" s="38">
        <f>COUNTIFS(F317:T317,"&gt;0",$F$3:T$3,"&lt;13")</f>
        <v>0</v>
      </c>
      <c r="D317" s="38">
        <f ca="1">SUMIF($F$3:T$3,"&lt;13",F317:T317)</f>
        <v>0</v>
      </c>
      <c r="E317" s="40">
        <f ca="1">IFERROR(__xludf.DUMMYFUNCTION("ARRAY_CONSTRAIN(ARRAYFORMULA(SUMPRODUCT(LARGE(FILTER(F317:T317, F$3:T$3 &lt; 13),{1,2,3,4,5,6,7}))), 1, 1)"),0)</f>
        <v>0</v>
      </c>
      <c r="F317" s="38">
        <v>0</v>
      </c>
      <c r="G317" s="38">
        <v>0</v>
      </c>
      <c r="H317" s="38">
        <v>0</v>
      </c>
      <c r="I317" s="38">
        <v>0</v>
      </c>
      <c r="J317" s="38">
        <v>0</v>
      </c>
      <c r="K317" s="38">
        <v>0</v>
      </c>
      <c r="L317" s="38">
        <v>0</v>
      </c>
      <c r="M317" s="38">
        <v>0</v>
      </c>
      <c r="N317" s="40">
        <v>0</v>
      </c>
      <c r="O317" s="40">
        <v>0</v>
      </c>
      <c r="P317" s="40">
        <v>0</v>
      </c>
      <c r="Q317" s="40">
        <v>0</v>
      </c>
      <c r="R317" s="40">
        <v>0</v>
      </c>
      <c r="S317" s="40">
        <v>0</v>
      </c>
      <c r="T317" s="40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>
      <c r="A318" s="38">
        <v>312</v>
      </c>
      <c r="B318" s="41" t="s">
        <v>414</v>
      </c>
      <c r="C318" s="38">
        <f>COUNTIFS(F318:T318,"&gt;0",$F$3:T$3,"&lt;13")</f>
        <v>0</v>
      </c>
      <c r="D318" s="38">
        <f ca="1">SUMIF($F$3:T$3,"&lt;13",F318:T318)</f>
        <v>0</v>
      </c>
      <c r="E318" s="40">
        <f ca="1">IFERROR(__xludf.DUMMYFUNCTION("ARRAY_CONSTRAIN(ARRAYFORMULA(SUMPRODUCT(LARGE(FILTER(F318:T318, F$3:T$3 &lt; 13),{1,2,3,4,5,6,7}))), 1, 1)"),0)</f>
        <v>0</v>
      </c>
      <c r="F318" s="38">
        <v>0</v>
      </c>
      <c r="G318" s="38">
        <v>0</v>
      </c>
      <c r="H318" s="38">
        <v>0</v>
      </c>
      <c r="I318" s="38">
        <v>0</v>
      </c>
      <c r="J318" s="38">
        <v>0</v>
      </c>
      <c r="K318" s="38">
        <v>0</v>
      </c>
      <c r="L318" s="38">
        <v>0</v>
      </c>
      <c r="M318" s="38">
        <v>0</v>
      </c>
      <c r="N318" s="40">
        <v>0</v>
      </c>
      <c r="O318" s="40">
        <v>0</v>
      </c>
      <c r="P318" s="40">
        <v>0</v>
      </c>
      <c r="Q318" s="40">
        <v>0</v>
      </c>
      <c r="R318" s="40">
        <v>0</v>
      </c>
      <c r="S318" s="40">
        <v>0</v>
      </c>
      <c r="T318" s="40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>
      <c r="A319" s="38">
        <v>313</v>
      </c>
      <c r="B319" s="41" t="s">
        <v>415</v>
      </c>
      <c r="C319" s="38">
        <f>COUNTIFS(F319:T319,"&gt;0",$F$3:T$3,"&lt;13")</f>
        <v>0</v>
      </c>
      <c r="D319" s="38">
        <f ca="1">SUMIF($F$3:T$3,"&lt;13",F319:T319)</f>
        <v>0</v>
      </c>
      <c r="E319" s="40">
        <f ca="1">IFERROR(__xludf.DUMMYFUNCTION("ARRAY_CONSTRAIN(ARRAYFORMULA(SUMPRODUCT(LARGE(FILTER(F319:T319, F$3:T$3 &lt; 13),{1,2,3,4,5,6,7}))), 1, 1)"),0)</f>
        <v>0</v>
      </c>
      <c r="F319" s="38">
        <v>0</v>
      </c>
      <c r="G319" s="38">
        <v>0</v>
      </c>
      <c r="H319" s="38">
        <v>0</v>
      </c>
      <c r="I319" s="38">
        <v>0</v>
      </c>
      <c r="J319" s="38">
        <v>0</v>
      </c>
      <c r="K319" s="38">
        <v>0</v>
      </c>
      <c r="L319" s="38">
        <v>0</v>
      </c>
      <c r="M319" s="38">
        <v>0</v>
      </c>
      <c r="N319" s="40">
        <v>0</v>
      </c>
      <c r="O319" s="40">
        <v>0</v>
      </c>
      <c r="P319" s="40">
        <v>0</v>
      </c>
      <c r="Q319" s="40">
        <v>0</v>
      </c>
      <c r="R319" s="40">
        <v>0</v>
      </c>
      <c r="S319" s="40">
        <v>0</v>
      </c>
      <c r="T319" s="40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>
      <c r="A320" s="38">
        <v>314</v>
      </c>
      <c r="B320" s="41" t="s">
        <v>416</v>
      </c>
      <c r="C320" s="38">
        <f>COUNTIFS(F320:T320,"&gt;0",$F$3:T$3,"&lt;13")</f>
        <v>0</v>
      </c>
      <c r="D320" s="38">
        <f ca="1">SUMIF($F$3:T$3,"&lt;13",F320:T320)</f>
        <v>0</v>
      </c>
      <c r="E320" s="40">
        <f ca="1">IFERROR(__xludf.DUMMYFUNCTION("ARRAY_CONSTRAIN(ARRAYFORMULA(SUMPRODUCT(LARGE(FILTER(F320:T320, F$3:T$3 &lt; 13),{1,2,3,4,5,6,7}))), 1, 1)"),0)</f>
        <v>0</v>
      </c>
      <c r="F320" s="38">
        <v>0</v>
      </c>
      <c r="G320" s="38">
        <v>0</v>
      </c>
      <c r="H320" s="38">
        <v>0</v>
      </c>
      <c r="I320" s="38">
        <v>0</v>
      </c>
      <c r="J320" s="38">
        <v>0</v>
      </c>
      <c r="K320" s="38">
        <v>0</v>
      </c>
      <c r="L320" s="38">
        <v>0</v>
      </c>
      <c r="M320" s="38">
        <v>0</v>
      </c>
      <c r="N320" s="40">
        <v>0</v>
      </c>
      <c r="O320" s="40">
        <v>0</v>
      </c>
      <c r="P320" s="40">
        <v>0</v>
      </c>
      <c r="Q320" s="40">
        <v>0</v>
      </c>
      <c r="R320" s="40">
        <v>0</v>
      </c>
      <c r="S320" s="40">
        <v>0</v>
      </c>
      <c r="T320" s="4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 spans="1:53">
      <c r="A321" s="38">
        <v>315</v>
      </c>
      <c r="B321" s="41" t="s">
        <v>417</v>
      </c>
      <c r="C321" s="38">
        <f>COUNTIFS(F321:T321,"&gt;0",$F$3:T$3,"&lt;13")</f>
        <v>0</v>
      </c>
      <c r="D321" s="38">
        <f ca="1">SUMIF($F$3:T$3,"&lt;13",F321:T321)</f>
        <v>0</v>
      </c>
      <c r="E321" s="40">
        <f ca="1">IFERROR(__xludf.DUMMYFUNCTION("ARRAY_CONSTRAIN(ARRAYFORMULA(SUMPRODUCT(LARGE(FILTER(F321:T321, F$3:T$3 &lt; 13),{1,2,3,4,5,6,7}))), 1, 1)"),0)</f>
        <v>0</v>
      </c>
      <c r="F321" s="38">
        <v>0</v>
      </c>
      <c r="G321" s="38">
        <v>0</v>
      </c>
      <c r="H321" s="38">
        <v>0</v>
      </c>
      <c r="I321" s="38">
        <v>0</v>
      </c>
      <c r="J321" s="38">
        <v>0</v>
      </c>
      <c r="K321" s="38">
        <v>0</v>
      </c>
      <c r="L321" s="38">
        <v>0</v>
      </c>
      <c r="M321" s="38">
        <v>0</v>
      </c>
      <c r="N321" s="40">
        <v>0</v>
      </c>
      <c r="O321" s="40">
        <v>0</v>
      </c>
      <c r="P321" s="40">
        <v>0</v>
      </c>
      <c r="Q321" s="40">
        <v>0</v>
      </c>
      <c r="R321" s="40">
        <v>0</v>
      </c>
      <c r="S321" s="40">
        <v>0</v>
      </c>
      <c r="T321" s="40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>
      <c r="A322" s="38">
        <v>316</v>
      </c>
      <c r="B322" s="41" t="s">
        <v>418</v>
      </c>
      <c r="C322" s="38">
        <f>COUNTIFS(F322:T322,"&gt;0",$F$3:T$3,"&lt;13")</f>
        <v>0</v>
      </c>
      <c r="D322" s="38">
        <f ca="1">SUMIF($F$3:T$3,"&lt;13",F322:T322)</f>
        <v>0</v>
      </c>
      <c r="E322" s="40">
        <f ca="1">IFERROR(__xludf.DUMMYFUNCTION("ARRAY_CONSTRAIN(ARRAYFORMULA(SUMPRODUCT(LARGE(FILTER(F322:T322, F$3:T$3 &lt; 13),{1,2,3,4,5,6,7}))), 1, 1)"),0)</f>
        <v>0</v>
      </c>
      <c r="F322" s="38">
        <v>0</v>
      </c>
      <c r="G322" s="38">
        <v>0</v>
      </c>
      <c r="H322" s="38">
        <v>0</v>
      </c>
      <c r="I322" s="38">
        <v>0</v>
      </c>
      <c r="J322" s="38">
        <v>0</v>
      </c>
      <c r="K322" s="38">
        <v>0</v>
      </c>
      <c r="L322" s="38">
        <v>0</v>
      </c>
      <c r="M322" s="38">
        <v>0</v>
      </c>
      <c r="N322" s="40">
        <v>0</v>
      </c>
      <c r="O322" s="40">
        <v>0</v>
      </c>
      <c r="P322" s="40">
        <v>0</v>
      </c>
      <c r="Q322" s="40">
        <v>0</v>
      </c>
      <c r="R322" s="40">
        <v>0</v>
      </c>
      <c r="S322" s="40">
        <v>0</v>
      </c>
      <c r="T322" s="40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 spans="1:53">
      <c r="A323" s="38">
        <v>317</v>
      </c>
      <c r="B323" s="41" t="s">
        <v>419</v>
      </c>
      <c r="C323" s="38">
        <f>COUNTIFS(F323:T323,"&gt;0",$F$3:T$3,"&lt;13")</f>
        <v>0</v>
      </c>
      <c r="D323" s="38">
        <f ca="1">SUMIF($F$3:T$3,"&lt;13",F323:T323)</f>
        <v>0</v>
      </c>
      <c r="E323" s="40">
        <f ca="1">IFERROR(__xludf.DUMMYFUNCTION("ARRAY_CONSTRAIN(ARRAYFORMULA(SUMPRODUCT(LARGE(FILTER(F323:T323, F$3:T$3 &lt; 13),{1,2,3,4,5,6,7}))), 1, 1)"),0)</f>
        <v>0</v>
      </c>
      <c r="F323" s="38">
        <v>0</v>
      </c>
      <c r="G323" s="38">
        <v>0</v>
      </c>
      <c r="H323" s="38">
        <v>0</v>
      </c>
      <c r="I323" s="38">
        <v>0</v>
      </c>
      <c r="J323" s="38">
        <v>0</v>
      </c>
      <c r="K323" s="38">
        <v>0</v>
      </c>
      <c r="L323" s="38">
        <v>0</v>
      </c>
      <c r="M323" s="38">
        <v>0</v>
      </c>
      <c r="N323" s="40">
        <v>0</v>
      </c>
      <c r="O323" s="40">
        <v>0</v>
      </c>
      <c r="P323" s="40">
        <v>0</v>
      </c>
      <c r="Q323" s="40">
        <v>0</v>
      </c>
      <c r="R323" s="40">
        <v>0</v>
      </c>
      <c r="S323" s="40">
        <v>0</v>
      </c>
      <c r="T323" s="40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>
      <c r="A324" s="38">
        <v>318</v>
      </c>
      <c r="B324" s="41" t="s">
        <v>420</v>
      </c>
      <c r="C324" s="38">
        <f>COUNTIFS(F324:T324,"&gt;0",$F$3:T$3,"&lt;13")</f>
        <v>0</v>
      </c>
      <c r="D324" s="38">
        <f ca="1">SUMIF($F$3:T$3,"&lt;13",F324:T324)</f>
        <v>0</v>
      </c>
      <c r="E324" s="40">
        <f ca="1">IFERROR(__xludf.DUMMYFUNCTION("ARRAY_CONSTRAIN(ARRAYFORMULA(SUMPRODUCT(LARGE(FILTER(F324:T324, F$3:T$3 &lt; 13),{1,2,3,4,5,6,7}))), 1, 1)"),0)</f>
        <v>0</v>
      </c>
      <c r="F324" s="38">
        <v>0</v>
      </c>
      <c r="G324" s="38">
        <v>0</v>
      </c>
      <c r="H324" s="38">
        <v>0</v>
      </c>
      <c r="I324" s="38">
        <v>0</v>
      </c>
      <c r="J324" s="38">
        <v>0</v>
      </c>
      <c r="K324" s="38">
        <v>0</v>
      </c>
      <c r="L324" s="38">
        <v>0</v>
      </c>
      <c r="M324" s="38">
        <v>0</v>
      </c>
      <c r="N324" s="40">
        <v>0</v>
      </c>
      <c r="O324" s="40">
        <v>0</v>
      </c>
      <c r="P324" s="40">
        <v>0</v>
      </c>
      <c r="Q324" s="40">
        <v>0</v>
      </c>
      <c r="R324" s="40">
        <v>0</v>
      </c>
      <c r="S324" s="40">
        <v>0</v>
      </c>
      <c r="T324" s="40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>
      <c r="A325" s="38">
        <v>319</v>
      </c>
      <c r="B325" s="41" t="s">
        <v>421</v>
      </c>
      <c r="C325" s="38">
        <f>COUNTIFS(F325:T325,"&gt;0",$F$3:T$3,"&lt;13")</f>
        <v>0</v>
      </c>
      <c r="D325" s="38">
        <f ca="1">SUMIF($F$3:T$3,"&lt;13",F325:T325)</f>
        <v>0</v>
      </c>
      <c r="E325" s="40">
        <f ca="1">IFERROR(__xludf.DUMMYFUNCTION("ARRAY_CONSTRAIN(ARRAYFORMULA(SUMPRODUCT(LARGE(FILTER(F325:T325, F$3:T$3 &lt; 13),{1,2,3,4,5,6,7}))), 1, 1)"),0)</f>
        <v>0</v>
      </c>
      <c r="F325" s="38">
        <v>0</v>
      </c>
      <c r="G325" s="38">
        <v>0</v>
      </c>
      <c r="H325" s="38">
        <v>0</v>
      </c>
      <c r="I325" s="38">
        <v>0</v>
      </c>
      <c r="J325" s="38">
        <v>0</v>
      </c>
      <c r="K325" s="38">
        <v>0</v>
      </c>
      <c r="L325" s="38">
        <v>0</v>
      </c>
      <c r="M325" s="38">
        <v>0</v>
      </c>
      <c r="N325" s="40">
        <v>0</v>
      </c>
      <c r="O325" s="40">
        <v>0</v>
      </c>
      <c r="P325" s="40">
        <v>0</v>
      </c>
      <c r="Q325" s="40">
        <v>0</v>
      </c>
      <c r="R325" s="40">
        <v>0</v>
      </c>
      <c r="S325" s="40">
        <v>0</v>
      </c>
      <c r="T325" s="40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>
      <c r="A326" s="38">
        <v>320</v>
      </c>
      <c r="B326" s="41" t="s">
        <v>422</v>
      </c>
      <c r="C326" s="38">
        <f>COUNTIFS(F326:T326,"&gt;0",$F$3:T$3,"&lt;13")</f>
        <v>0</v>
      </c>
      <c r="D326" s="38">
        <f ca="1">SUMIF($F$3:T$3,"&lt;13",F326:T326)</f>
        <v>0</v>
      </c>
      <c r="E326" s="40">
        <f ca="1">IFERROR(__xludf.DUMMYFUNCTION("ARRAY_CONSTRAIN(ARRAYFORMULA(SUMPRODUCT(LARGE(FILTER(F326:T326, F$3:T$3 &lt; 13),{1,2,3,4,5,6,7}))), 1, 1)"),0)</f>
        <v>0</v>
      </c>
      <c r="F326" s="38">
        <v>0</v>
      </c>
      <c r="G326" s="38">
        <v>0</v>
      </c>
      <c r="H326" s="38">
        <v>0</v>
      </c>
      <c r="I326" s="38">
        <v>0</v>
      </c>
      <c r="J326" s="38">
        <v>0</v>
      </c>
      <c r="K326" s="38">
        <v>0</v>
      </c>
      <c r="L326" s="38">
        <v>0</v>
      </c>
      <c r="M326" s="38">
        <v>0</v>
      </c>
      <c r="N326" s="40">
        <v>0</v>
      </c>
      <c r="O326" s="40">
        <v>0</v>
      </c>
      <c r="P326" s="40">
        <v>0</v>
      </c>
      <c r="Q326" s="40">
        <v>0</v>
      </c>
      <c r="R326" s="40">
        <v>0</v>
      </c>
      <c r="S326" s="40">
        <v>0</v>
      </c>
      <c r="T326" s="40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 spans="1:53">
      <c r="A327" s="38">
        <v>321</v>
      </c>
      <c r="B327" s="41" t="s">
        <v>423</v>
      </c>
      <c r="C327" s="38">
        <f>COUNTIFS(F327:T327,"&gt;0",$F$3:T$3,"&lt;13")</f>
        <v>0</v>
      </c>
      <c r="D327" s="38">
        <f ca="1">SUMIF($F$3:T$3,"&lt;13",F327:T327)</f>
        <v>0</v>
      </c>
      <c r="E327" s="40">
        <f ca="1">IFERROR(__xludf.DUMMYFUNCTION("ARRAY_CONSTRAIN(ARRAYFORMULA(SUMPRODUCT(LARGE(FILTER(F327:T327, F$3:T$3 &lt; 13),{1,2,3,4,5,6,7}))), 1, 1)"),0)</f>
        <v>0</v>
      </c>
      <c r="F327" s="38">
        <v>0</v>
      </c>
      <c r="G327" s="38">
        <v>0</v>
      </c>
      <c r="H327" s="38">
        <v>0</v>
      </c>
      <c r="I327" s="38">
        <v>0</v>
      </c>
      <c r="J327" s="38">
        <v>0</v>
      </c>
      <c r="K327" s="38">
        <v>0</v>
      </c>
      <c r="L327" s="38">
        <v>0</v>
      </c>
      <c r="M327" s="38">
        <v>0</v>
      </c>
      <c r="N327" s="40">
        <v>0</v>
      </c>
      <c r="O327" s="40">
        <v>0</v>
      </c>
      <c r="P327" s="40">
        <v>0</v>
      </c>
      <c r="Q327" s="40">
        <v>0</v>
      </c>
      <c r="R327" s="40">
        <v>0</v>
      </c>
      <c r="S327" s="40">
        <v>0</v>
      </c>
      <c r="T327" s="40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>
      <c r="A328" s="38">
        <v>322</v>
      </c>
      <c r="B328" s="41" t="s">
        <v>424</v>
      </c>
      <c r="C328" s="38">
        <f>COUNTIFS(F328:T328,"&gt;0",$F$3:T$3,"&lt;13")</f>
        <v>0</v>
      </c>
      <c r="D328" s="38">
        <f ca="1">SUMIF($F$3:T$3,"&lt;13",F328:T328)</f>
        <v>0</v>
      </c>
      <c r="E328" s="40">
        <f ca="1">IFERROR(__xludf.DUMMYFUNCTION("ARRAY_CONSTRAIN(ARRAYFORMULA(SUMPRODUCT(LARGE(FILTER(F328:T328, F$3:T$3 &lt; 13),{1,2,3,4,5,6,7}))), 1, 1)"),0)</f>
        <v>0</v>
      </c>
      <c r="F328" s="38">
        <v>0</v>
      </c>
      <c r="G328" s="38">
        <v>0</v>
      </c>
      <c r="H328" s="38">
        <v>0</v>
      </c>
      <c r="I328" s="38">
        <v>0</v>
      </c>
      <c r="J328" s="38">
        <v>0</v>
      </c>
      <c r="K328" s="38">
        <v>0</v>
      </c>
      <c r="L328" s="38">
        <v>0</v>
      </c>
      <c r="M328" s="38">
        <v>0</v>
      </c>
      <c r="N328" s="40">
        <v>0</v>
      </c>
      <c r="O328" s="40">
        <v>0</v>
      </c>
      <c r="P328" s="40">
        <v>0</v>
      </c>
      <c r="Q328" s="40">
        <v>0</v>
      </c>
      <c r="R328" s="40">
        <v>0</v>
      </c>
      <c r="S328" s="40">
        <v>0</v>
      </c>
      <c r="T328" s="40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>
      <c r="A329" s="40">
        <v>323</v>
      </c>
      <c r="B329" s="41" t="s">
        <v>425</v>
      </c>
      <c r="C329" s="38">
        <f>COUNTIFS(F329:T329,"&gt;0",$F$3:T$3,"&lt;13")</f>
        <v>0</v>
      </c>
      <c r="D329" s="38">
        <f ca="1">SUMIF($F$3:T$3,"&lt;13",F329:T329)</f>
        <v>0</v>
      </c>
      <c r="E329" s="40">
        <f ca="1">IFERROR(__xludf.DUMMYFUNCTION("ARRAY_CONSTRAIN(ARRAYFORMULA(SUMPRODUCT(LARGE(FILTER(F329:T329, F$3:T$3 &lt; 13),{1,2,3,4,5,6,7}))), 1, 1)"),0)</f>
        <v>0</v>
      </c>
      <c r="F329" s="38">
        <v>0</v>
      </c>
      <c r="G329" s="38">
        <v>0</v>
      </c>
      <c r="H329" s="38">
        <v>0</v>
      </c>
      <c r="I329" s="38">
        <v>0</v>
      </c>
      <c r="J329" s="38">
        <v>0</v>
      </c>
      <c r="K329" s="38">
        <v>0</v>
      </c>
      <c r="L329" s="38">
        <v>0</v>
      </c>
      <c r="M329" s="38">
        <v>0</v>
      </c>
      <c r="N329" s="40">
        <v>0</v>
      </c>
      <c r="O329" s="40">
        <v>0</v>
      </c>
      <c r="P329" s="40">
        <v>0</v>
      </c>
      <c r="Q329" s="40">
        <v>0</v>
      </c>
      <c r="R329" s="40">
        <v>0</v>
      </c>
      <c r="S329" s="40">
        <v>0</v>
      </c>
      <c r="T329" s="40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>
      <c r="A330" s="40">
        <v>324</v>
      </c>
      <c r="B330" s="41" t="s">
        <v>426</v>
      </c>
      <c r="C330" s="38">
        <f>COUNTIFS(F330:T330,"&gt;0",$F$3:T$3,"&lt;13")</f>
        <v>0</v>
      </c>
      <c r="D330" s="38">
        <f ca="1">SUMIF($F$3:T$3,"&lt;13",F330:T330)</f>
        <v>0</v>
      </c>
      <c r="E330" s="40">
        <f ca="1">IFERROR(__xludf.DUMMYFUNCTION("ARRAY_CONSTRAIN(ARRAYFORMULA(SUMPRODUCT(LARGE(FILTER(F330:T330, F$3:T$3 &lt; 13),{1,2,3,4,5,6,7}))), 1, 1)"),0)</f>
        <v>0</v>
      </c>
      <c r="F330" s="38">
        <v>0</v>
      </c>
      <c r="G330" s="38">
        <v>0</v>
      </c>
      <c r="H330" s="38">
        <v>0</v>
      </c>
      <c r="I330" s="38">
        <v>0</v>
      </c>
      <c r="J330" s="38">
        <v>0</v>
      </c>
      <c r="K330" s="38">
        <v>0</v>
      </c>
      <c r="L330" s="38">
        <v>0</v>
      </c>
      <c r="M330" s="38">
        <v>0</v>
      </c>
      <c r="N330" s="40">
        <v>0</v>
      </c>
      <c r="O330" s="40">
        <v>0</v>
      </c>
      <c r="P330" s="40">
        <v>0</v>
      </c>
      <c r="Q330" s="40">
        <v>0</v>
      </c>
      <c r="R330" s="40">
        <v>0</v>
      </c>
      <c r="S330" s="40">
        <v>0</v>
      </c>
      <c r="T330" s="4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>
      <c r="A331" s="40">
        <v>325</v>
      </c>
      <c r="B331" s="41" t="s">
        <v>427</v>
      </c>
      <c r="C331" s="38">
        <f>COUNTIFS(F331:T331,"&gt;0",$F$3:T$3,"&lt;13")</f>
        <v>0</v>
      </c>
      <c r="D331" s="38">
        <f ca="1">SUMIF($F$3:T$3,"&lt;13",F331:T331)</f>
        <v>0</v>
      </c>
      <c r="E331" s="40">
        <f ca="1">IFERROR(__xludf.DUMMYFUNCTION("ARRAY_CONSTRAIN(ARRAYFORMULA(SUMPRODUCT(LARGE(FILTER(F331:T331, F$3:T$3 &lt; 13),{1,2,3,4,5,6,7}))), 1, 1)"),0)</f>
        <v>0</v>
      </c>
      <c r="F331" s="38">
        <v>0</v>
      </c>
      <c r="G331" s="38">
        <v>0</v>
      </c>
      <c r="H331" s="38">
        <v>0</v>
      </c>
      <c r="I331" s="38">
        <v>0</v>
      </c>
      <c r="J331" s="38">
        <v>0</v>
      </c>
      <c r="K331" s="38">
        <v>0</v>
      </c>
      <c r="L331" s="38">
        <v>0</v>
      </c>
      <c r="M331" s="38">
        <v>0</v>
      </c>
      <c r="N331" s="40">
        <v>0</v>
      </c>
      <c r="O331" s="40">
        <v>0</v>
      </c>
      <c r="P331" s="40">
        <v>0</v>
      </c>
      <c r="Q331" s="40">
        <v>0</v>
      </c>
      <c r="R331" s="40">
        <v>0</v>
      </c>
      <c r="S331" s="40">
        <v>0</v>
      </c>
      <c r="T331" s="40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>
      <c r="A332" s="40">
        <v>326</v>
      </c>
      <c r="B332" s="41" t="s">
        <v>428</v>
      </c>
      <c r="C332" s="38">
        <f>COUNTIFS(F332:T332,"&gt;0",$F$3:T$3,"&lt;13")</f>
        <v>0</v>
      </c>
      <c r="D332" s="38">
        <f ca="1">SUMIF($F$3:T$3,"&lt;13",F332:T332)</f>
        <v>0</v>
      </c>
      <c r="E332" s="40">
        <f ca="1">IFERROR(__xludf.DUMMYFUNCTION("ARRAY_CONSTRAIN(ARRAYFORMULA(SUMPRODUCT(LARGE(FILTER(F332:T332, F$3:T$3 &lt; 13),{1,2,3,4,5,6,7}))), 1, 1)"),0)</f>
        <v>0</v>
      </c>
      <c r="F332" s="38">
        <v>0</v>
      </c>
      <c r="G332" s="38">
        <v>0</v>
      </c>
      <c r="H332" s="38">
        <v>0</v>
      </c>
      <c r="I332" s="38">
        <v>0</v>
      </c>
      <c r="J332" s="38">
        <v>0</v>
      </c>
      <c r="K332" s="38">
        <v>0</v>
      </c>
      <c r="L332" s="38">
        <v>0</v>
      </c>
      <c r="M332" s="38">
        <v>0</v>
      </c>
      <c r="N332" s="40">
        <v>0</v>
      </c>
      <c r="O332" s="40">
        <v>0</v>
      </c>
      <c r="P332" s="40">
        <v>0</v>
      </c>
      <c r="Q332" s="40">
        <v>0</v>
      </c>
      <c r="R332" s="40">
        <v>0</v>
      </c>
      <c r="S332" s="40">
        <v>0</v>
      </c>
      <c r="T332" s="40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spans="1:53">
      <c r="A333" s="40">
        <v>327</v>
      </c>
      <c r="B333" s="41" t="s">
        <v>429</v>
      </c>
      <c r="C333" s="38">
        <f>COUNTIFS(F333:T333,"&gt;0",$F$3:T$3,"&lt;13")</f>
        <v>0</v>
      </c>
      <c r="D333" s="38">
        <f ca="1">SUMIF($F$3:T$3,"&lt;13",F333:T333)</f>
        <v>0</v>
      </c>
      <c r="E333" s="40">
        <f ca="1">IFERROR(__xludf.DUMMYFUNCTION("ARRAY_CONSTRAIN(ARRAYFORMULA(SUMPRODUCT(LARGE(FILTER(F333:T333, F$3:T$3 &lt; 13),{1,2,3,4,5,6,7}))), 1, 1)"),0)</f>
        <v>0</v>
      </c>
      <c r="F333" s="38">
        <v>0</v>
      </c>
      <c r="G333" s="38">
        <v>0</v>
      </c>
      <c r="H333" s="38">
        <v>0</v>
      </c>
      <c r="I333" s="38">
        <v>0</v>
      </c>
      <c r="J333" s="38">
        <v>0</v>
      </c>
      <c r="K333" s="38">
        <v>0</v>
      </c>
      <c r="L333" s="38">
        <v>0</v>
      </c>
      <c r="M333" s="38">
        <v>0</v>
      </c>
      <c r="N333" s="40">
        <v>0</v>
      </c>
      <c r="O333" s="40">
        <v>0</v>
      </c>
      <c r="P333" s="40">
        <v>0</v>
      </c>
      <c r="Q333" s="40">
        <v>0</v>
      </c>
      <c r="R333" s="40">
        <v>0</v>
      </c>
      <c r="S333" s="40">
        <v>0</v>
      </c>
      <c r="T333" s="40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spans="1:53">
      <c r="A334" s="40">
        <v>328</v>
      </c>
      <c r="B334" s="41" t="s">
        <v>430</v>
      </c>
      <c r="C334" s="38">
        <f>COUNTIFS(F334:T334,"&gt;0",$F$3:T$3,"&lt;13")</f>
        <v>0</v>
      </c>
      <c r="D334" s="38">
        <f ca="1">SUMIF($F$3:T$3,"&lt;13",F334:T334)</f>
        <v>0</v>
      </c>
      <c r="E334" s="40">
        <f ca="1">IFERROR(__xludf.DUMMYFUNCTION("ARRAY_CONSTRAIN(ARRAYFORMULA(SUMPRODUCT(LARGE(FILTER(F334:T334, F$3:T$3 &lt; 13),{1,2,3,4,5,6,7}))), 1, 1)"),0)</f>
        <v>0</v>
      </c>
      <c r="F334" s="38">
        <v>0</v>
      </c>
      <c r="G334" s="38">
        <v>0</v>
      </c>
      <c r="H334" s="38">
        <v>0</v>
      </c>
      <c r="I334" s="38">
        <v>0</v>
      </c>
      <c r="J334" s="38">
        <v>0</v>
      </c>
      <c r="K334" s="38">
        <v>0</v>
      </c>
      <c r="L334" s="38">
        <v>0</v>
      </c>
      <c r="M334" s="38">
        <v>0</v>
      </c>
      <c r="N334" s="40">
        <v>0</v>
      </c>
      <c r="O334" s="40">
        <v>0</v>
      </c>
      <c r="P334" s="40">
        <v>0</v>
      </c>
      <c r="Q334" s="40">
        <v>0</v>
      </c>
      <c r="R334" s="40">
        <v>0</v>
      </c>
      <c r="S334" s="40">
        <v>0</v>
      </c>
      <c r="T334" s="40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>
      <c r="A335" s="40">
        <v>329</v>
      </c>
      <c r="B335" s="41" t="s">
        <v>431</v>
      </c>
      <c r="C335" s="38">
        <f>COUNTIFS(F335:T335,"&gt;0",$F$3:T$3,"&lt;13")</f>
        <v>0</v>
      </c>
      <c r="D335" s="38">
        <f ca="1">SUMIF($F$3:T$3,"&lt;13",F335:T335)</f>
        <v>0</v>
      </c>
      <c r="E335" s="40">
        <f ca="1">IFERROR(__xludf.DUMMYFUNCTION("ARRAY_CONSTRAIN(ARRAYFORMULA(SUMPRODUCT(LARGE(FILTER(F335:T335, F$3:T$3 &lt; 13),{1,2,3,4,5,6,7}))), 1, 1)"),0)</f>
        <v>0</v>
      </c>
      <c r="F335" s="38">
        <v>0</v>
      </c>
      <c r="G335" s="38">
        <v>0</v>
      </c>
      <c r="H335" s="38">
        <v>0</v>
      </c>
      <c r="I335" s="38">
        <v>0</v>
      </c>
      <c r="J335" s="38">
        <v>0</v>
      </c>
      <c r="K335" s="38">
        <v>0</v>
      </c>
      <c r="L335" s="38">
        <v>0</v>
      </c>
      <c r="M335" s="38">
        <v>0</v>
      </c>
      <c r="N335" s="40">
        <v>0</v>
      </c>
      <c r="O335" s="40">
        <v>0</v>
      </c>
      <c r="P335" s="40">
        <v>0</v>
      </c>
      <c r="Q335" s="40">
        <v>0</v>
      </c>
      <c r="R335" s="40">
        <v>0</v>
      </c>
      <c r="S335" s="40">
        <v>0</v>
      </c>
      <c r="T335" s="40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>
      <c r="A336" s="40">
        <v>330</v>
      </c>
      <c r="B336" s="41" t="s">
        <v>432</v>
      </c>
      <c r="C336" s="38">
        <f>COUNTIFS(F336:T336,"&gt;0",$F$3:T$3,"&lt;13")</f>
        <v>0</v>
      </c>
      <c r="D336" s="38">
        <f ca="1">SUMIF($F$3:T$3,"&lt;13",F336:T336)</f>
        <v>0</v>
      </c>
      <c r="E336" s="40">
        <f ca="1">IFERROR(__xludf.DUMMYFUNCTION("ARRAY_CONSTRAIN(ARRAYFORMULA(SUMPRODUCT(LARGE(FILTER(F336:T336, F$3:T$3 &lt; 13),{1,2,3,4,5,6,7}))), 1, 1)"),0)</f>
        <v>0</v>
      </c>
      <c r="F336" s="38">
        <v>0</v>
      </c>
      <c r="G336" s="38">
        <v>0</v>
      </c>
      <c r="H336" s="38">
        <v>0</v>
      </c>
      <c r="I336" s="38">
        <v>0</v>
      </c>
      <c r="J336" s="38">
        <v>0</v>
      </c>
      <c r="K336" s="38">
        <v>0</v>
      </c>
      <c r="L336" s="38">
        <v>0</v>
      </c>
      <c r="M336" s="38">
        <v>0</v>
      </c>
      <c r="N336" s="40">
        <v>0</v>
      </c>
      <c r="O336" s="40">
        <v>0</v>
      </c>
      <c r="P336" s="40">
        <v>0</v>
      </c>
      <c r="Q336" s="40">
        <v>0</v>
      </c>
      <c r="R336" s="40">
        <v>0</v>
      </c>
      <c r="S336" s="40">
        <v>0</v>
      </c>
      <c r="T336" s="40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>
      <c r="A337" s="40">
        <v>331</v>
      </c>
      <c r="B337" s="41" t="s">
        <v>433</v>
      </c>
      <c r="C337" s="38">
        <f>COUNTIFS(F337:T337,"&gt;0",$F$3:T$3,"&lt;13")</f>
        <v>0</v>
      </c>
      <c r="D337" s="38">
        <f ca="1">SUMIF($F$3:T$3,"&lt;13",F337:T337)</f>
        <v>0</v>
      </c>
      <c r="E337" s="40">
        <f ca="1">IFERROR(__xludf.DUMMYFUNCTION("ARRAY_CONSTRAIN(ARRAYFORMULA(SUMPRODUCT(LARGE(FILTER(F337:T337, F$3:T$3 &lt; 13),{1,2,3,4,5,6,7}))), 1, 1)"),0)</f>
        <v>0</v>
      </c>
      <c r="F337" s="38">
        <v>0</v>
      </c>
      <c r="G337" s="38">
        <v>0</v>
      </c>
      <c r="H337" s="38">
        <v>0</v>
      </c>
      <c r="I337" s="38">
        <v>0</v>
      </c>
      <c r="J337" s="38">
        <v>0</v>
      </c>
      <c r="K337" s="38">
        <v>0</v>
      </c>
      <c r="L337" s="38">
        <v>0</v>
      </c>
      <c r="M337" s="38">
        <v>0</v>
      </c>
      <c r="N337" s="40">
        <v>0</v>
      </c>
      <c r="O337" s="40">
        <v>0</v>
      </c>
      <c r="P337" s="40">
        <v>0</v>
      </c>
      <c r="Q337" s="40">
        <v>0</v>
      </c>
      <c r="R337" s="40">
        <v>0</v>
      </c>
      <c r="S337" s="40">
        <v>0</v>
      </c>
      <c r="T337" s="40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 spans="1:53">
      <c r="A338" s="40">
        <v>332</v>
      </c>
      <c r="B338" s="41" t="s">
        <v>434</v>
      </c>
      <c r="C338" s="38">
        <f>COUNTIFS(F338:T338,"&gt;0",$F$3:T$3,"&lt;13")</f>
        <v>0</v>
      </c>
      <c r="D338" s="38">
        <f ca="1">SUMIF($F$3:T$3,"&lt;13",F338:T338)</f>
        <v>0</v>
      </c>
      <c r="E338" s="40">
        <f ca="1">IFERROR(__xludf.DUMMYFUNCTION("ARRAY_CONSTRAIN(ARRAYFORMULA(SUMPRODUCT(LARGE(FILTER(F338:T338, F$3:T$3 &lt; 13),{1,2,3,4,5,6,7}))), 1, 1)"),0)</f>
        <v>0</v>
      </c>
      <c r="F338" s="38">
        <v>0</v>
      </c>
      <c r="G338" s="38">
        <v>0</v>
      </c>
      <c r="H338" s="38">
        <v>0</v>
      </c>
      <c r="I338" s="38">
        <v>0</v>
      </c>
      <c r="J338" s="38">
        <v>0</v>
      </c>
      <c r="K338" s="38">
        <v>0</v>
      </c>
      <c r="L338" s="38">
        <v>0</v>
      </c>
      <c r="M338" s="38">
        <v>0</v>
      </c>
      <c r="N338" s="40">
        <v>0</v>
      </c>
      <c r="O338" s="40">
        <v>0</v>
      </c>
      <c r="P338" s="40">
        <v>0</v>
      </c>
      <c r="Q338" s="40">
        <v>0</v>
      </c>
      <c r="R338" s="40">
        <v>0</v>
      </c>
      <c r="S338" s="40">
        <v>0</v>
      </c>
      <c r="T338" s="40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>
      <c r="A339" s="40">
        <v>333</v>
      </c>
      <c r="B339" s="41" t="s">
        <v>435</v>
      </c>
      <c r="C339" s="38">
        <f>COUNTIFS(F339:T339,"&gt;0",$F$3:T$3,"&lt;13")</f>
        <v>0</v>
      </c>
      <c r="D339" s="38">
        <f ca="1">SUMIF($F$3:T$3,"&lt;13",F339:T339)</f>
        <v>0</v>
      </c>
      <c r="E339" s="40">
        <f ca="1">IFERROR(__xludf.DUMMYFUNCTION("ARRAY_CONSTRAIN(ARRAYFORMULA(SUMPRODUCT(LARGE(FILTER(F339:T339, F$3:T$3 &lt; 13),{1,2,3,4,5,6,7}))), 1, 1)"),0)</f>
        <v>0</v>
      </c>
      <c r="F339" s="38">
        <v>0</v>
      </c>
      <c r="G339" s="38">
        <v>0</v>
      </c>
      <c r="H339" s="38">
        <v>0</v>
      </c>
      <c r="I339" s="38">
        <v>0</v>
      </c>
      <c r="J339" s="38">
        <v>0</v>
      </c>
      <c r="K339" s="38">
        <v>0</v>
      </c>
      <c r="L339" s="38">
        <v>0</v>
      </c>
      <c r="M339" s="38">
        <v>0</v>
      </c>
      <c r="N339" s="40">
        <v>0</v>
      </c>
      <c r="O339" s="40">
        <v>0</v>
      </c>
      <c r="P339" s="40">
        <v>0</v>
      </c>
      <c r="Q339" s="40">
        <v>0</v>
      </c>
      <c r="R339" s="40">
        <v>0</v>
      </c>
      <c r="S339" s="40">
        <v>0</v>
      </c>
      <c r="T339" s="40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>
      <c r="A340" s="40">
        <v>334</v>
      </c>
      <c r="B340" s="41" t="s">
        <v>436</v>
      </c>
      <c r="C340" s="38">
        <f>COUNTIFS(F340:T340,"&gt;0",$F$3:T$3,"&lt;13")</f>
        <v>0</v>
      </c>
      <c r="D340" s="38">
        <f ca="1">SUMIF($F$3:T$3,"&lt;13",F340:T340)</f>
        <v>0</v>
      </c>
      <c r="E340" s="40">
        <f ca="1">IFERROR(__xludf.DUMMYFUNCTION("ARRAY_CONSTRAIN(ARRAYFORMULA(SUMPRODUCT(LARGE(FILTER(F340:T340, F$3:T$3 &lt; 13),{1,2,3,4,5,6,7}))), 1, 1)"),0)</f>
        <v>0</v>
      </c>
      <c r="F340" s="38">
        <v>0</v>
      </c>
      <c r="G340" s="38">
        <v>0</v>
      </c>
      <c r="H340" s="38">
        <v>0</v>
      </c>
      <c r="I340" s="38">
        <v>0</v>
      </c>
      <c r="J340" s="38">
        <v>0</v>
      </c>
      <c r="K340" s="38">
        <v>0</v>
      </c>
      <c r="L340" s="38">
        <v>0</v>
      </c>
      <c r="M340" s="38">
        <v>0</v>
      </c>
      <c r="N340" s="40">
        <v>0</v>
      </c>
      <c r="O340" s="40">
        <v>0</v>
      </c>
      <c r="P340" s="40">
        <v>0</v>
      </c>
      <c r="Q340" s="40">
        <v>0</v>
      </c>
      <c r="R340" s="40">
        <v>0</v>
      </c>
      <c r="S340" s="40">
        <v>0</v>
      </c>
      <c r="T340" s="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>
      <c r="A341" s="40">
        <v>335</v>
      </c>
      <c r="B341" s="41" t="s">
        <v>437</v>
      </c>
      <c r="C341" s="38">
        <f>COUNTIFS(F341:T341,"&gt;0",$F$3:T$3,"&lt;13")</f>
        <v>0</v>
      </c>
      <c r="D341" s="38">
        <f ca="1">SUMIF($F$3:T$3,"&lt;13",F341:T341)</f>
        <v>0</v>
      </c>
      <c r="E341" s="40">
        <f ca="1">IFERROR(__xludf.DUMMYFUNCTION("ARRAY_CONSTRAIN(ARRAYFORMULA(SUMPRODUCT(LARGE(FILTER(F341:T341, F$3:T$3 &lt; 13),{1,2,3,4,5,6,7}))), 1, 1)"),0)</f>
        <v>0</v>
      </c>
      <c r="F341" s="38">
        <v>0</v>
      </c>
      <c r="G341" s="38">
        <v>0</v>
      </c>
      <c r="H341" s="38">
        <v>0</v>
      </c>
      <c r="I341" s="38">
        <v>0</v>
      </c>
      <c r="J341" s="38">
        <v>0</v>
      </c>
      <c r="K341" s="38">
        <v>0</v>
      </c>
      <c r="L341" s="38">
        <v>0</v>
      </c>
      <c r="M341" s="38">
        <v>0</v>
      </c>
      <c r="N341" s="40">
        <v>0</v>
      </c>
      <c r="O341" s="40">
        <v>0</v>
      </c>
      <c r="P341" s="40">
        <v>0</v>
      </c>
      <c r="Q341" s="40">
        <v>0</v>
      </c>
      <c r="R341" s="40">
        <v>0</v>
      </c>
      <c r="S341" s="40">
        <v>0</v>
      </c>
      <c r="T341" s="40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>
      <c r="A342" s="40">
        <v>336</v>
      </c>
      <c r="B342" s="41" t="s">
        <v>438</v>
      </c>
      <c r="C342" s="38">
        <f>COUNTIFS(F342:T342,"&gt;0",$F$3:T$3,"&lt;13")</f>
        <v>0</v>
      </c>
      <c r="D342" s="38">
        <f ca="1">SUMIF($F$3:T$3,"&lt;13",F342:T342)</f>
        <v>0</v>
      </c>
      <c r="E342" s="40">
        <f ca="1">IFERROR(__xludf.DUMMYFUNCTION("ARRAY_CONSTRAIN(ARRAYFORMULA(SUMPRODUCT(LARGE(FILTER(F342:T342, F$3:T$3 &lt; 13),{1,2,3,4,5,6,7}))), 1, 1)"),0)</f>
        <v>0</v>
      </c>
      <c r="F342" s="38">
        <v>0</v>
      </c>
      <c r="G342" s="38">
        <v>0</v>
      </c>
      <c r="H342" s="38">
        <v>0</v>
      </c>
      <c r="I342" s="38">
        <v>0</v>
      </c>
      <c r="J342" s="38">
        <v>0</v>
      </c>
      <c r="K342" s="38">
        <v>0</v>
      </c>
      <c r="L342" s="38">
        <v>0</v>
      </c>
      <c r="M342" s="38">
        <v>0</v>
      </c>
      <c r="N342" s="40">
        <v>0</v>
      </c>
      <c r="O342" s="40">
        <v>0</v>
      </c>
      <c r="P342" s="40">
        <v>0</v>
      </c>
      <c r="Q342" s="40">
        <v>0</v>
      </c>
      <c r="R342" s="40">
        <v>0</v>
      </c>
      <c r="S342" s="40">
        <v>0</v>
      </c>
      <c r="T342" s="40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spans="1:53">
      <c r="A343" s="40">
        <v>337</v>
      </c>
      <c r="B343" s="41" t="s">
        <v>439</v>
      </c>
      <c r="C343" s="38">
        <f>COUNTIFS(F343:T343,"&gt;0",$F$3:T$3,"&lt;13")</f>
        <v>0</v>
      </c>
      <c r="D343" s="38">
        <f ca="1">SUMIF($F$3:T$3,"&lt;13",F343:T343)</f>
        <v>0</v>
      </c>
      <c r="E343" s="40">
        <f ca="1">IFERROR(__xludf.DUMMYFUNCTION("ARRAY_CONSTRAIN(ARRAYFORMULA(SUMPRODUCT(LARGE(FILTER(F343:T343, F$3:T$3 &lt; 13),{1,2,3,4,5,6,7}))), 1, 1)"),0)</f>
        <v>0</v>
      </c>
      <c r="F343" s="38">
        <v>0</v>
      </c>
      <c r="G343" s="38">
        <v>0</v>
      </c>
      <c r="H343" s="38">
        <v>0</v>
      </c>
      <c r="I343" s="38">
        <v>0</v>
      </c>
      <c r="J343" s="38">
        <v>0</v>
      </c>
      <c r="K343" s="38">
        <v>0</v>
      </c>
      <c r="L343" s="38">
        <v>0</v>
      </c>
      <c r="M343" s="38">
        <v>0</v>
      </c>
      <c r="N343" s="40">
        <v>0</v>
      </c>
      <c r="O343" s="40">
        <v>0</v>
      </c>
      <c r="P343" s="40">
        <v>0</v>
      </c>
      <c r="Q343" s="40">
        <v>0</v>
      </c>
      <c r="R343" s="40">
        <v>0</v>
      </c>
      <c r="S343" s="40">
        <v>0</v>
      </c>
      <c r="T343" s="40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>
      <c r="A344" s="40">
        <v>338</v>
      </c>
      <c r="B344" s="41" t="s">
        <v>440</v>
      </c>
      <c r="C344" s="38">
        <f>COUNTIFS(F344:T344,"&gt;0",$F$3:T$3,"&lt;13")</f>
        <v>0</v>
      </c>
      <c r="D344" s="38">
        <f ca="1">SUMIF($F$3:T$3,"&lt;13",F344:T344)</f>
        <v>0</v>
      </c>
      <c r="E344" s="40">
        <f ca="1">IFERROR(__xludf.DUMMYFUNCTION("ARRAY_CONSTRAIN(ARRAYFORMULA(SUMPRODUCT(LARGE(FILTER(F344:T344, F$3:T$3 &lt; 13),{1,2,3,4,5,6,7}))), 1, 1)"),0)</f>
        <v>0</v>
      </c>
      <c r="F344" s="38">
        <v>0</v>
      </c>
      <c r="G344" s="38">
        <v>0</v>
      </c>
      <c r="H344" s="38">
        <v>0</v>
      </c>
      <c r="I344" s="38">
        <v>0</v>
      </c>
      <c r="J344" s="38">
        <v>0</v>
      </c>
      <c r="K344" s="38">
        <v>0</v>
      </c>
      <c r="L344" s="38">
        <v>0</v>
      </c>
      <c r="M344" s="38">
        <v>0</v>
      </c>
      <c r="N344" s="40">
        <v>0</v>
      </c>
      <c r="O344" s="40">
        <v>0</v>
      </c>
      <c r="P344" s="40">
        <v>0</v>
      </c>
      <c r="Q344" s="40">
        <v>0</v>
      </c>
      <c r="R344" s="40">
        <v>0</v>
      </c>
      <c r="S344" s="40">
        <v>0</v>
      </c>
      <c r="T344" s="40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>
      <c r="A345" s="40">
        <v>339</v>
      </c>
      <c r="B345" s="41" t="s">
        <v>441</v>
      </c>
      <c r="C345" s="38">
        <f>COUNTIFS(F345:T345,"&gt;0",$F$3:T$3,"&lt;13")</f>
        <v>0</v>
      </c>
      <c r="D345" s="38">
        <f ca="1">SUMIF($F$3:T$3,"&lt;13",F345:T345)</f>
        <v>0</v>
      </c>
      <c r="E345" s="40">
        <f ca="1">IFERROR(__xludf.DUMMYFUNCTION("ARRAY_CONSTRAIN(ARRAYFORMULA(SUMPRODUCT(LARGE(FILTER(F345:T345, F$3:T$3 &lt; 13),{1,2,3,4,5,6,7}))), 1, 1)"),0)</f>
        <v>0</v>
      </c>
      <c r="F345" s="38">
        <v>0</v>
      </c>
      <c r="G345" s="38">
        <v>0</v>
      </c>
      <c r="H345" s="38">
        <v>0</v>
      </c>
      <c r="I345" s="38">
        <v>0</v>
      </c>
      <c r="J345" s="38">
        <v>0</v>
      </c>
      <c r="K345" s="38">
        <v>0</v>
      </c>
      <c r="L345" s="38">
        <v>0</v>
      </c>
      <c r="M345" s="38">
        <v>0</v>
      </c>
      <c r="N345" s="40">
        <v>0</v>
      </c>
      <c r="O345" s="40">
        <v>0</v>
      </c>
      <c r="P345" s="40">
        <v>0</v>
      </c>
      <c r="Q345" s="40">
        <v>0</v>
      </c>
      <c r="R345" s="40">
        <v>0</v>
      </c>
      <c r="S345" s="40">
        <v>0</v>
      </c>
      <c r="T345" s="40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>
      <c r="A346" s="40">
        <v>340</v>
      </c>
      <c r="B346" s="41" t="s">
        <v>442</v>
      </c>
      <c r="C346" s="38">
        <f>COUNTIFS(F346:T346,"&gt;0",$F$3:T$3,"&lt;13")</f>
        <v>0</v>
      </c>
      <c r="D346" s="38">
        <f ca="1">SUMIF($F$3:T$3,"&lt;13",F346:T346)</f>
        <v>0</v>
      </c>
      <c r="E346" s="40">
        <f ca="1">IFERROR(__xludf.DUMMYFUNCTION("ARRAY_CONSTRAIN(ARRAYFORMULA(SUMPRODUCT(LARGE(FILTER(F346:T346, F$3:T$3 &lt; 13),{1,2,3,4,5,6,7}))), 1, 1)"),0)</f>
        <v>0</v>
      </c>
      <c r="F346" s="38">
        <v>0</v>
      </c>
      <c r="G346" s="38">
        <v>0</v>
      </c>
      <c r="H346" s="38">
        <v>0</v>
      </c>
      <c r="I346" s="38">
        <v>0</v>
      </c>
      <c r="J346" s="38">
        <v>0</v>
      </c>
      <c r="K346" s="38">
        <v>0</v>
      </c>
      <c r="L346" s="38">
        <v>0</v>
      </c>
      <c r="M346" s="38">
        <v>0</v>
      </c>
      <c r="N346" s="40">
        <v>0</v>
      </c>
      <c r="O346" s="40">
        <v>0</v>
      </c>
      <c r="P346" s="40">
        <v>0</v>
      </c>
      <c r="Q346" s="40">
        <v>0</v>
      </c>
      <c r="R346" s="40">
        <v>0</v>
      </c>
      <c r="S346" s="40">
        <v>0</v>
      </c>
      <c r="T346" s="40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>
      <c r="A347" s="40">
        <v>341</v>
      </c>
      <c r="B347" s="41" t="s">
        <v>443</v>
      </c>
      <c r="C347" s="38">
        <f>COUNTIFS(F347:T347,"&gt;0",$F$3:T$3,"&lt;13")</f>
        <v>0</v>
      </c>
      <c r="D347" s="38">
        <f ca="1">SUMIF($F$3:T$3,"&lt;13",F347:T347)</f>
        <v>0</v>
      </c>
      <c r="E347" s="40">
        <f ca="1">IFERROR(__xludf.DUMMYFUNCTION("ARRAY_CONSTRAIN(ARRAYFORMULA(SUMPRODUCT(LARGE(FILTER(F347:T347, F$3:T$3 &lt; 13),{1,2,3,4,5,6,7}))), 1, 1)"),0)</f>
        <v>0</v>
      </c>
      <c r="F347" s="38">
        <v>0</v>
      </c>
      <c r="G347" s="38">
        <v>0</v>
      </c>
      <c r="H347" s="38">
        <v>0</v>
      </c>
      <c r="I347" s="38">
        <v>0</v>
      </c>
      <c r="J347" s="38">
        <v>0</v>
      </c>
      <c r="K347" s="38">
        <v>0</v>
      </c>
      <c r="L347" s="38">
        <v>0</v>
      </c>
      <c r="M347" s="38">
        <v>0</v>
      </c>
      <c r="N347" s="40">
        <v>0</v>
      </c>
      <c r="O347" s="40">
        <v>0</v>
      </c>
      <c r="P347" s="40">
        <v>0</v>
      </c>
      <c r="Q347" s="40">
        <v>0</v>
      </c>
      <c r="R347" s="40">
        <v>0</v>
      </c>
      <c r="S347" s="40">
        <v>0</v>
      </c>
      <c r="T347" s="40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>
      <c r="A348" s="40">
        <v>342</v>
      </c>
      <c r="B348" s="41" t="s">
        <v>444</v>
      </c>
      <c r="C348" s="38">
        <f>COUNTIFS(F348:T348,"&gt;0",$F$3:T$3,"&lt;13")</f>
        <v>0</v>
      </c>
      <c r="D348" s="38">
        <f ca="1">SUMIF($F$3:T$3,"&lt;13",F348:T348)</f>
        <v>0</v>
      </c>
      <c r="E348" s="40">
        <f ca="1">IFERROR(__xludf.DUMMYFUNCTION("ARRAY_CONSTRAIN(ARRAYFORMULA(SUMPRODUCT(LARGE(FILTER(F348:T348, F$3:T$3 &lt; 13),{1,2,3,4,5,6,7}))), 1, 1)"),0)</f>
        <v>0</v>
      </c>
      <c r="F348" s="38">
        <v>0</v>
      </c>
      <c r="G348" s="38">
        <v>0</v>
      </c>
      <c r="H348" s="38">
        <v>0</v>
      </c>
      <c r="I348" s="38">
        <v>0</v>
      </c>
      <c r="J348" s="38">
        <v>0</v>
      </c>
      <c r="K348" s="38">
        <v>0</v>
      </c>
      <c r="L348" s="38">
        <v>0</v>
      </c>
      <c r="M348" s="38">
        <v>0</v>
      </c>
      <c r="N348" s="40">
        <v>0</v>
      </c>
      <c r="O348" s="40">
        <v>0</v>
      </c>
      <c r="P348" s="40">
        <v>0</v>
      </c>
      <c r="Q348" s="40">
        <v>0</v>
      </c>
      <c r="R348" s="40">
        <v>0</v>
      </c>
      <c r="S348" s="40">
        <v>0</v>
      </c>
      <c r="T348" s="40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>
      <c r="A349" s="40">
        <v>344</v>
      </c>
      <c r="B349" t="s">
        <v>445</v>
      </c>
      <c r="F349" s="38"/>
      <c r="G349" s="38"/>
      <c r="H349" s="38"/>
      <c r="I349" s="38">
        <v>0</v>
      </c>
      <c r="J349" s="38">
        <v>0</v>
      </c>
      <c r="K349" s="38">
        <v>0</v>
      </c>
      <c r="L349" s="38">
        <v>0</v>
      </c>
      <c r="M349" s="38">
        <v>0</v>
      </c>
      <c r="N349" s="40">
        <v>0</v>
      </c>
      <c r="O349" s="40">
        <v>0</v>
      </c>
      <c r="P349" s="40">
        <v>0</v>
      </c>
      <c r="Q349" s="40">
        <v>0</v>
      </c>
      <c r="R349" s="40">
        <v>0</v>
      </c>
      <c r="S349" s="40">
        <v>0</v>
      </c>
      <c r="T349" s="40">
        <v>0</v>
      </c>
      <c r="U349">
        <v>50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>
      <c r="A350" s="40">
        <v>345</v>
      </c>
      <c r="B350" t="s">
        <v>446</v>
      </c>
      <c r="F350" s="38"/>
      <c r="G350" s="38"/>
      <c r="H350" s="38"/>
      <c r="I350" s="38">
        <v>0</v>
      </c>
      <c r="J350" s="38">
        <v>0</v>
      </c>
      <c r="K350" s="38">
        <v>0</v>
      </c>
      <c r="L350" s="38">
        <v>0</v>
      </c>
      <c r="M350" s="38">
        <v>0</v>
      </c>
      <c r="N350" s="40">
        <v>0</v>
      </c>
      <c r="O350" s="40">
        <v>0</v>
      </c>
      <c r="P350" s="40">
        <v>0</v>
      </c>
      <c r="Q350" s="40">
        <v>0</v>
      </c>
      <c r="R350" s="40">
        <v>0</v>
      </c>
      <c r="S350" s="40">
        <v>0</v>
      </c>
      <c r="T350" s="40">
        <v>0</v>
      </c>
      <c r="U350">
        <v>40</v>
      </c>
      <c r="V350">
        <v>100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>
      <c r="A351" s="40">
        <v>346</v>
      </c>
      <c r="B351" t="s">
        <v>447</v>
      </c>
      <c r="F351" s="38"/>
      <c r="G351" s="38"/>
      <c r="H351" s="38"/>
      <c r="I351" s="38">
        <v>0</v>
      </c>
      <c r="J351" s="38">
        <v>0</v>
      </c>
      <c r="K351" s="38">
        <v>0</v>
      </c>
      <c r="L351" s="38">
        <v>0</v>
      </c>
      <c r="M351" s="38">
        <v>0</v>
      </c>
      <c r="N351" s="40">
        <v>0</v>
      </c>
      <c r="O351" s="40">
        <v>0</v>
      </c>
      <c r="P351" s="40">
        <v>0</v>
      </c>
      <c r="Q351" s="40">
        <v>0</v>
      </c>
      <c r="R351" s="40">
        <v>0</v>
      </c>
      <c r="S351" s="40">
        <v>0</v>
      </c>
      <c r="T351" s="40">
        <v>0</v>
      </c>
      <c r="U351">
        <v>35</v>
      </c>
      <c r="V351">
        <v>90</v>
      </c>
      <c r="W351">
        <v>0</v>
      </c>
      <c r="X351">
        <v>30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>
      <c r="A352" s="40">
        <v>347</v>
      </c>
      <c r="B352" t="s">
        <v>448</v>
      </c>
      <c r="F352" s="38"/>
      <c r="G352" s="38"/>
      <c r="H352" s="38"/>
      <c r="I352" s="38">
        <v>0</v>
      </c>
      <c r="J352" s="38">
        <v>0</v>
      </c>
      <c r="K352" s="38">
        <v>0</v>
      </c>
      <c r="L352" s="38">
        <v>0</v>
      </c>
      <c r="M352" s="38">
        <v>0</v>
      </c>
      <c r="N352" s="40">
        <v>0</v>
      </c>
      <c r="O352" s="40">
        <v>0</v>
      </c>
      <c r="P352" s="40">
        <v>0</v>
      </c>
      <c r="Q352" s="40">
        <v>0</v>
      </c>
      <c r="R352" s="40">
        <v>0</v>
      </c>
      <c r="S352" s="40">
        <v>0</v>
      </c>
      <c r="T352" s="40">
        <v>0</v>
      </c>
      <c r="U352">
        <v>30</v>
      </c>
      <c r="V352">
        <v>80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>
      <c r="A353" s="40">
        <v>348</v>
      </c>
      <c r="B353" t="s">
        <v>449</v>
      </c>
      <c r="F353" s="38"/>
      <c r="G353" s="38"/>
      <c r="H353" s="38"/>
      <c r="I353" s="38">
        <v>0</v>
      </c>
      <c r="J353" s="38">
        <v>0</v>
      </c>
      <c r="K353" s="38">
        <v>0</v>
      </c>
      <c r="L353" s="38">
        <v>0</v>
      </c>
      <c r="M353" s="38">
        <v>0</v>
      </c>
      <c r="N353" s="40">
        <v>0</v>
      </c>
      <c r="O353" s="40">
        <v>0</v>
      </c>
      <c r="P353" s="40">
        <v>0</v>
      </c>
      <c r="Q353" s="40">
        <v>0</v>
      </c>
      <c r="R353" s="40">
        <v>0</v>
      </c>
      <c r="S353" s="40">
        <v>0</v>
      </c>
      <c r="T353" s="40">
        <v>0</v>
      </c>
      <c r="U353">
        <v>25</v>
      </c>
      <c r="V353">
        <v>0</v>
      </c>
      <c r="W353">
        <v>40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>
      <c r="A354" s="40">
        <v>349</v>
      </c>
      <c r="B354" t="s">
        <v>450</v>
      </c>
      <c r="F354" s="38"/>
      <c r="G354" s="38"/>
      <c r="H354" s="38"/>
      <c r="I354" s="38">
        <v>0</v>
      </c>
      <c r="J354" s="38">
        <v>0</v>
      </c>
      <c r="K354" s="38">
        <v>0</v>
      </c>
      <c r="L354" s="38">
        <v>0</v>
      </c>
      <c r="M354" s="38">
        <v>0</v>
      </c>
      <c r="N354" s="40">
        <v>0</v>
      </c>
      <c r="O354" s="40">
        <v>0</v>
      </c>
      <c r="P354" s="40">
        <v>0</v>
      </c>
      <c r="Q354" s="40">
        <v>0</v>
      </c>
      <c r="R354" s="40">
        <v>0</v>
      </c>
      <c r="S354" s="40">
        <v>0</v>
      </c>
      <c r="T354" s="40">
        <v>0</v>
      </c>
      <c r="U354">
        <v>20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>
      <c r="A355" s="40">
        <v>350</v>
      </c>
      <c r="B355" t="s">
        <v>451</v>
      </c>
      <c r="F355" s="38"/>
      <c r="G355" s="38"/>
      <c r="H355" s="38"/>
      <c r="I355" s="38">
        <v>0</v>
      </c>
      <c r="J355" s="38">
        <v>0</v>
      </c>
      <c r="K355" s="38">
        <v>0</v>
      </c>
      <c r="L355" s="38">
        <v>0</v>
      </c>
      <c r="M355" s="38">
        <v>0</v>
      </c>
      <c r="N355" s="40">
        <v>0</v>
      </c>
      <c r="O355" s="40">
        <v>0</v>
      </c>
      <c r="P355" s="40">
        <v>0</v>
      </c>
      <c r="Q355" s="40">
        <v>0</v>
      </c>
      <c r="R355" s="40">
        <v>0</v>
      </c>
      <c r="S355" s="40">
        <v>0</v>
      </c>
      <c r="T355" s="40">
        <v>0</v>
      </c>
      <c r="U355">
        <v>0</v>
      </c>
      <c r="V355">
        <v>0</v>
      </c>
      <c r="W355">
        <v>60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>
      <c r="A356" s="40">
        <v>351</v>
      </c>
      <c r="B356" t="s">
        <v>452</v>
      </c>
      <c r="F356" s="38"/>
      <c r="G356" s="38"/>
      <c r="H356" s="38"/>
      <c r="I356" s="38">
        <v>0</v>
      </c>
      <c r="J356" s="38">
        <v>0</v>
      </c>
      <c r="K356" s="38">
        <v>0</v>
      </c>
      <c r="L356" s="38">
        <v>0</v>
      </c>
      <c r="M356" s="38">
        <v>0</v>
      </c>
      <c r="N356" s="40">
        <v>0</v>
      </c>
      <c r="O356" s="40">
        <v>0</v>
      </c>
      <c r="P356" s="40">
        <v>0</v>
      </c>
      <c r="Q356" s="40">
        <v>0</v>
      </c>
      <c r="R356" s="40">
        <v>0</v>
      </c>
      <c r="S356" s="40">
        <v>0</v>
      </c>
      <c r="T356" s="40">
        <v>0</v>
      </c>
      <c r="U356">
        <v>0</v>
      </c>
      <c r="V356">
        <v>0</v>
      </c>
      <c r="W356">
        <v>60</v>
      </c>
      <c r="X356">
        <v>35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>
      <c r="A357" s="40">
        <v>352</v>
      </c>
      <c r="B357" t="s">
        <v>453</v>
      </c>
      <c r="F357" s="38"/>
      <c r="G357" s="38"/>
      <c r="H357" s="38"/>
      <c r="I357" s="38">
        <v>0</v>
      </c>
      <c r="J357" s="38">
        <v>0</v>
      </c>
      <c r="K357" s="38">
        <v>0</v>
      </c>
      <c r="L357" s="38">
        <v>0</v>
      </c>
      <c r="M357" s="38">
        <v>0</v>
      </c>
      <c r="N357" s="40">
        <v>0</v>
      </c>
      <c r="O357" s="40">
        <v>0</v>
      </c>
      <c r="P357" s="40">
        <v>0</v>
      </c>
      <c r="Q357" s="40">
        <v>0</v>
      </c>
      <c r="R357" s="40">
        <v>0</v>
      </c>
      <c r="S357" s="40">
        <v>0</v>
      </c>
      <c r="T357" s="40">
        <v>0</v>
      </c>
      <c r="U357">
        <v>0</v>
      </c>
      <c r="V357">
        <v>0</v>
      </c>
      <c r="W357">
        <v>60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>
      <c r="A358" s="40">
        <v>353</v>
      </c>
      <c r="B358" t="s">
        <v>454</v>
      </c>
      <c r="F358" s="38"/>
      <c r="G358" s="38"/>
      <c r="H358" s="38"/>
      <c r="I358" s="38">
        <v>0</v>
      </c>
      <c r="J358" s="38">
        <v>0</v>
      </c>
      <c r="K358" s="38">
        <v>0</v>
      </c>
      <c r="L358" s="38">
        <v>0</v>
      </c>
      <c r="M358" s="38">
        <v>0</v>
      </c>
      <c r="N358" s="40">
        <v>0</v>
      </c>
      <c r="O358" s="40">
        <v>0</v>
      </c>
      <c r="P358" s="40">
        <v>0</v>
      </c>
      <c r="Q358" s="40">
        <v>0</v>
      </c>
      <c r="R358" s="40">
        <v>0</v>
      </c>
      <c r="S358" s="40">
        <v>0</v>
      </c>
      <c r="T358" s="40">
        <v>0</v>
      </c>
      <c r="U358">
        <v>0</v>
      </c>
      <c r="V358">
        <v>0</v>
      </c>
      <c r="W358">
        <v>40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>
      <c r="A359" s="40">
        <v>354</v>
      </c>
      <c r="B359" t="s">
        <v>455</v>
      </c>
      <c r="F359" s="38"/>
      <c r="G359" s="38"/>
      <c r="H359" s="38"/>
      <c r="I359" s="38">
        <v>0</v>
      </c>
      <c r="J359" s="38">
        <v>0</v>
      </c>
      <c r="K359" s="38">
        <v>0</v>
      </c>
      <c r="L359" s="38">
        <v>0</v>
      </c>
      <c r="M359" s="38">
        <v>0</v>
      </c>
      <c r="N359" s="40">
        <v>0</v>
      </c>
      <c r="O359" s="40">
        <v>0</v>
      </c>
      <c r="P359" s="40">
        <v>0</v>
      </c>
      <c r="Q359" s="40">
        <v>0</v>
      </c>
      <c r="R359" s="40">
        <v>0</v>
      </c>
      <c r="S359" s="40">
        <v>0</v>
      </c>
      <c r="T359" s="40">
        <v>0</v>
      </c>
      <c r="U359">
        <v>0</v>
      </c>
      <c r="V359">
        <v>0</v>
      </c>
      <c r="W359">
        <v>40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>
      <c r="A360" s="40">
        <v>355</v>
      </c>
      <c r="B360" t="s">
        <v>456</v>
      </c>
      <c r="F360" s="38"/>
      <c r="G360" s="38"/>
      <c r="H360" s="38"/>
      <c r="I360" s="38">
        <v>0</v>
      </c>
      <c r="J360" s="38">
        <v>0</v>
      </c>
      <c r="K360" s="38">
        <v>0</v>
      </c>
      <c r="L360" s="38">
        <v>0</v>
      </c>
      <c r="M360" s="38">
        <v>0</v>
      </c>
      <c r="N360" s="40">
        <v>0</v>
      </c>
      <c r="O360" s="40">
        <v>0</v>
      </c>
      <c r="P360" s="40">
        <v>0</v>
      </c>
      <c r="Q360" s="40">
        <v>0</v>
      </c>
      <c r="R360" s="40">
        <v>0</v>
      </c>
      <c r="S360" s="40">
        <v>0</v>
      </c>
      <c r="T360" s="40">
        <v>0</v>
      </c>
      <c r="U360">
        <v>0</v>
      </c>
      <c r="V360">
        <v>0</v>
      </c>
      <c r="W360">
        <v>40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>
      <c r="A361" s="40">
        <v>356</v>
      </c>
      <c r="B361" t="s">
        <v>457</v>
      </c>
      <c r="F361" s="38"/>
      <c r="G361" s="38"/>
      <c r="H361" s="38"/>
      <c r="I361" s="38">
        <v>0</v>
      </c>
      <c r="J361" s="38">
        <v>0</v>
      </c>
      <c r="K361" s="38">
        <v>0</v>
      </c>
      <c r="L361" s="38">
        <v>0</v>
      </c>
      <c r="M361" s="38">
        <v>0</v>
      </c>
      <c r="N361" s="40">
        <v>0</v>
      </c>
      <c r="O361" s="40">
        <v>0</v>
      </c>
      <c r="P361" s="40">
        <v>0</v>
      </c>
      <c r="Q361" s="40">
        <v>0</v>
      </c>
      <c r="R361" s="40">
        <v>0</v>
      </c>
      <c r="S361" s="40">
        <v>0</v>
      </c>
      <c r="T361" s="40">
        <v>0</v>
      </c>
      <c r="U361">
        <v>0</v>
      </c>
      <c r="V361">
        <v>0</v>
      </c>
      <c r="W361">
        <v>40</v>
      </c>
      <c r="X361">
        <v>45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>
      <c r="A362" s="40">
        <v>357</v>
      </c>
      <c r="B362" t="s">
        <v>458</v>
      </c>
      <c r="F362" s="38"/>
      <c r="G362" s="38"/>
      <c r="H362" s="38"/>
      <c r="I362" s="38">
        <v>0</v>
      </c>
      <c r="J362" s="38">
        <v>0</v>
      </c>
      <c r="K362" s="38">
        <v>0</v>
      </c>
      <c r="L362" s="38">
        <v>0</v>
      </c>
      <c r="M362" s="38">
        <v>0</v>
      </c>
      <c r="N362" s="40">
        <v>0</v>
      </c>
      <c r="O362" s="40">
        <v>0</v>
      </c>
      <c r="P362" s="40">
        <v>0</v>
      </c>
      <c r="Q362" s="40">
        <v>0</v>
      </c>
      <c r="R362" s="40">
        <v>0</v>
      </c>
      <c r="S362" s="40">
        <v>0</v>
      </c>
      <c r="T362" s="40">
        <v>0</v>
      </c>
      <c r="U362">
        <v>0</v>
      </c>
      <c r="V362">
        <v>0</v>
      </c>
      <c r="W362">
        <v>40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>
      <c r="A363" s="40">
        <v>358</v>
      </c>
      <c r="B363" t="s">
        <v>459</v>
      </c>
      <c r="F363" s="38"/>
      <c r="G363" s="38"/>
      <c r="H363" s="38"/>
      <c r="I363" s="38">
        <v>0</v>
      </c>
      <c r="J363" s="38">
        <v>0</v>
      </c>
      <c r="K363" s="38">
        <v>0</v>
      </c>
      <c r="L363" s="38">
        <v>0</v>
      </c>
      <c r="M363" s="38">
        <v>0</v>
      </c>
      <c r="N363" s="40">
        <v>0</v>
      </c>
      <c r="O363" s="40">
        <v>0</v>
      </c>
      <c r="P363" s="40">
        <v>0</v>
      </c>
      <c r="Q363" s="40">
        <v>0</v>
      </c>
      <c r="R363" s="40">
        <v>0</v>
      </c>
      <c r="S363" s="40">
        <v>0</v>
      </c>
      <c r="T363" s="40">
        <v>0</v>
      </c>
      <c r="U363">
        <v>0</v>
      </c>
      <c r="V363">
        <v>0</v>
      </c>
      <c r="W363">
        <v>0</v>
      </c>
      <c r="X363">
        <v>30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>
      <c r="A364" s="40">
        <v>359</v>
      </c>
      <c r="B364" t="s">
        <v>460</v>
      </c>
      <c r="F364" s="38"/>
      <c r="G364" s="38"/>
      <c r="H364" s="38"/>
      <c r="I364" s="38">
        <v>0</v>
      </c>
      <c r="J364" s="38">
        <v>0</v>
      </c>
      <c r="K364" s="38">
        <v>0</v>
      </c>
      <c r="L364" s="38">
        <v>0</v>
      </c>
      <c r="M364" s="38">
        <v>0</v>
      </c>
      <c r="N364" s="40">
        <v>0</v>
      </c>
      <c r="O364" s="40">
        <v>0</v>
      </c>
      <c r="P364" s="40">
        <v>0</v>
      </c>
      <c r="Q364" s="40">
        <v>0</v>
      </c>
      <c r="R364" s="40">
        <v>0</v>
      </c>
      <c r="S364" s="40">
        <v>0</v>
      </c>
      <c r="T364" s="40">
        <v>0</v>
      </c>
      <c r="U364">
        <v>0</v>
      </c>
      <c r="V364">
        <v>0</v>
      </c>
      <c r="W364">
        <v>0</v>
      </c>
      <c r="X364">
        <v>0</v>
      </c>
      <c r="Y364">
        <v>50</v>
      </c>
      <c r="Z364">
        <v>60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>
      <c r="A365" s="40">
        <v>360</v>
      </c>
      <c r="B365" t="s">
        <v>461</v>
      </c>
      <c r="F365" s="38"/>
      <c r="G365" s="38"/>
      <c r="H365" s="38"/>
      <c r="I365" s="38">
        <v>0</v>
      </c>
      <c r="J365" s="38">
        <v>0</v>
      </c>
      <c r="K365" s="38">
        <v>0</v>
      </c>
      <c r="L365" s="38">
        <v>0</v>
      </c>
      <c r="M365" s="38">
        <v>0</v>
      </c>
      <c r="N365" s="40">
        <v>0</v>
      </c>
      <c r="O365" s="40">
        <v>0</v>
      </c>
      <c r="P365" s="40">
        <v>0</v>
      </c>
      <c r="Q365" s="40">
        <v>0</v>
      </c>
      <c r="R365" s="40">
        <v>0</v>
      </c>
      <c r="S365" s="40">
        <v>0</v>
      </c>
      <c r="T365" s="40">
        <v>0</v>
      </c>
      <c r="U365">
        <v>0</v>
      </c>
      <c r="V365">
        <v>0</v>
      </c>
      <c r="W365">
        <v>0</v>
      </c>
      <c r="X365">
        <v>0</v>
      </c>
      <c r="Y365">
        <v>30</v>
      </c>
      <c r="Z365">
        <v>60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>
      <c r="A366" s="40">
        <v>361</v>
      </c>
      <c r="B366" t="s">
        <v>462</v>
      </c>
      <c r="F366" s="38"/>
      <c r="G366" s="38"/>
      <c r="H366" s="38"/>
      <c r="I366" s="38">
        <v>0</v>
      </c>
      <c r="J366" s="38">
        <v>0</v>
      </c>
      <c r="K366" s="38">
        <v>0</v>
      </c>
      <c r="L366" s="38">
        <v>0</v>
      </c>
      <c r="M366" s="38">
        <v>0</v>
      </c>
      <c r="N366" s="40">
        <v>0</v>
      </c>
      <c r="O366" s="40">
        <v>0</v>
      </c>
      <c r="P366" s="40">
        <v>0</v>
      </c>
      <c r="Q366" s="40">
        <v>0</v>
      </c>
      <c r="R366" s="40">
        <v>0</v>
      </c>
      <c r="S366" s="40">
        <v>0</v>
      </c>
      <c r="T366" s="40">
        <v>0</v>
      </c>
      <c r="U366">
        <v>0</v>
      </c>
      <c r="V366">
        <v>0</v>
      </c>
      <c r="W366">
        <v>0</v>
      </c>
      <c r="X366">
        <v>0</v>
      </c>
      <c r="Y366">
        <v>25</v>
      </c>
      <c r="Z366">
        <v>50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>
      <c r="A367" s="40">
        <v>362</v>
      </c>
      <c r="B367" t="s">
        <v>463</v>
      </c>
      <c r="F367" s="38"/>
      <c r="G367" s="38"/>
      <c r="H367" s="38"/>
      <c r="I367" s="38">
        <v>0</v>
      </c>
      <c r="J367" s="38">
        <v>0</v>
      </c>
      <c r="K367" s="38">
        <v>0</v>
      </c>
      <c r="L367" s="38">
        <v>0</v>
      </c>
      <c r="M367" s="38">
        <v>0</v>
      </c>
      <c r="N367" s="40">
        <v>0</v>
      </c>
      <c r="O367" s="40">
        <v>0</v>
      </c>
      <c r="P367" s="40">
        <v>0</v>
      </c>
      <c r="Q367" s="40">
        <v>0</v>
      </c>
      <c r="R367" s="40">
        <v>0</v>
      </c>
      <c r="S367" s="40">
        <v>0</v>
      </c>
      <c r="T367" s="40">
        <v>0</v>
      </c>
      <c r="U367">
        <v>0</v>
      </c>
      <c r="V367">
        <v>0</v>
      </c>
      <c r="W367">
        <v>0</v>
      </c>
      <c r="X367">
        <v>0</v>
      </c>
      <c r="Y367">
        <v>25</v>
      </c>
      <c r="Z367">
        <v>50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>
      <c r="A368" s="40">
        <v>363</v>
      </c>
      <c r="B368" t="s">
        <v>464</v>
      </c>
      <c r="F368" s="38"/>
      <c r="G368" s="38"/>
      <c r="H368" s="38"/>
      <c r="I368" s="38">
        <v>0</v>
      </c>
      <c r="J368" s="38">
        <v>0</v>
      </c>
      <c r="K368" s="38">
        <v>0</v>
      </c>
      <c r="L368" s="38">
        <v>0</v>
      </c>
      <c r="M368" s="38">
        <v>0</v>
      </c>
      <c r="N368" s="40">
        <v>0</v>
      </c>
      <c r="O368" s="40">
        <v>0</v>
      </c>
      <c r="P368" s="40">
        <v>0</v>
      </c>
      <c r="Q368" s="40">
        <v>0</v>
      </c>
      <c r="R368" s="40">
        <v>0</v>
      </c>
      <c r="S368" s="40">
        <v>0</v>
      </c>
      <c r="T368" s="40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>
      <c r="A369" s="40">
        <v>364</v>
      </c>
      <c r="B369" t="s">
        <v>465</v>
      </c>
      <c r="F369" s="38"/>
      <c r="G369" s="38"/>
      <c r="H369" s="38"/>
      <c r="I369" s="38">
        <v>0</v>
      </c>
      <c r="J369" s="38">
        <v>0</v>
      </c>
      <c r="K369" s="38">
        <v>0</v>
      </c>
      <c r="L369" s="38">
        <v>0</v>
      </c>
      <c r="M369" s="38">
        <v>0</v>
      </c>
      <c r="N369" s="40">
        <v>0</v>
      </c>
      <c r="O369" s="40">
        <v>0</v>
      </c>
      <c r="P369" s="40">
        <v>0</v>
      </c>
      <c r="Q369" s="40">
        <v>0</v>
      </c>
      <c r="R369" s="40">
        <v>0</v>
      </c>
      <c r="S369" s="40">
        <v>0</v>
      </c>
      <c r="T369" s="40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25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>
      <c r="A370" s="40">
        <v>365</v>
      </c>
      <c r="B370" t="s">
        <v>466</v>
      </c>
      <c r="F370" s="38"/>
      <c r="G370" s="38"/>
      <c r="H370" s="38"/>
      <c r="I370" s="38">
        <v>0</v>
      </c>
      <c r="J370" s="38">
        <v>0</v>
      </c>
      <c r="K370" s="38">
        <v>0</v>
      </c>
      <c r="L370" s="38">
        <v>0</v>
      </c>
      <c r="M370" s="38">
        <v>0</v>
      </c>
      <c r="N370" s="40">
        <v>0</v>
      </c>
      <c r="O370" s="40">
        <v>0</v>
      </c>
      <c r="P370" s="40">
        <v>0</v>
      </c>
      <c r="Q370" s="40">
        <v>0</v>
      </c>
      <c r="R370" s="40">
        <v>0</v>
      </c>
      <c r="S370" s="40">
        <v>0</v>
      </c>
      <c r="T370" s="4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45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>
      <c r="A371" s="40">
        <v>366</v>
      </c>
      <c r="B371" t="s">
        <v>467</v>
      </c>
      <c r="F371" s="38"/>
      <c r="G371" s="38"/>
      <c r="H371" s="38"/>
      <c r="I371" s="38">
        <v>0</v>
      </c>
      <c r="J371" s="38">
        <v>0</v>
      </c>
      <c r="K371" s="38">
        <v>0</v>
      </c>
      <c r="L371" s="38">
        <v>0</v>
      </c>
      <c r="M371" s="38">
        <v>0</v>
      </c>
      <c r="N371" s="40">
        <v>0</v>
      </c>
      <c r="O371" s="40">
        <v>0</v>
      </c>
      <c r="P371" s="40">
        <v>0</v>
      </c>
      <c r="Q371" s="40">
        <v>0</v>
      </c>
      <c r="R371" s="40">
        <v>0</v>
      </c>
      <c r="S371" s="40">
        <v>0</v>
      </c>
      <c r="T371" s="4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>
      <c r="A372" s="40">
        <v>367</v>
      </c>
      <c r="B372" t="s">
        <v>468</v>
      </c>
      <c r="F372" s="38"/>
      <c r="G372" s="38"/>
      <c r="H372" s="38"/>
      <c r="I372" s="38">
        <v>0</v>
      </c>
      <c r="J372" s="38">
        <v>0</v>
      </c>
      <c r="K372" s="38">
        <v>0</v>
      </c>
      <c r="L372" s="38">
        <v>0</v>
      </c>
      <c r="M372" s="38">
        <v>0</v>
      </c>
      <c r="N372" s="40">
        <v>0</v>
      </c>
      <c r="O372" s="40">
        <v>0</v>
      </c>
      <c r="P372" s="40">
        <v>0</v>
      </c>
      <c r="Q372" s="40">
        <v>0</v>
      </c>
      <c r="R372" s="40">
        <v>0</v>
      </c>
      <c r="S372" s="40">
        <v>0</v>
      </c>
      <c r="T372" s="4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60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>
      <c r="A373" s="40">
        <v>368</v>
      </c>
      <c r="B373" t="s">
        <v>469</v>
      </c>
      <c r="F373" s="38"/>
      <c r="G373" s="38"/>
      <c r="H373" s="38"/>
      <c r="I373" s="38">
        <v>0</v>
      </c>
      <c r="J373" s="38">
        <v>0</v>
      </c>
      <c r="K373" s="38">
        <v>0</v>
      </c>
      <c r="L373" s="38">
        <v>0</v>
      </c>
      <c r="M373" s="38">
        <v>0</v>
      </c>
      <c r="N373" s="40">
        <v>0</v>
      </c>
      <c r="O373" s="40">
        <v>0</v>
      </c>
      <c r="P373" s="40">
        <v>0</v>
      </c>
      <c r="Q373" s="40">
        <v>0</v>
      </c>
      <c r="R373" s="40">
        <v>0</v>
      </c>
      <c r="S373" s="40">
        <v>0</v>
      </c>
      <c r="T373" s="40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>
      <c r="A374" s="40">
        <v>369</v>
      </c>
      <c r="B374" t="s">
        <v>470</v>
      </c>
      <c r="F374" s="38"/>
      <c r="G374" s="38"/>
      <c r="H374" s="38"/>
      <c r="I374" s="38">
        <v>0</v>
      </c>
      <c r="J374" s="38">
        <v>0</v>
      </c>
      <c r="K374" s="38">
        <v>0</v>
      </c>
      <c r="L374" s="38">
        <v>0</v>
      </c>
      <c r="M374" s="38">
        <v>0</v>
      </c>
      <c r="N374" s="40">
        <v>0</v>
      </c>
      <c r="O374" s="40">
        <v>0</v>
      </c>
      <c r="P374" s="40">
        <v>0</v>
      </c>
      <c r="Q374" s="40">
        <v>0</v>
      </c>
      <c r="R374" s="40">
        <v>0</v>
      </c>
      <c r="S374" s="40">
        <v>0</v>
      </c>
      <c r="T374" s="4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60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>
      <c r="A375" s="40">
        <v>370</v>
      </c>
      <c r="B375" t="s">
        <v>471</v>
      </c>
      <c r="F375" s="38"/>
      <c r="G375" s="38"/>
      <c r="H375" s="38"/>
      <c r="I375" s="38">
        <v>0</v>
      </c>
      <c r="J375" s="38">
        <v>0</v>
      </c>
      <c r="K375" s="38">
        <v>0</v>
      </c>
      <c r="L375" s="38">
        <v>0</v>
      </c>
      <c r="M375" s="38">
        <v>0</v>
      </c>
      <c r="N375" s="40">
        <v>0</v>
      </c>
      <c r="O375" s="40">
        <v>0</v>
      </c>
      <c r="P375" s="40">
        <v>0</v>
      </c>
      <c r="Q375" s="40">
        <v>0</v>
      </c>
      <c r="R375" s="40">
        <v>0</v>
      </c>
      <c r="S375" s="40">
        <v>0</v>
      </c>
      <c r="T375" s="4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50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>
      <c r="A376" s="40">
        <v>371</v>
      </c>
      <c r="B376" t="s">
        <v>472</v>
      </c>
      <c r="F376" s="38"/>
      <c r="G376" s="38"/>
      <c r="H376" s="38"/>
      <c r="I376" s="38">
        <v>0</v>
      </c>
      <c r="J376" s="38">
        <v>0</v>
      </c>
      <c r="K376" s="38">
        <v>0</v>
      </c>
      <c r="L376" s="38">
        <v>0</v>
      </c>
      <c r="M376" s="38">
        <v>0</v>
      </c>
      <c r="N376" s="40">
        <v>0</v>
      </c>
      <c r="O376" s="40">
        <v>0</v>
      </c>
      <c r="P376" s="40">
        <v>0</v>
      </c>
      <c r="Q376" s="40">
        <v>0</v>
      </c>
      <c r="R376" s="40">
        <v>0</v>
      </c>
      <c r="S376" s="40">
        <v>0</v>
      </c>
      <c r="T376" s="4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80</v>
      </c>
      <c r="AG376">
        <v>0</v>
      </c>
      <c r="AH376">
        <v>50</v>
      </c>
      <c r="AI376">
        <v>25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>
      <c r="A377" s="40">
        <v>372</v>
      </c>
      <c r="B377" t="s">
        <v>473</v>
      </c>
      <c r="F377" s="38"/>
      <c r="G377" s="38"/>
      <c r="H377" s="38"/>
      <c r="I377" s="38">
        <v>0</v>
      </c>
      <c r="J377" s="38">
        <v>0</v>
      </c>
      <c r="K377" s="38">
        <v>0</v>
      </c>
      <c r="L377" s="38">
        <v>0</v>
      </c>
      <c r="M377" s="38">
        <v>0</v>
      </c>
      <c r="N377" s="40">
        <v>0</v>
      </c>
      <c r="O377" s="40">
        <v>0</v>
      </c>
      <c r="P377" s="40">
        <v>0</v>
      </c>
      <c r="Q377" s="40">
        <v>0</v>
      </c>
      <c r="R377" s="40">
        <v>0</v>
      </c>
      <c r="S377" s="40">
        <v>0</v>
      </c>
      <c r="T377" s="4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60</v>
      </c>
      <c r="AH377">
        <v>70</v>
      </c>
      <c r="AI377">
        <v>25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50</v>
      </c>
      <c r="AQ377">
        <v>30</v>
      </c>
      <c r="AR377">
        <v>50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>
      <c r="A378" s="40">
        <v>373</v>
      </c>
      <c r="B378" t="s">
        <v>474</v>
      </c>
      <c r="F378" s="38"/>
      <c r="G378" s="38"/>
      <c r="H378" s="38"/>
      <c r="I378" s="38">
        <v>0</v>
      </c>
      <c r="J378" s="38">
        <v>0</v>
      </c>
      <c r="K378" s="38">
        <v>0</v>
      </c>
      <c r="L378" s="38">
        <v>0</v>
      </c>
      <c r="M378" s="38">
        <v>0</v>
      </c>
      <c r="N378" s="40">
        <v>0</v>
      </c>
      <c r="O378" s="40">
        <v>0</v>
      </c>
      <c r="P378" s="40">
        <v>0</v>
      </c>
      <c r="Q378" s="40">
        <v>0</v>
      </c>
      <c r="R378" s="40">
        <v>0</v>
      </c>
      <c r="S378" s="40">
        <v>0</v>
      </c>
      <c r="T378" s="4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50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>
      <c r="A379" s="40">
        <v>374</v>
      </c>
      <c r="B379" t="s">
        <v>475</v>
      </c>
      <c r="F379" s="38"/>
      <c r="G379" s="38"/>
      <c r="H379" s="38"/>
      <c r="I379" s="38">
        <v>0</v>
      </c>
      <c r="J379" s="38">
        <v>0</v>
      </c>
      <c r="K379" s="38">
        <v>0</v>
      </c>
      <c r="L379" s="38">
        <v>0</v>
      </c>
      <c r="M379" s="38">
        <v>0</v>
      </c>
      <c r="N379" s="40">
        <v>0</v>
      </c>
      <c r="O379" s="40">
        <v>0</v>
      </c>
      <c r="P379" s="40">
        <v>0</v>
      </c>
      <c r="Q379" s="40">
        <v>0</v>
      </c>
      <c r="R379" s="40">
        <v>0</v>
      </c>
      <c r="S379" s="40">
        <v>0</v>
      </c>
      <c r="T379" s="4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60</v>
      </c>
      <c r="AH379">
        <v>0</v>
      </c>
      <c r="AI379">
        <v>0</v>
      </c>
      <c r="AJ379">
        <v>0</v>
      </c>
      <c r="AK379">
        <v>35</v>
      </c>
      <c r="AL379">
        <v>0</v>
      </c>
      <c r="AM379">
        <v>0</v>
      </c>
      <c r="AN379">
        <v>45</v>
      </c>
      <c r="AO379">
        <v>0</v>
      </c>
      <c r="AP379">
        <v>40</v>
      </c>
      <c r="AQ379">
        <v>40</v>
      </c>
      <c r="AR379">
        <v>25</v>
      </c>
      <c r="AS379">
        <v>30</v>
      </c>
      <c r="AT379">
        <v>35</v>
      </c>
      <c r="AU379">
        <v>0</v>
      </c>
      <c r="AV379">
        <v>0</v>
      </c>
      <c r="AW379">
        <v>0</v>
      </c>
      <c r="AX379">
        <v>40</v>
      </c>
      <c r="AY379">
        <v>60</v>
      </c>
      <c r="AZ379">
        <v>0</v>
      </c>
      <c r="BA379">
        <v>0</v>
      </c>
    </row>
    <row r="380" spans="1:53">
      <c r="A380" s="40">
        <v>375</v>
      </c>
      <c r="B380" t="s">
        <v>476</v>
      </c>
      <c r="F380" s="38"/>
      <c r="G380" s="38"/>
      <c r="H380" s="38"/>
      <c r="I380" s="38">
        <v>0</v>
      </c>
      <c r="J380" s="38">
        <v>0</v>
      </c>
      <c r="K380" s="38">
        <v>0</v>
      </c>
      <c r="L380" s="38">
        <v>0</v>
      </c>
      <c r="M380" s="38">
        <v>0</v>
      </c>
      <c r="N380" s="40">
        <v>0</v>
      </c>
      <c r="O380" s="40">
        <v>0</v>
      </c>
      <c r="P380" s="40">
        <v>0</v>
      </c>
      <c r="Q380" s="40">
        <v>0</v>
      </c>
      <c r="R380" s="40">
        <v>0</v>
      </c>
      <c r="S380" s="40">
        <v>0</v>
      </c>
      <c r="T380" s="4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45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</row>
    <row r="381" spans="1:53">
      <c r="A381" s="40">
        <v>376</v>
      </c>
      <c r="B381" t="s">
        <v>477</v>
      </c>
      <c r="F381" s="38"/>
      <c r="G381" s="38"/>
      <c r="H381" s="38"/>
      <c r="I381" s="38">
        <v>0</v>
      </c>
      <c r="J381" s="38">
        <v>0</v>
      </c>
      <c r="K381" s="38">
        <v>0</v>
      </c>
      <c r="L381" s="38">
        <v>0</v>
      </c>
      <c r="M381" s="38">
        <v>0</v>
      </c>
      <c r="N381" s="40">
        <v>0</v>
      </c>
      <c r="O381" s="40">
        <v>0</v>
      </c>
      <c r="P381" s="40">
        <v>0</v>
      </c>
      <c r="Q381" s="40">
        <v>0</v>
      </c>
      <c r="R381" s="40">
        <v>0</v>
      </c>
      <c r="S381" s="40">
        <v>0</v>
      </c>
      <c r="T381" s="4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 spans="1:53">
      <c r="A382" s="40">
        <v>377</v>
      </c>
      <c r="B382" t="s">
        <v>478</v>
      </c>
      <c r="F382" s="38"/>
      <c r="G382" s="38"/>
      <c r="H382" s="38"/>
      <c r="I382" s="38">
        <v>0</v>
      </c>
      <c r="J382" s="38">
        <v>0</v>
      </c>
      <c r="K382" s="38">
        <v>0</v>
      </c>
      <c r="L382" s="38">
        <v>0</v>
      </c>
      <c r="M382" s="38">
        <v>0</v>
      </c>
      <c r="N382" s="40">
        <v>0</v>
      </c>
      <c r="O382" s="40">
        <v>0</v>
      </c>
      <c r="P382" s="40">
        <v>0</v>
      </c>
      <c r="Q382" s="40">
        <v>0</v>
      </c>
      <c r="R382" s="40">
        <v>0</v>
      </c>
      <c r="S382" s="40">
        <v>0</v>
      </c>
      <c r="T382" s="40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25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>
      <c r="A383" s="40">
        <v>378</v>
      </c>
      <c r="B383" t="s">
        <v>479</v>
      </c>
      <c r="F383" s="38"/>
      <c r="G383" s="38"/>
      <c r="H383" s="38"/>
      <c r="I383" s="38">
        <v>0</v>
      </c>
      <c r="J383" s="38">
        <v>0</v>
      </c>
      <c r="K383" s="38">
        <v>0</v>
      </c>
      <c r="L383" s="38">
        <v>0</v>
      </c>
      <c r="M383" s="38">
        <v>0</v>
      </c>
      <c r="N383" s="40">
        <v>0</v>
      </c>
      <c r="O383" s="40">
        <v>0</v>
      </c>
      <c r="P383" s="40">
        <v>0</v>
      </c>
      <c r="Q383" s="40">
        <v>0</v>
      </c>
      <c r="R383" s="40">
        <v>0</v>
      </c>
      <c r="S383" s="40">
        <v>0</v>
      </c>
      <c r="T383" s="40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50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>
      <c r="A384" s="40">
        <v>379</v>
      </c>
      <c r="B384" t="s">
        <v>480</v>
      </c>
      <c r="F384" s="38"/>
      <c r="G384" s="38"/>
      <c r="H384" s="38"/>
      <c r="I384" s="38">
        <v>0</v>
      </c>
      <c r="J384" s="38">
        <v>0</v>
      </c>
      <c r="K384" s="38">
        <v>0</v>
      </c>
      <c r="L384" s="38">
        <v>0</v>
      </c>
      <c r="M384" s="38">
        <v>0</v>
      </c>
      <c r="N384" s="40">
        <v>0</v>
      </c>
      <c r="O384" s="40">
        <v>0</v>
      </c>
      <c r="P384" s="40">
        <v>0</v>
      </c>
      <c r="Q384" s="40">
        <v>0</v>
      </c>
      <c r="R384" s="40">
        <v>0</v>
      </c>
      <c r="S384" s="40">
        <v>0</v>
      </c>
      <c r="T384" s="40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25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>
      <c r="A385" s="40">
        <v>380</v>
      </c>
      <c r="B385" t="s">
        <v>481</v>
      </c>
      <c r="F385" s="38"/>
      <c r="G385" s="38"/>
      <c r="H385" s="38"/>
      <c r="I385" s="38">
        <v>0</v>
      </c>
      <c r="J385" s="38">
        <v>0</v>
      </c>
      <c r="K385" s="38">
        <v>0</v>
      </c>
      <c r="L385" s="38">
        <v>0</v>
      </c>
      <c r="M385" s="38">
        <v>0</v>
      </c>
      <c r="N385" s="40">
        <v>0</v>
      </c>
      <c r="O385" s="40">
        <v>0</v>
      </c>
      <c r="P385" s="40">
        <v>0</v>
      </c>
      <c r="Q385" s="40">
        <v>0</v>
      </c>
      <c r="R385" s="40">
        <v>0</v>
      </c>
      <c r="S385" s="40">
        <v>0</v>
      </c>
      <c r="T385" s="40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30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>
      <c r="A386" s="40">
        <v>381</v>
      </c>
      <c r="B386" t="s">
        <v>482</v>
      </c>
      <c r="F386" s="38"/>
      <c r="G386" s="38"/>
      <c r="H386" s="38"/>
      <c r="I386" s="38">
        <v>0</v>
      </c>
      <c r="J386" s="38">
        <v>0</v>
      </c>
      <c r="K386" s="38">
        <v>0</v>
      </c>
      <c r="L386" s="38">
        <v>0</v>
      </c>
      <c r="M386" s="38">
        <v>0</v>
      </c>
      <c r="N386" s="40">
        <v>0</v>
      </c>
      <c r="O386" s="40">
        <v>0</v>
      </c>
      <c r="P386" s="40">
        <v>0</v>
      </c>
      <c r="Q386" s="40">
        <v>0</v>
      </c>
      <c r="R386" s="40">
        <v>0</v>
      </c>
      <c r="S386" s="40">
        <v>0</v>
      </c>
      <c r="T386" s="40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30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>
      <c r="A387" s="40">
        <v>382</v>
      </c>
      <c r="B387" t="s">
        <v>483</v>
      </c>
      <c r="F387" s="38"/>
      <c r="G387" s="38"/>
      <c r="H387" s="38"/>
      <c r="I387" s="38">
        <v>0</v>
      </c>
      <c r="J387" s="38">
        <v>0</v>
      </c>
      <c r="K387" s="38">
        <v>0</v>
      </c>
      <c r="L387" s="38">
        <v>0</v>
      </c>
      <c r="M387" s="38">
        <v>0</v>
      </c>
      <c r="N387" s="40">
        <v>0</v>
      </c>
      <c r="O387" s="40">
        <v>0</v>
      </c>
      <c r="P387" s="40">
        <v>0</v>
      </c>
      <c r="Q387" s="40">
        <v>0</v>
      </c>
      <c r="R387" s="40">
        <v>0</v>
      </c>
      <c r="S387" s="40">
        <v>0</v>
      </c>
      <c r="T387" s="40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50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>
      <c r="A388" s="40">
        <v>383</v>
      </c>
      <c r="B388" t="s">
        <v>484</v>
      </c>
      <c r="F388" s="38"/>
      <c r="G388" s="38"/>
      <c r="H388" s="38"/>
      <c r="I388" s="38">
        <v>0</v>
      </c>
      <c r="J388" s="38">
        <v>0</v>
      </c>
      <c r="K388" s="38">
        <v>0</v>
      </c>
      <c r="L388" s="38">
        <v>0</v>
      </c>
      <c r="M388" s="38">
        <v>0</v>
      </c>
      <c r="N388" s="40">
        <v>0</v>
      </c>
      <c r="O388" s="40">
        <v>0</v>
      </c>
      <c r="P388" s="40">
        <v>0</v>
      </c>
      <c r="Q388" s="40">
        <v>0</v>
      </c>
      <c r="R388" s="40">
        <v>0</v>
      </c>
      <c r="S388" s="40">
        <v>0</v>
      </c>
      <c r="T388" s="40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30</v>
      </c>
      <c r="BA388">
        <v>60</v>
      </c>
    </row>
    <row r="389" spans="1:53">
      <c r="A389" s="40">
        <v>384</v>
      </c>
      <c r="B389" t="s">
        <v>485</v>
      </c>
      <c r="F389" s="38"/>
      <c r="G389" s="38"/>
      <c r="H389" s="38"/>
      <c r="I389" s="38">
        <v>0</v>
      </c>
      <c r="J389" s="38">
        <v>0</v>
      </c>
      <c r="K389" s="38">
        <v>0</v>
      </c>
      <c r="L389" s="38">
        <v>0</v>
      </c>
      <c r="M389" s="38">
        <v>0</v>
      </c>
      <c r="N389" s="40">
        <v>0</v>
      </c>
      <c r="O389" s="40">
        <v>0</v>
      </c>
      <c r="P389" s="40">
        <v>0</v>
      </c>
      <c r="Q389" s="40">
        <v>0</v>
      </c>
      <c r="R389" s="40">
        <v>0</v>
      </c>
      <c r="S389" s="40">
        <v>0</v>
      </c>
      <c r="T389" s="40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30</v>
      </c>
      <c r="BA389">
        <v>60</v>
      </c>
    </row>
    <row r="390" spans="1:53">
      <c r="A390" s="40">
        <v>385</v>
      </c>
      <c r="B390" t="s">
        <v>486</v>
      </c>
      <c r="F390" s="38"/>
      <c r="G390" s="38"/>
      <c r="H390" s="38"/>
      <c r="I390" s="38">
        <v>0</v>
      </c>
      <c r="J390" s="38">
        <v>0</v>
      </c>
      <c r="K390" s="38">
        <v>0</v>
      </c>
      <c r="L390" s="38">
        <v>0</v>
      </c>
      <c r="M390" s="38">
        <v>0</v>
      </c>
      <c r="N390" s="40">
        <v>0</v>
      </c>
      <c r="O390" s="40">
        <v>0</v>
      </c>
      <c r="P390" s="40">
        <v>0</v>
      </c>
      <c r="Q390" s="40">
        <v>0</v>
      </c>
      <c r="R390" s="40">
        <v>0</v>
      </c>
      <c r="S390" s="40">
        <v>0</v>
      </c>
      <c r="T390" s="4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70</v>
      </c>
    </row>
    <row r="391" spans="1:53">
      <c r="A391" s="40"/>
      <c r="F391" s="38"/>
      <c r="G391" s="38"/>
      <c r="H391" s="38"/>
      <c r="I391" s="38"/>
      <c r="J391" s="38"/>
      <c r="K391" s="38"/>
      <c r="L391" s="38"/>
      <c r="M391" s="38"/>
      <c r="N391" s="40"/>
      <c r="O391" s="40"/>
      <c r="P391" s="40"/>
      <c r="Q391" s="40"/>
      <c r="R391" s="40"/>
      <c r="S391" s="40"/>
      <c r="T391" s="40"/>
    </row>
    <row r="392" spans="1:53">
      <c r="A392" s="40"/>
      <c r="F392" s="38"/>
      <c r="G392" s="38"/>
      <c r="H392" s="38"/>
      <c r="I392" s="38"/>
      <c r="J392" s="38"/>
      <c r="K392" s="38"/>
      <c r="L392" s="38"/>
      <c r="M392" s="38"/>
      <c r="N392" s="40"/>
      <c r="O392" s="40"/>
      <c r="P392" s="40"/>
      <c r="Q392" s="40"/>
      <c r="R392" s="40"/>
      <c r="S392" s="40"/>
      <c r="T392" s="40"/>
    </row>
    <row r="393" spans="1:53">
      <c r="A393" s="40"/>
      <c r="F393" s="38"/>
      <c r="G393" s="38"/>
      <c r="H393" s="38"/>
      <c r="I393" s="38"/>
      <c r="J393" s="38"/>
      <c r="K393" s="38"/>
      <c r="L393" s="38"/>
      <c r="M393" s="38"/>
      <c r="N393" s="40"/>
      <c r="O393" s="40"/>
      <c r="P393" s="40"/>
      <c r="Q393" s="40"/>
      <c r="R393" s="40"/>
      <c r="S393" s="40"/>
      <c r="T393" s="40"/>
    </row>
    <row r="394" spans="1:53">
      <c r="A394" s="40"/>
      <c r="F394" s="38"/>
      <c r="G394" s="38"/>
      <c r="H394" s="38"/>
      <c r="I394" s="38"/>
      <c r="J394" s="38"/>
      <c r="K394" s="38"/>
      <c r="L394" s="38"/>
      <c r="M394" s="38"/>
      <c r="N394" s="40"/>
      <c r="O394" s="40"/>
      <c r="P394" s="40"/>
      <c r="Q394" s="40"/>
      <c r="R394" s="40"/>
      <c r="S394" s="40"/>
      <c r="T394" s="40"/>
    </row>
    <row r="395" spans="1:53">
      <c r="A395" s="40"/>
      <c r="F395" s="38"/>
      <c r="G395" s="38"/>
      <c r="H395" s="38"/>
      <c r="I395" s="38"/>
      <c r="J395" s="38"/>
      <c r="K395" s="38"/>
      <c r="L395" s="38"/>
      <c r="M395" s="38"/>
      <c r="N395" s="40"/>
      <c r="O395" s="40"/>
      <c r="P395" s="40"/>
      <c r="Q395" s="40"/>
      <c r="R395" s="40"/>
      <c r="S395" s="40"/>
      <c r="T395" s="40"/>
    </row>
    <row r="396" spans="1:53">
      <c r="A396" s="40"/>
      <c r="F396" s="38"/>
      <c r="G396" s="38"/>
      <c r="H396" s="38"/>
      <c r="I396" s="38"/>
      <c r="J396" s="38"/>
      <c r="K396" s="38"/>
      <c r="L396" s="38"/>
      <c r="M396" s="38"/>
      <c r="N396" s="40"/>
      <c r="O396" s="40"/>
      <c r="P396" s="40"/>
      <c r="Q396" s="40"/>
      <c r="R396" s="40"/>
      <c r="S396" s="40"/>
      <c r="T396" s="40"/>
    </row>
    <row r="397" spans="1:53">
      <c r="A397" s="40"/>
      <c r="F397" s="38"/>
      <c r="G397" s="38"/>
      <c r="H397" s="38"/>
      <c r="I397" s="38"/>
      <c r="J397" s="38"/>
      <c r="K397" s="38"/>
      <c r="L397" s="38"/>
      <c r="M397" s="38"/>
      <c r="N397" s="40"/>
      <c r="O397" s="40"/>
      <c r="P397" s="40"/>
      <c r="Q397" s="40"/>
      <c r="R397" s="40"/>
      <c r="S397" s="40"/>
      <c r="T397" s="40"/>
    </row>
    <row r="398" spans="1:53">
      <c r="A398" s="40"/>
      <c r="F398" s="38"/>
      <c r="G398" s="38"/>
      <c r="H398" s="38"/>
      <c r="I398" s="38"/>
      <c r="J398" s="38"/>
      <c r="K398" s="38"/>
      <c r="L398" s="38"/>
      <c r="M398" s="38"/>
      <c r="N398" s="40"/>
      <c r="O398" s="40"/>
      <c r="P398" s="40"/>
      <c r="Q398" s="40"/>
      <c r="R398" s="40"/>
      <c r="S398" s="40"/>
      <c r="T398" s="40"/>
    </row>
    <row r="399" spans="1:53">
      <c r="A399" s="40"/>
      <c r="F399" s="38"/>
      <c r="G399" s="38"/>
      <c r="H399" s="38"/>
      <c r="I399" s="38"/>
      <c r="J399" s="38"/>
      <c r="K399" s="38"/>
      <c r="L399" s="38"/>
      <c r="M399" s="38"/>
      <c r="N399" s="40"/>
      <c r="O399" s="40"/>
      <c r="P399" s="40"/>
      <c r="Q399" s="40"/>
      <c r="R399" s="40"/>
      <c r="S399" s="40"/>
      <c r="T399" s="40"/>
    </row>
    <row r="400" spans="1:53">
      <c r="A400" s="40"/>
      <c r="F400" s="38"/>
      <c r="G400" s="38"/>
      <c r="H400" s="38"/>
      <c r="I400" s="38"/>
      <c r="J400" s="38"/>
      <c r="K400" s="38"/>
      <c r="L400" s="38"/>
      <c r="M400" s="38"/>
      <c r="N400" s="40"/>
      <c r="O400" s="40"/>
      <c r="P400" s="40"/>
      <c r="Q400" s="40"/>
      <c r="R400" s="40"/>
      <c r="S400" s="40"/>
      <c r="T400" s="40"/>
    </row>
    <row r="401" spans="1:20">
      <c r="A401" s="40"/>
      <c r="F401" s="38"/>
      <c r="G401" s="38"/>
      <c r="H401" s="38"/>
      <c r="I401" s="38"/>
      <c r="J401" s="38"/>
      <c r="K401" s="38"/>
      <c r="L401" s="38"/>
      <c r="M401" s="38"/>
      <c r="N401" s="40"/>
      <c r="O401" s="40"/>
      <c r="P401" s="40"/>
      <c r="Q401" s="40"/>
      <c r="R401" s="40"/>
      <c r="S401" s="40"/>
      <c r="T401" s="40"/>
    </row>
    <row r="402" spans="1:20">
      <c r="A402" s="40"/>
      <c r="F402" s="38"/>
      <c r="G402" s="38"/>
      <c r="H402" s="38"/>
      <c r="I402" s="38"/>
      <c r="J402" s="38"/>
      <c r="K402" s="38"/>
      <c r="L402" s="38"/>
      <c r="M402" s="38"/>
      <c r="N402" s="40"/>
      <c r="O402" s="40"/>
      <c r="P402" s="40"/>
      <c r="Q402" s="40"/>
      <c r="R402" s="40"/>
      <c r="S402" s="40"/>
      <c r="T402" s="40"/>
    </row>
    <row r="403" spans="1:20">
      <c r="A403" s="40"/>
      <c r="F403" s="38"/>
      <c r="G403" s="38"/>
      <c r="H403" s="38"/>
      <c r="I403" s="38"/>
      <c r="J403" s="38"/>
      <c r="K403" s="38"/>
      <c r="L403" s="38"/>
      <c r="M403" s="38"/>
      <c r="N403" s="40"/>
      <c r="O403" s="40"/>
      <c r="P403" s="40"/>
      <c r="Q403" s="40"/>
      <c r="R403" s="40"/>
      <c r="S403" s="40"/>
      <c r="T403" s="40"/>
    </row>
    <row r="404" spans="1:20">
      <c r="A404" s="40"/>
      <c r="F404" s="38"/>
      <c r="G404" s="38"/>
      <c r="H404" s="38"/>
      <c r="I404" s="38"/>
      <c r="J404" s="38"/>
      <c r="K404" s="38"/>
      <c r="L404" s="38"/>
      <c r="M404" s="38"/>
      <c r="N404" s="40"/>
      <c r="O404" s="40"/>
      <c r="P404" s="40"/>
      <c r="Q404" s="40"/>
      <c r="R404" s="40"/>
      <c r="S404" s="40"/>
      <c r="T404" s="40"/>
    </row>
    <row r="405" spans="1:20">
      <c r="A405" s="40"/>
      <c r="F405" s="38"/>
      <c r="G405" s="38"/>
      <c r="H405" s="38"/>
      <c r="I405" s="38"/>
      <c r="J405" s="38"/>
      <c r="K405" s="38"/>
      <c r="L405" s="38"/>
      <c r="M405" s="38"/>
      <c r="N405" s="40"/>
      <c r="O405" s="40"/>
      <c r="P405" s="40"/>
      <c r="Q405" s="40"/>
      <c r="R405" s="40"/>
      <c r="S405" s="40"/>
      <c r="T405" s="40"/>
    </row>
    <row r="406" spans="1:20">
      <c r="A406" s="40"/>
      <c r="F406" s="38"/>
      <c r="G406" s="38"/>
      <c r="H406" s="38"/>
      <c r="I406" s="38"/>
      <c r="J406" s="38"/>
      <c r="K406" s="38"/>
      <c r="L406" s="38"/>
      <c r="M406" s="38"/>
      <c r="N406" s="40"/>
      <c r="O406" s="40"/>
      <c r="P406" s="40"/>
      <c r="Q406" s="40"/>
      <c r="R406" s="40"/>
      <c r="S406" s="40"/>
      <c r="T406" s="40"/>
    </row>
    <row r="407" spans="1:20">
      <c r="A407" s="40"/>
      <c r="F407" s="38"/>
      <c r="G407" s="38"/>
      <c r="H407" s="38"/>
      <c r="I407" s="38"/>
      <c r="J407" s="38"/>
      <c r="K407" s="38"/>
      <c r="L407" s="38"/>
      <c r="M407" s="38"/>
      <c r="N407" s="40"/>
      <c r="O407" s="40"/>
      <c r="P407" s="40"/>
      <c r="Q407" s="40"/>
      <c r="R407" s="40"/>
      <c r="S407" s="40"/>
      <c r="T407" s="40"/>
    </row>
    <row r="408" spans="1:20">
      <c r="A408" s="40"/>
      <c r="F408" s="38"/>
      <c r="G408" s="38"/>
      <c r="H408" s="38"/>
      <c r="I408" s="38"/>
      <c r="J408" s="38"/>
      <c r="K408" s="38"/>
      <c r="L408" s="38"/>
      <c r="M408" s="38"/>
      <c r="N408" s="40"/>
      <c r="O408" s="40"/>
      <c r="P408" s="40"/>
      <c r="Q408" s="40"/>
      <c r="R408" s="40"/>
      <c r="S408" s="40"/>
      <c r="T408" s="40"/>
    </row>
    <row r="409" spans="1:20">
      <c r="A409" s="40"/>
      <c r="F409" s="38"/>
      <c r="G409" s="38"/>
      <c r="H409" s="38"/>
      <c r="I409" s="38"/>
      <c r="J409" s="38"/>
      <c r="K409" s="38"/>
      <c r="L409" s="38"/>
      <c r="M409" s="38"/>
      <c r="N409" s="40"/>
      <c r="O409" s="40"/>
      <c r="P409" s="40"/>
      <c r="Q409" s="40"/>
      <c r="R409" s="40"/>
      <c r="S409" s="40"/>
      <c r="T409" s="40"/>
    </row>
    <row r="410" spans="1:20">
      <c r="A410" s="40"/>
      <c r="F410" s="38"/>
      <c r="G410" s="38"/>
      <c r="H410" s="38"/>
      <c r="I410" s="38"/>
      <c r="J410" s="38"/>
      <c r="K410" s="38"/>
      <c r="L410" s="38"/>
      <c r="M410" s="38"/>
      <c r="N410" s="40"/>
      <c r="O410" s="40"/>
      <c r="P410" s="40"/>
      <c r="Q410" s="40"/>
      <c r="R410" s="40"/>
      <c r="S410" s="40"/>
      <c r="T410" s="40"/>
    </row>
    <row r="411" spans="1:20">
      <c r="A411" s="40"/>
      <c r="F411" s="38"/>
      <c r="G411" s="38"/>
      <c r="H411" s="38"/>
      <c r="I411" s="38"/>
      <c r="J411" s="38"/>
      <c r="K411" s="38"/>
      <c r="L411" s="38"/>
      <c r="M411" s="38"/>
      <c r="N411" s="40"/>
      <c r="O411" s="40"/>
      <c r="P411" s="40"/>
      <c r="Q411" s="40"/>
      <c r="R411" s="40"/>
      <c r="S411" s="40"/>
      <c r="T411" s="40"/>
    </row>
    <row r="412" spans="1:20">
      <c r="A412" s="40"/>
      <c r="F412" s="38"/>
      <c r="G412" s="38"/>
      <c r="H412" s="38"/>
      <c r="I412" s="38"/>
      <c r="J412" s="38"/>
      <c r="K412" s="38"/>
      <c r="L412" s="38"/>
      <c r="M412" s="38"/>
      <c r="N412" s="40"/>
      <c r="O412" s="40"/>
      <c r="P412" s="40"/>
      <c r="Q412" s="40"/>
      <c r="R412" s="40"/>
      <c r="S412" s="40"/>
      <c r="T412" s="40"/>
    </row>
    <row r="413" spans="1:20">
      <c r="A413" s="40"/>
      <c r="F413" s="38"/>
      <c r="G413" s="38"/>
      <c r="H413" s="38"/>
      <c r="I413" s="38"/>
      <c r="J413" s="38"/>
      <c r="K413" s="38"/>
      <c r="L413" s="38"/>
      <c r="M413" s="38"/>
      <c r="N413" s="40"/>
      <c r="O413" s="40"/>
      <c r="P413" s="40"/>
      <c r="Q413" s="40"/>
      <c r="R413" s="40"/>
      <c r="S413" s="40"/>
      <c r="T413" s="40"/>
    </row>
    <row r="414" spans="1:20">
      <c r="A414" s="40"/>
      <c r="F414" s="38"/>
      <c r="G414" s="38"/>
      <c r="H414" s="38"/>
      <c r="I414" s="38"/>
      <c r="J414" s="38"/>
      <c r="K414" s="38"/>
      <c r="L414" s="38"/>
      <c r="M414" s="38"/>
      <c r="N414" s="40"/>
      <c r="O414" s="40"/>
      <c r="P414" s="40"/>
      <c r="Q414" s="40"/>
      <c r="R414" s="40"/>
      <c r="S414" s="40"/>
      <c r="T414" s="40"/>
    </row>
    <row r="415" spans="1:20">
      <c r="A415" s="40"/>
      <c r="F415" s="38"/>
      <c r="G415" s="38"/>
      <c r="H415" s="38"/>
      <c r="I415" s="38"/>
      <c r="J415" s="38"/>
      <c r="K415" s="38"/>
      <c r="L415" s="38"/>
      <c r="M415" s="38"/>
      <c r="N415" s="40"/>
      <c r="O415" s="40"/>
      <c r="P415" s="40"/>
      <c r="Q415" s="40"/>
      <c r="R415" s="40"/>
      <c r="S415" s="40"/>
      <c r="T415" s="40"/>
    </row>
    <row r="416" spans="1:20">
      <c r="A416" s="40"/>
      <c r="F416" s="38"/>
      <c r="G416" s="38"/>
      <c r="H416" s="38"/>
      <c r="I416" s="38"/>
      <c r="J416" s="38"/>
      <c r="K416" s="38"/>
      <c r="L416" s="38"/>
      <c r="M416" s="38"/>
      <c r="N416" s="40"/>
      <c r="O416" s="40"/>
      <c r="P416" s="40"/>
      <c r="Q416" s="40"/>
      <c r="R416" s="40"/>
      <c r="S416" s="40"/>
      <c r="T416" s="40"/>
    </row>
    <row r="417" spans="1:20">
      <c r="A417" s="40"/>
      <c r="F417" s="38"/>
      <c r="G417" s="38"/>
      <c r="H417" s="38"/>
      <c r="I417" s="38"/>
      <c r="J417" s="38"/>
      <c r="K417" s="38"/>
      <c r="L417" s="38"/>
      <c r="M417" s="38"/>
      <c r="N417" s="40"/>
      <c r="O417" s="40"/>
      <c r="P417" s="40"/>
      <c r="Q417" s="40"/>
      <c r="R417" s="40"/>
      <c r="S417" s="40"/>
      <c r="T417" s="40"/>
    </row>
    <row r="418" spans="1:20">
      <c r="A418" s="40"/>
      <c r="F418" s="38"/>
      <c r="G418" s="38"/>
      <c r="H418" s="38"/>
      <c r="I418" s="38"/>
      <c r="J418" s="38"/>
      <c r="K418" s="38"/>
      <c r="L418" s="38"/>
      <c r="M418" s="38"/>
      <c r="N418" s="40"/>
      <c r="O418" s="40"/>
      <c r="P418" s="40"/>
      <c r="Q418" s="40"/>
      <c r="R418" s="40"/>
      <c r="S418" s="40"/>
      <c r="T418" s="40"/>
    </row>
    <row r="419" spans="1:20">
      <c r="A419" s="40"/>
      <c r="F419" s="38"/>
      <c r="G419" s="38"/>
      <c r="H419" s="38"/>
      <c r="I419" s="38"/>
      <c r="J419" s="38"/>
      <c r="K419" s="38"/>
      <c r="L419" s="38"/>
      <c r="M419" s="38"/>
      <c r="N419" s="40"/>
      <c r="O419" s="40"/>
      <c r="P419" s="40"/>
      <c r="Q419" s="40"/>
      <c r="R419" s="40"/>
      <c r="S419" s="40"/>
      <c r="T419" s="40"/>
    </row>
    <row r="420" spans="1:20">
      <c r="A420" s="40"/>
      <c r="F420" s="38"/>
      <c r="G420" s="38"/>
      <c r="H420" s="38"/>
      <c r="I420" s="38"/>
      <c r="J420" s="38"/>
      <c r="K420" s="38"/>
      <c r="L420" s="38"/>
      <c r="M420" s="38"/>
      <c r="N420" s="40"/>
      <c r="O420" s="40"/>
      <c r="P420" s="40"/>
      <c r="Q420" s="40"/>
      <c r="R420" s="40"/>
      <c r="S420" s="40"/>
      <c r="T420" s="40"/>
    </row>
    <row r="421" spans="1:20">
      <c r="A421" s="40"/>
      <c r="F421" s="38"/>
      <c r="G421" s="38"/>
      <c r="H421" s="38"/>
      <c r="I421" s="38"/>
      <c r="J421" s="38"/>
      <c r="K421" s="38"/>
      <c r="L421" s="38"/>
      <c r="M421" s="38"/>
      <c r="N421" s="40"/>
      <c r="O421" s="40"/>
      <c r="P421" s="40"/>
      <c r="Q421" s="40"/>
      <c r="R421" s="40"/>
      <c r="S421" s="40"/>
      <c r="T421" s="40"/>
    </row>
    <row r="422" spans="1:20">
      <c r="A422" s="40"/>
      <c r="F422" s="38"/>
      <c r="G422" s="38"/>
      <c r="H422" s="38"/>
      <c r="I422" s="38"/>
      <c r="J422" s="38"/>
      <c r="K422" s="38"/>
      <c r="L422" s="38"/>
      <c r="M422" s="38"/>
      <c r="N422" s="40"/>
      <c r="O422" s="40"/>
      <c r="P422" s="40"/>
      <c r="Q422" s="40"/>
      <c r="R422" s="40"/>
      <c r="S422" s="40"/>
      <c r="T422" s="40"/>
    </row>
    <row r="423" spans="1:20">
      <c r="A423" s="40"/>
      <c r="F423" s="38"/>
      <c r="G423" s="38"/>
      <c r="H423" s="38"/>
      <c r="I423" s="38"/>
      <c r="J423" s="38"/>
      <c r="K423" s="38"/>
      <c r="L423" s="38"/>
      <c r="M423" s="38"/>
      <c r="N423" s="40"/>
      <c r="O423" s="40"/>
      <c r="P423" s="40"/>
      <c r="Q423" s="40"/>
      <c r="R423" s="40"/>
      <c r="S423" s="40"/>
      <c r="T423" s="40"/>
    </row>
    <row r="424" spans="1:20">
      <c r="A424" s="40"/>
      <c r="F424" s="38"/>
      <c r="G424" s="38"/>
      <c r="H424" s="38"/>
      <c r="I424" s="38"/>
      <c r="J424" s="38"/>
      <c r="K424" s="38"/>
      <c r="L424" s="38"/>
      <c r="M424" s="38"/>
      <c r="N424" s="40"/>
      <c r="O424" s="40"/>
      <c r="P424" s="40"/>
      <c r="Q424" s="40"/>
      <c r="R424" s="40"/>
      <c r="S424" s="40"/>
      <c r="T424" s="40"/>
    </row>
    <row r="425" spans="1:20">
      <c r="A425" s="40"/>
      <c r="F425" s="38"/>
      <c r="G425" s="38"/>
      <c r="H425" s="38"/>
      <c r="I425" s="38"/>
      <c r="J425" s="38"/>
      <c r="K425" s="38"/>
      <c r="L425" s="38"/>
      <c r="M425" s="38"/>
      <c r="N425" s="40"/>
      <c r="O425" s="40"/>
      <c r="P425" s="40"/>
      <c r="Q425" s="40"/>
      <c r="R425" s="40"/>
      <c r="S425" s="40"/>
      <c r="T425" s="40"/>
    </row>
    <row r="426" spans="1:20">
      <c r="A426" s="40"/>
      <c r="F426" s="38"/>
      <c r="G426" s="38"/>
      <c r="H426" s="38"/>
      <c r="I426" s="38"/>
      <c r="J426" s="38"/>
      <c r="K426" s="38"/>
      <c r="L426" s="38"/>
      <c r="M426" s="38"/>
      <c r="N426" s="40"/>
      <c r="O426" s="40"/>
      <c r="P426" s="40"/>
      <c r="Q426" s="40"/>
      <c r="R426" s="40"/>
      <c r="S426" s="40"/>
      <c r="T426" s="40"/>
    </row>
    <row r="427" spans="1:20">
      <c r="A427" s="40"/>
      <c r="F427" s="38"/>
      <c r="G427" s="38"/>
      <c r="H427" s="38"/>
      <c r="I427" s="38"/>
      <c r="J427" s="38"/>
      <c r="K427" s="38"/>
      <c r="L427" s="38"/>
      <c r="M427" s="38"/>
      <c r="N427" s="40"/>
      <c r="O427" s="40"/>
      <c r="P427" s="40"/>
      <c r="Q427" s="40"/>
      <c r="R427" s="40"/>
      <c r="S427" s="40"/>
      <c r="T427" s="40"/>
    </row>
    <row r="428" spans="1:20">
      <c r="A428" s="40"/>
      <c r="F428" s="38"/>
      <c r="G428" s="38"/>
      <c r="H428" s="38"/>
      <c r="I428" s="38"/>
      <c r="J428" s="38"/>
      <c r="K428" s="38"/>
      <c r="L428" s="38"/>
      <c r="M428" s="38"/>
      <c r="N428" s="40"/>
      <c r="O428" s="40"/>
      <c r="P428" s="40"/>
      <c r="Q428" s="40"/>
      <c r="R428" s="40"/>
      <c r="S428" s="40"/>
      <c r="T428" s="40"/>
    </row>
    <row r="429" spans="1:20">
      <c r="A429" s="40"/>
      <c r="F429" s="38"/>
      <c r="G429" s="38"/>
      <c r="H429" s="38"/>
      <c r="I429" s="38"/>
      <c r="J429" s="38"/>
      <c r="K429" s="38"/>
      <c r="L429" s="38"/>
      <c r="M429" s="38"/>
      <c r="N429" s="40"/>
      <c r="O429" s="40"/>
      <c r="P429" s="40"/>
      <c r="Q429" s="40"/>
      <c r="R429" s="40"/>
      <c r="S429" s="40"/>
      <c r="T429" s="40"/>
    </row>
    <row r="430" spans="1:20">
      <c r="A430" s="40"/>
      <c r="F430" s="38"/>
      <c r="G430" s="38"/>
      <c r="H430" s="38"/>
      <c r="I430" s="38"/>
      <c r="J430" s="38"/>
      <c r="K430" s="38"/>
      <c r="L430" s="38"/>
      <c r="M430" s="38"/>
      <c r="N430" s="40"/>
      <c r="O430" s="40"/>
      <c r="P430" s="40"/>
      <c r="Q430" s="40"/>
      <c r="R430" s="40"/>
      <c r="S430" s="40"/>
      <c r="T430" s="40"/>
    </row>
    <row r="431" spans="1:20">
      <c r="A431" s="40"/>
      <c r="F431" s="38"/>
      <c r="G431" s="38"/>
      <c r="H431" s="38"/>
      <c r="I431" s="38"/>
      <c r="J431" s="38"/>
      <c r="K431" s="38"/>
      <c r="L431" s="38"/>
      <c r="M431" s="38"/>
      <c r="N431" s="40"/>
      <c r="O431" s="40"/>
      <c r="P431" s="40"/>
      <c r="Q431" s="40"/>
      <c r="R431" s="40"/>
      <c r="S431" s="40"/>
      <c r="T431" s="40"/>
    </row>
    <row r="432" spans="1:20">
      <c r="A432" s="40"/>
      <c r="F432" s="38"/>
      <c r="G432" s="38"/>
      <c r="H432" s="38"/>
      <c r="I432" s="38"/>
      <c r="J432" s="38"/>
      <c r="K432" s="38"/>
      <c r="L432" s="38"/>
      <c r="M432" s="38"/>
      <c r="N432" s="40"/>
      <c r="O432" s="40"/>
      <c r="P432" s="40"/>
      <c r="Q432" s="40"/>
      <c r="R432" s="40"/>
      <c r="S432" s="40"/>
      <c r="T432" s="40"/>
    </row>
    <row r="433" spans="1:20">
      <c r="A433" s="40"/>
      <c r="F433" s="38"/>
      <c r="G433" s="38"/>
      <c r="H433" s="38"/>
      <c r="I433" s="38"/>
      <c r="J433" s="38"/>
      <c r="K433" s="38"/>
      <c r="L433" s="38"/>
      <c r="M433" s="38"/>
      <c r="N433" s="40"/>
      <c r="O433" s="40"/>
      <c r="P433" s="40"/>
      <c r="Q433" s="40"/>
      <c r="R433" s="40"/>
      <c r="S433" s="40"/>
      <c r="T433" s="40"/>
    </row>
    <row r="434" spans="1:20">
      <c r="A434" s="40"/>
      <c r="F434" s="38"/>
      <c r="G434" s="38"/>
      <c r="H434" s="38"/>
      <c r="I434" s="38"/>
      <c r="J434" s="38"/>
      <c r="K434" s="38"/>
      <c r="L434" s="38"/>
      <c r="M434" s="38"/>
      <c r="N434" s="40"/>
      <c r="O434" s="40"/>
      <c r="P434" s="40"/>
      <c r="Q434" s="40"/>
      <c r="R434" s="40"/>
      <c r="S434" s="40"/>
      <c r="T434" s="40"/>
    </row>
    <row r="435" spans="1:20">
      <c r="A435" s="40"/>
      <c r="F435" s="38"/>
      <c r="G435" s="38"/>
      <c r="H435" s="38"/>
      <c r="I435" s="38"/>
      <c r="J435" s="38"/>
      <c r="K435" s="38"/>
      <c r="L435" s="38"/>
      <c r="M435" s="38"/>
      <c r="N435" s="40"/>
      <c r="O435" s="40"/>
      <c r="P435" s="40"/>
      <c r="Q435" s="40"/>
      <c r="R435" s="40"/>
      <c r="S435" s="40"/>
      <c r="T435" s="40"/>
    </row>
    <row r="436" spans="1:20">
      <c r="A436" s="40"/>
      <c r="F436" s="38"/>
      <c r="G436" s="38"/>
      <c r="H436" s="38"/>
      <c r="I436" s="38"/>
      <c r="J436" s="38"/>
      <c r="K436" s="38"/>
      <c r="L436" s="38"/>
      <c r="M436" s="38"/>
      <c r="N436" s="40"/>
      <c r="O436" s="40"/>
      <c r="P436" s="40"/>
      <c r="Q436" s="40"/>
      <c r="R436" s="40"/>
      <c r="S436" s="40"/>
      <c r="T436" s="40"/>
    </row>
    <row r="437" spans="1:20">
      <c r="A437" s="40"/>
      <c r="F437" s="38"/>
      <c r="G437" s="38"/>
      <c r="H437" s="38"/>
      <c r="I437" s="38"/>
      <c r="J437" s="38"/>
      <c r="K437" s="38"/>
      <c r="L437" s="38"/>
      <c r="M437" s="38"/>
      <c r="N437" s="40"/>
      <c r="O437" s="40"/>
      <c r="P437" s="40"/>
      <c r="Q437" s="40"/>
      <c r="R437" s="40"/>
      <c r="S437" s="40"/>
      <c r="T437" s="40"/>
    </row>
    <row r="438" spans="1:20">
      <c r="A438" s="40"/>
      <c r="F438" s="38"/>
      <c r="G438" s="38"/>
      <c r="H438" s="38"/>
      <c r="I438" s="38"/>
      <c r="J438" s="38"/>
      <c r="K438" s="38"/>
      <c r="L438" s="38"/>
      <c r="M438" s="38"/>
      <c r="N438" s="40"/>
      <c r="O438" s="40"/>
      <c r="P438" s="40"/>
      <c r="Q438" s="40"/>
      <c r="R438" s="40"/>
      <c r="S438" s="40"/>
      <c r="T438" s="40"/>
    </row>
    <row r="439" spans="1:20">
      <c r="A439" s="40"/>
      <c r="F439" s="38"/>
      <c r="G439" s="38"/>
      <c r="H439" s="38"/>
      <c r="I439" s="38"/>
      <c r="J439" s="38"/>
      <c r="K439" s="38"/>
      <c r="L439" s="38"/>
      <c r="M439" s="38"/>
      <c r="N439" s="40"/>
      <c r="O439" s="40"/>
      <c r="P439" s="40"/>
      <c r="Q439" s="40"/>
      <c r="R439" s="40"/>
      <c r="S439" s="40"/>
      <c r="T439" s="40"/>
    </row>
    <row r="440" spans="1:20">
      <c r="A440" s="40"/>
      <c r="F440" s="38"/>
      <c r="G440" s="38"/>
      <c r="H440" s="38"/>
      <c r="I440" s="38"/>
      <c r="J440" s="38"/>
      <c r="K440" s="38"/>
      <c r="L440" s="38"/>
      <c r="M440" s="38"/>
      <c r="N440" s="40"/>
      <c r="O440" s="40"/>
      <c r="P440" s="40"/>
      <c r="Q440" s="40"/>
      <c r="R440" s="40"/>
      <c r="S440" s="40"/>
      <c r="T440" s="40"/>
    </row>
    <row r="441" spans="1:20">
      <c r="A441" s="40"/>
      <c r="F441" s="38"/>
      <c r="G441" s="38"/>
      <c r="H441" s="38"/>
      <c r="I441" s="38"/>
      <c r="J441" s="38"/>
      <c r="K441" s="38"/>
      <c r="L441" s="38"/>
      <c r="M441" s="38"/>
      <c r="N441" s="40"/>
      <c r="O441" s="40"/>
      <c r="P441" s="40"/>
      <c r="Q441" s="40"/>
      <c r="R441" s="40"/>
      <c r="S441" s="40"/>
      <c r="T441" s="40"/>
    </row>
    <row r="442" spans="1:20">
      <c r="A442" s="40"/>
      <c r="F442" s="38"/>
      <c r="G442" s="38"/>
      <c r="H442" s="38"/>
      <c r="I442" s="38"/>
      <c r="J442" s="38"/>
      <c r="K442" s="38"/>
      <c r="L442" s="38"/>
      <c r="M442" s="38"/>
      <c r="N442" s="40"/>
      <c r="O442" s="40"/>
      <c r="P442" s="40"/>
      <c r="Q442" s="40"/>
      <c r="R442" s="40"/>
      <c r="S442" s="40"/>
      <c r="T442" s="40"/>
    </row>
    <row r="443" spans="1:20">
      <c r="A443" s="40"/>
      <c r="F443" s="38"/>
      <c r="G443" s="38"/>
      <c r="H443" s="38"/>
      <c r="I443" s="38"/>
      <c r="J443" s="38"/>
      <c r="K443" s="38"/>
      <c r="L443" s="38"/>
      <c r="M443" s="38"/>
      <c r="N443" s="40"/>
      <c r="O443" s="40"/>
      <c r="P443" s="40"/>
      <c r="Q443" s="40"/>
      <c r="R443" s="40"/>
      <c r="S443" s="40"/>
      <c r="T443" s="40"/>
    </row>
    <row r="444" spans="1:20">
      <c r="A444" s="40"/>
      <c r="F444" s="38"/>
      <c r="G444" s="38"/>
      <c r="H444" s="38"/>
      <c r="I444" s="38"/>
      <c r="J444" s="38"/>
      <c r="K444" s="38"/>
      <c r="L444" s="38"/>
      <c r="M444" s="38"/>
      <c r="N444" s="40"/>
      <c r="O444" s="40"/>
      <c r="P444" s="40"/>
      <c r="Q444" s="40"/>
      <c r="R444" s="40"/>
      <c r="S444" s="40"/>
      <c r="T444" s="40"/>
    </row>
    <row r="445" spans="1:20">
      <c r="A445" s="40"/>
      <c r="F445" s="38"/>
      <c r="G445" s="38"/>
      <c r="H445" s="38"/>
      <c r="I445" s="38"/>
      <c r="J445" s="38"/>
      <c r="K445" s="38"/>
      <c r="L445" s="38"/>
      <c r="M445" s="38"/>
      <c r="N445" s="40"/>
      <c r="O445" s="40"/>
      <c r="P445" s="40"/>
      <c r="Q445" s="40"/>
      <c r="R445" s="40"/>
      <c r="S445" s="40"/>
      <c r="T445" s="40"/>
    </row>
    <row r="446" spans="1:20">
      <c r="A446" s="40"/>
      <c r="F446" s="38"/>
      <c r="G446" s="38"/>
      <c r="H446" s="38"/>
      <c r="I446" s="38"/>
      <c r="J446" s="38"/>
      <c r="K446" s="38"/>
      <c r="L446" s="38"/>
      <c r="M446" s="38"/>
      <c r="N446" s="40"/>
      <c r="O446" s="40"/>
      <c r="P446" s="40"/>
      <c r="Q446" s="40"/>
      <c r="R446" s="40"/>
      <c r="S446" s="40"/>
      <c r="T446" s="40"/>
    </row>
    <row r="447" spans="1:20">
      <c r="A447" s="40"/>
      <c r="F447" s="38"/>
      <c r="G447" s="38"/>
      <c r="H447" s="38"/>
      <c r="I447" s="38"/>
      <c r="J447" s="38"/>
      <c r="K447" s="38"/>
      <c r="L447" s="38"/>
      <c r="M447" s="38"/>
      <c r="N447" s="40"/>
      <c r="O447" s="40"/>
      <c r="P447" s="40"/>
      <c r="Q447" s="40"/>
      <c r="R447" s="40"/>
      <c r="S447" s="40"/>
      <c r="T447" s="40"/>
    </row>
    <row r="448" spans="1:20">
      <c r="A448" s="40"/>
      <c r="F448" s="38"/>
      <c r="G448" s="38"/>
      <c r="H448" s="38"/>
      <c r="I448" s="38"/>
      <c r="J448" s="38"/>
      <c r="K448" s="38"/>
      <c r="L448" s="38"/>
      <c r="M448" s="38"/>
      <c r="N448" s="40"/>
      <c r="O448" s="40"/>
      <c r="P448" s="40"/>
      <c r="Q448" s="40"/>
      <c r="R448" s="40"/>
      <c r="S448" s="40"/>
      <c r="T448" s="40"/>
    </row>
    <row r="449" spans="1:20">
      <c r="A449" s="40"/>
      <c r="F449" s="38"/>
      <c r="G449" s="38"/>
      <c r="H449" s="38"/>
      <c r="I449" s="38"/>
      <c r="J449" s="38"/>
      <c r="K449" s="38"/>
      <c r="L449" s="38"/>
      <c r="M449" s="38"/>
      <c r="N449" s="40"/>
      <c r="O449" s="40"/>
      <c r="P449" s="40"/>
      <c r="Q449" s="40"/>
      <c r="R449" s="40"/>
      <c r="S449" s="40"/>
      <c r="T449" s="40"/>
    </row>
    <row r="450" spans="1:20">
      <c r="A450" s="40"/>
      <c r="F450" s="38"/>
      <c r="G450" s="38"/>
      <c r="H450" s="38"/>
      <c r="I450" s="38"/>
      <c r="J450" s="38"/>
      <c r="K450" s="38"/>
      <c r="L450" s="38"/>
      <c r="M450" s="38"/>
      <c r="N450" s="40"/>
      <c r="O450" s="40"/>
      <c r="P450" s="40"/>
      <c r="Q450" s="40"/>
      <c r="R450" s="40"/>
      <c r="S450" s="40"/>
      <c r="T450" s="40"/>
    </row>
    <row r="451" spans="1:20">
      <c r="A451" s="40"/>
      <c r="F451" s="38"/>
      <c r="G451" s="38"/>
      <c r="H451" s="38"/>
      <c r="I451" s="38"/>
      <c r="J451" s="38"/>
      <c r="K451" s="38"/>
      <c r="L451" s="38"/>
      <c r="M451" s="38"/>
      <c r="N451" s="40"/>
      <c r="O451" s="40"/>
      <c r="P451" s="40"/>
      <c r="Q451" s="40"/>
      <c r="R451" s="40"/>
      <c r="S451" s="40"/>
      <c r="T451" s="40"/>
    </row>
    <row r="452" spans="1:20">
      <c r="A452" s="40"/>
      <c r="F452" s="38"/>
      <c r="G452" s="38"/>
      <c r="H452" s="38"/>
      <c r="I452" s="38"/>
      <c r="J452" s="38"/>
      <c r="K452" s="38"/>
      <c r="L452" s="38"/>
      <c r="M452" s="38"/>
      <c r="N452" s="40"/>
      <c r="O452" s="40"/>
      <c r="P452" s="40"/>
      <c r="Q452" s="40"/>
      <c r="R452" s="40"/>
      <c r="S452" s="40"/>
      <c r="T452" s="40"/>
    </row>
    <row r="453" spans="1:20">
      <c r="A453" s="40"/>
      <c r="F453" s="38"/>
      <c r="G453" s="38"/>
      <c r="H453" s="38"/>
      <c r="I453" s="38"/>
      <c r="J453" s="38"/>
      <c r="K453" s="38"/>
      <c r="L453" s="38"/>
      <c r="M453" s="38"/>
      <c r="N453" s="40"/>
      <c r="O453" s="40"/>
      <c r="P453" s="40"/>
      <c r="Q453" s="40"/>
      <c r="R453" s="40"/>
      <c r="S453" s="40"/>
      <c r="T453" s="40"/>
    </row>
    <row r="454" spans="1:20">
      <c r="A454" s="40"/>
      <c r="F454" s="38"/>
      <c r="G454" s="38"/>
      <c r="H454" s="38"/>
      <c r="I454" s="38"/>
      <c r="J454" s="38"/>
      <c r="K454" s="38"/>
      <c r="L454" s="38"/>
      <c r="M454" s="38"/>
      <c r="N454" s="40"/>
      <c r="O454" s="40"/>
      <c r="P454" s="40"/>
      <c r="Q454" s="40"/>
      <c r="R454" s="40"/>
      <c r="S454" s="40"/>
      <c r="T454" s="40"/>
    </row>
    <row r="455" spans="1:20">
      <c r="A455" s="40"/>
      <c r="F455" s="38"/>
      <c r="G455" s="38"/>
      <c r="H455" s="38"/>
      <c r="I455" s="38"/>
      <c r="J455" s="38"/>
      <c r="K455" s="38"/>
      <c r="L455" s="38"/>
      <c r="M455" s="38"/>
      <c r="N455" s="40"/>
      <c r="O455" s="40"/>
      <c r="P455" s="40"/>
      <c r="Q455" s="40"/>
      <c r="R455" s="40"/>
      <c r="S455" s="40"/>
      <c r="T455" s="40"/>
    </row>
    <row r="456" spans="1:20">
      <c r="A456" s="40"/>
      <c r="F456" s="38"/>
      <c r="G456" s="38"/>
      <c r="H456" s="38"/>
      <c r="I456" s="38"/>
      <c r="J456" s="38"/>
      <c r="K456" s="38"/>
      <c r="L456" s="38"/>
      <c r="M456" s="38"/>
      <c r="N456" s="40"/>
      <c r="O456" s="40"/>
      <c r="P456" s="40"/>
      <c r="Q456" s="40"/>
      <c r="R456" s="40"/>
      <c r="S456" s="40"/>
      <c r="T456" s="40"/>
    </row>
    <row r="457" spans="1:20">
      <c r="A457" s="40"/>
      <c r="F457" s="38"/>
      <c r="G457" s="38"/>
      <c r="H457" s="38"/>
      <c r="I457" s="38"/>
      <c r="J457" s="38"/>
      <c r="K457" s="38"/>
      <c r="L457" s="38"/>
      <c r="M457" s="38"/>
      <c r="N457" s="40"/>
      <c r="O457" s="40"/>
      <c r="P457" s="40"/>
      <c r="Q457" s="40"/>
      <c r="R457" s="40"/>
      <c r="S457" s="40"/>
      <c r="T457" s="40"/>
    </row>
    <row r="458" spans="1:20">
      <c r="A458" s="40"/>
      <c r="F458" s="38"/>
      <c r="G458" s="38"/>
      <c r="H458" s="38"/>
      <c r="I458" s="38"/>
      <c r="J458" s="38"/>
      <c r="K458" s="38"/>
      <c r="L458" s="38"/>
      <c r="M458" s="38"/>
      <c r="N458" s="40"/>
      <c r="O458" s="40"/>
      <c r="P458" s="40"/>
      <c r="Q458" s="40"/>
      <c r="R458" s="40"/>
      <c r="S458" s="40"/>
      <c r="T458" s="40"/>
    </row>
    <row r="459" spans="1:20">
      <c r="A459" s="40"/>
      <c r="F459" s="38"/>
      <c r="G459" s="38"/>
      <c r="H459" s="38"/>
      <c r="I459" s="38"/>
      <c r="J459" s="38"/>
      <c r="K459" s="38"/>
      <c r="L459" s="38"/>
      <c r="M459" s="38"/>
      <c r="N459" s="40"/>
      <c r="O459" s="40"/>
      <c r="P459" s="40"/>
      <c r="Q459" s="40"/>
      <c r="R459" s="40"/>
      <c r="S459" s="40"/>
      <c r="T459" s="40"/>
    </row>
    <row r="460" spans="1:20">
      <c r="A460" s="40"/>
      <c r="F460" s="38"/>
      <c r="G460" s="38"/>
      <c r="H460" s="38"/>
      <c r="I460" s="38"/>
      <c r="J460" s="38"/>
      <c r="K460" s="38"/>
      <c r="L460" s="38"/>
      <c r="M460" s="38"/>
      <c r="N460" s="40"/>
      <c r="O460" s="40"/>
      <c r="P460" s="40"/>
      <c r="Q460" s="40"/>
      <c r="R460" s="40"/>
      <c r="S460" s="40"/>
      <c r="T460" s="40"/>
    </row>
    <row r="461" spans="1:20">
      <c r="A461" s="40"/>
      <c r="F461" s="38"/>
      <c r="G461" s="38"/>
      <c r="H461" s="38"/>
      <c r="I461" s="38"/>
      <c r="J461" s="38"/>
      <c r="K461" s="38"/>
      <c r="L461" s="38"/>
      <c r="M461" s="38"/>
      <c r="N461" s="40"/>
      <c r="O461" s="40"/>
      <c r="P461" s="40"/>
      <c r="Q461" s="40"/>
      <c r="R461" s="40"/>
      <c r="S461" s="40"/>
      <c r="T461" s="40"/>
    </row>
    <row r="462" spans="1:20">
      <c r="A462" s="40"/>
      <c r="F462" s="38"/>
      <c r="G462" s="38"/>
      <c r="H462" s="38"/>
      <c r="I462" s="38"/>
      <c r="J462" s="38"/>
      <c r="K462" s="38"/>
      <c r="L462" s="38"/>
      <c r="M462" s="38"/>
      <c r="N462" s="40"/>
      <c r="O462" s="40"/>
      <c r="P462" s="40"/>
      <c r="Q462" s="40"/>
      <c r="R462" s="40"/>
      <c r="S462" s="40"/>
      <c r="T462" s="40"/>
    </row>
    <row r="463" spans="1:20">
      <c r="A463" s="40"/>
      <c r="F463" s="38"/>
      <c r="G463" s="38"/>
      <c r="H463" s="38"/>
      <c r="I463" s="38"/>
      <c r="J463" s="38"/>
      <c r="K463" s="38"/>
      <c r="L463" s="38"/>
      <c r="M463" s="38"/>
      <c r="N463" s="40"/>
      <c r="O463" s="40"/>
      <c r="P463" s="40"/>
      <c r="Q463" s="40"/>
      <c r="R463" s="40"/>
      <c r="S463" s="40"/>
      <c r="T463" s="40"/>
    </row>
    <row r="464" spans="1:20">
      <c r="A464" s="40"/>
      <c r="F464" s="38"/>
      <c r="G464" s="38"/>
      <c r="H464" s="38"/>
      <c r="I464" s="38"/>
      <c r="J464" s="38"/>
      <c r="K464" s="38"/>
      <c r="L464" s="38"/>
      <c r="M464" s="38"/>
      <c r="N464" s="40"/>
      <c r="O464" s="40"/>
      <c r="P464" s="40"/>
      <c r="Q464" s="40"/>
      <c r="R464" s="40"/>
      <c r="S464" s="40"/>
      <c r="T464" s="40"/>
    </row>
    <row r="465" spans="1:20">
      <c r="A465" s="40"/>
      <c r="F465" s="38"/>
      <c r="G465" s="38"/>
      <c r="H465" s="38"/>
      <c r="I465" s="38"/>
      <c r="J465" s="38"/>
      <c r="K465" s="38"/>
      <c r="L465" s="38"/>
      <c r="M465" s="38"/>
      <c r="N465" s="40"/>
      <c r="O465" s="40"/>
      <c r="P465" s="40"/>
      <c r="Q465" s="40"/>
      <c r="R465" s="40"/>
      <c r="S465" s="40"/>
      <c r="T465" s="40"/>
    </row>
    <row r="466" spans="1:20">
      <c r="A466" s="40"/>
      <c r="F466" s="38"/>
      <c r="G466" s="38"/>
      <c r="H466" s="38"/>
      <c r="I466" s="38"/>
      <c r="J466" s="38"/>
      <c r="K466" s="38"/>
      <c r="L466" s="38"/>
      <c r="M466" s="38"/>
      <c r="N466" s="40"/>
      <c r="O466" s="40"/>
      <c r="P466" s="40"/>
      <c r="Q466" s="40"/>
      <c r="R466" s="40"/>
      <c r="S466" s="40"/>
      <c r="T466" s="40"/>
    </row>
    <row r="467" spans="1:20">
      <c r="A467" s="40"/>
      <c r="F467" s="38"/>
      <c r="G467" s="38"/>
      <c r="H467" s="38"/>
      <c r="I467" s="38"/>
      <c r="J467" s="38"/>
      <c r="K467" s="38"/>
      <c r="L467" s="38"/>
      <c r="M467" s="38"/>
      <c r="N467" s="40"/>
      <c r="O467" s="40"/>
      <c r="P467" s="40"/>
      <c r="Q467" s="40"/>
      <c r="R467" s="40"/>
      <c r="S467" s="40"/>
      <c r="T467" s="40"/>
    </row>
    <row r="468" spans="1:20">
      <c r="A468" s="40"/>
      <c r="F468" s="38"/>
      <c r="G468" s="38"/>
      <c r="H468" s="38"/>
      <c r="I468" s="38"/>
      <c r="J468" s="38"/>
      <c r="K468" s="38"/>
      <c r="L468" s="38"/>
      <c r="M468" s="38"/>
      <c r="N468" s="40"/>
      <c r="O468" s="40"/>
      <c r="P468" s="40"/>
      <c r="Q468" s="40"/>
      <c r="R468" s="40"/>
      <c r="S468" s="40"/>
      <c r="T468" s="40"/>
    </row>
    <row r="469" spans="1:20">
      <c r="A469" s="40"/>
      <c r="F469" s="38"/>
      <c r="G469" s="38"/>
      <c r="H469" s="38"/>
      <c r="I469" s="38"/>
      <c r="J469" s="38"/>
      <c r="K469" s="38"/>
      <c r="L469" s="38"/>
      <c r="M469" s="38"/>
      <c r="N469" s="40"/>
      <c r="O469" s="40"/>
      <c r="P469" s="40"/>
      <c r="Q469" s="40"/>
      <c r="R469" s="40"/>
      <c r="S469" s="40"/>
      <c r="T469" s="40"/>
    </row>
    <row r="470" spans="1:20">
      <c r="A470" s="40"/>
      <c r="F470" s="38"/>
      <c r="G470" s="38"/>
      <c r="H470" s="38"/>
      <c r="I470" s="38"/>
      <c r="J470" s="38"/>
      <c r="K470" s="38"/>
      <c r="L470" s="38"/>
      <c r="M470" s="38"/>
      <c r="N470" s="40"/>
      <c r="O470" s="40"/>
      <c r="P470" s="40"/>
      <c r="Q470" s="40"/>
      <c r="R470" s="40"/>
      <c r="S470" s="40"/>
      <c r="T470" s="40"/>
    </row>
    <row r="471" spans="1:20">
      <c r="A471" s="40"/>
      <c r="F471" s="38"/>
      <c r="G471" s="38"/>
      <c r="H471" s="38"/>
      <c r="I471" s="38"/>
      <c r="J471" s="38"/>
      <c r="K471" s="38"/>
      <c r="L471" s="38"/>
      <c r="M471" s="38"/>
      <c r="N471" s="40"/>
      <c r="O471" s="40"/>
      <c r="P471" s="40"/>
      <c r="Q471" s="40"/>
      <c r="R471" s="40"/>
      <c r="S471" s="40"/>
      <c r="T471" s="40"/>
    </row>
    <row r="472" spans="1:20">
      <c r="A472" s="40"/>
      <c r="F472" s="38"/>
      <c r="G472" s="38"/>
      <c r="H472" s="38"/>
      <c r="I472" s="38"/>
      <c r="J472" s="38"/>
      <c r="K472" s="38"/>
      <c r="L472" s="38"/>
      <c r="M472" s="38"/>
      <c r="N472" s="40"/>
      <c r="O472" s="40"/>
      <c r="P472" s="40"/>
      <c r="Q472" s="40"/>
      <c r="R472" s="40"/>
      <c r="S472" s="40"/>
      <c r="T472" s="40"/>
    </row>
    <row r="473" spans="1:20">
      <c r="A473" s="40"/>
      <c r="F473" s="38"/>
      <c r="G473" s="38"/>
      <c r="H473" s="38"/>
      <c r="I473" s="38"/>
      <c r="J473" s="38"/>
      <c r="K473" s="38"/>
      <c r="L473" s="38"/>
      <c r="M473" s="38"/>
      <c r="N473" s="40"/>
      <c r="O473" s="40"/>
      <c r="P473" s="40"/>
      <c r="Q473" s="40"/>
      <c r="R473" s="40"/>
      <c r="S473" s="40"/>
      <c r="T473" s="40"/>
    </row>
    <row r="474" spans="1:20">
      <c r="A474" s="40"/>
      <c r="F474" s="38"/>
      <c r="G474" s="38"/>
      <c r="H474" s="38"/>
      <c r="I474" s="38"/>
      <c r="J474" s="38"/>
      <c r="K474" s="38"/>
      <c r="L474" s="38"/>
      <c r="M474" s="38"/>
      <c r="N474" s="40"/>
      <c r="O474" s="40"/>
      <c r="P474" s="40"/>
      <c r="Q474" s="40"/>
      <c r="R474" s="40"/>
      <c r="S474" s="40"/>
      <c r="T474" s="40"/>
    </row>
    <row r="475" spans="1:20">
      <c r="A475" s="40"/>
      <c r="F475" s="38"/>
      <c r="G475" s="38"/>
      <c r="H475" s="38"/>
      <c r="I475" s="38"/>
      <c r="J475" s="38"/>
      <c r="K475" s="38"/>
      <c r="L475" s="38"/>
      <c r="M475" s="38"/>
      <c r="N475" s="40"/>
      <c r="O475" s="40"/>
      <c r="P475" s="40"/>
      <c r="Q475" s="40"/>
      <c r="R475" s="40"/>
      <c r="S475" s="40"/>
      <c r="T475" s="40"/>
    </row>
    <row r="476" spans="1:20">
      <c r="A476" s="40"/>
      <c r="F476" s="38"/>
      <c r="G476" s="38"/>
      <c r="H476" s="38"/>
      <c r="I476" s="38"/>
      <c r="J476" s="38"/>
      <c r="K476" s="38"/>
      <c r="L476" s="38"/>
      <c r="M476" s="38"/>
      <c r="N476" s="40"/>
      <c r="O476" s="40"/>
      <c r="P476" s="40"/>
      <c r="Q476" s="40"/>
      <c r="R476" s="40"/>
      <c r="S476" s="40"/>
      <c r="T476" s="40"/>
    </row>
    <row r="477" spans="1:20">
      <c r="A477" s="40"/>
      <c r="F477" s="38"/>
      <c r="G477" s="38"/>
      <c r="H477" s="38"/>
      <c r="I477" s="38"/>
      <c r="J477" s="38"/>
      <c r="K477" s="38"/>
      <c r="L477" s="38"/>
      <c r="M477" s="38"/>
      <c r="N477" s="40"/>
      <c r="O477" s="40"/>
      <c r="P477" s="40"/>
      <c r="Q477" s="40"/>
      <c r="R477" s="40"/>
      <c r="S477" s="40"/>
      <c r="T477" s="40"/>
    </row>
    <row r="478" spans="1:20">
      <c r="A478" s="40"/>
      <c r="F478" s="38"/>
      <c r="G478" s="38"/>
      <c r="H478" s="38"/>
      <c r="I478" s="38"/>
      <c r="J478" s="38"/>
      <c r="K478" s="38"/>
      <c r="L478" s="38"/>
      <c r="M478" s="38"/>
      <c r="N478" s="40"/>
      <c r="O478" s="40"/>
      <c r="P478" s="40"/>
      <c r="Q478" s="40"/>
      <c r="R478" s="40"/>
      <c r="S478" s="40"/>
      <c r="T478" s="40"/>
    </row>
    <row r="479" spans="1:20">
      <c r="A479" s="40"/>
      <c r="F479" s="38"/>
      <c r="G479" s="38"/>
      <c r="H479" s="38"/>
      <c r="I479" s="38"/>
      <c r="J479" s="38"/>
      <c r="K479" s="38"/>
      <c r="L479" s="38"/>
      <c r="M479" s="38"/>
      <c r="N479" s="40"/>
      <c r="O479" s="40"/>
      <c r="P479" s="40"/>
      <c r="Q479" s="40"/>
      <c r="R479" s="40"/>
      <c r="S479" s="40"/>
      <c r="T479" s="40"/>
    </row>
    <row r="480" spans="1:20">
      <c r="A480" s="40"/>
      <c r="F480" s="38"/>
      <c r="G480" s="38"/>
      <c r="H480" s="38"/>
      <c r="I480" s="38"/>
      <c r="J480" s="38"/>
      <c r="K480" s="38"/>
      <c r="L480" s="38"/>
      <c r="M480" s="38"/>
      <c r="N480" s="40"/>
      <c r="O480" s="40"/>
      <c r="P480" s="40"/>
      <c r="Q480" s="40"/>
      <c r="R480" s="40"/>
      <c r="S480" s="40"/>
      <c r="T480" s="40"/>
    </row>
    <row r="481" spans="1:20">
      <c r="A481" s="40"/>
      <c r="F481" s="38"/>
      <c r="G481" s="38"/>
      <c r="H481" s="38"/>
      <c r="I481" s="38"/>
      <c r="J481" s="38"/>
      <c r="K481" s="38"/>
      <c r="L481" s="38"/>
      <c r="M481" s="38"/>
      <c r="N481" s="40"/>
      <c r="O481" s="40"/>
      <c r="P481" s="40"/>
      <c r="Q481" s="40"/>
      <c r="R481" s="40"/>
      <c r="S481" s="40"/>
      <c r="T481" s="40"/>
    </row>
    <row r="482" spans="1:20">
      <c r="A482" s="40"/>
      <c r="F482" s="38"/>
      <c r="G482" s="38"/>
      <c r="H482" s="38"/>
      <c r="I482" s="38"/>
      <c r="J482" s="38"/>
      <c r="K482" s="38"/>
      <c r="L482" s="38"/>
      <c r="M482" s="38"/>
      <c r="N482" s="40"/>
      <c r="O482" s="40"/>
      <c r="P482" s="40"/>
      <c r="Q482" s="40"/>
      <c r="R482" s="40"/>
      <c r="S482" s="40"/>
      <c r="T482" s="40"/>
    </row>
    <row r="483" spans="1:20">
      <c r="A483" s="40"/>
      <c r="F483" s="38"/>
      <c r="G483" s="38"/>
      <c r="H483" s="38"/>
      <c r="I483" s="38"/>
      <c r="J483" s="38"/>
      <c r="K483" s="38"/>
      <c r="L483" s="38"/>
      <c r="M483" s="38"/>
      <c r="N483" s="40"/>
      <c r="O483" s="40"/>
      <c r="P483" s="40"/>
      <c r="Q483" s="40"/>
      <c r="R483" s="40"/>
      <c r="S483" s="40"/>
      <c r="T483" s="40"/>
    </row>
    <row r="484" spans="1:20">
      <c r="A484" s="40"/>
      <c r="F484" s="38"/>
      <c r="G484" s="38"/>
      <c r="H484" s="38"/>
      <c r="I484" s="38"/>
      <c r="J484" s="38"/>
      <c r="K484" s="38"/>
      <c r="L484" s="38"/>
      <c r="M484" s="38"/>
      <c r="N484" s="40"/>
      <c r="O484" s="40"/>
      <c r="P484" s="40"/>
      <c r="Q484" s="40"/>
      <c r="R484" s="40"/>
      <c r="S484" s="40"/>
      <c r="T484" s="40"/>
    </row>
    <row r="485" spans="1:20">
      <c r="A485" s="40"/>
      <c r="F485" s="38"/>
      <c r="G485" s="38"/>
      <c r="H485" s="38"/>
      <c r="I485" s="38"/>
      <c r="J485" s="38"/>
      <c r="K485" s="38"/>
      <c r="L485" s="38"/>
      <c r="M485" s="38"/>
      <c r="N485" s="40"/>
      <c r="O485" s="40"/>
      <c r="P485" s="40"/>
      <c r="Q485" s="40"/>
      <c r="R485" s="40"/>
      <c r="S485" s="40"/>
      <c r="T485" s="40"/>
    </row>
    <row r="486" spans="1:20">
      <c r="A486" s="40"/>
      <c r="F486" s="38"/>
      <c r="G486" s="38"/>
      <c r="H486" s="38"/>
      <c r="I486" s="38"/>
      <c r="J486" s="38"/>
      <c r="K486" s="38"/>
      <c r="L486" s="38"/>
      <c r="M486" s="38"/>
      <c r="N486" s="40"/>
      <c r="O486" s="40"/>
      <c r="P486" s="40"/>
      <c r="Q486" s="40"/>
      <c r="R486" s="40"/>
      <c r="S486" s="40"/>
      <c r="T486" s="40"/>
    </row>
    <row r="487" spans="1:20">
      <c r="A487" s="40"/>
      <c r="F487" s="38"/>
      <c r="G487" s="38"/>
      <c r="H487" s="38"/>
      <c r="I487" s="38"/>
      <c r="J487" s="38"/>
      <c r="K487" s="38"/>
      <c r="L487" s="38"/>
      <c r="M487" s="38"/>
      <c r="N487" s="40"/>
      <c r="O487" s="40"/>
      <c r="P487" s="40"/>
      <c r="Q487" s="40"/>
      <c r="R487" s="40"/>
      <c r="S487" s="40"/>
      <c r="T487" s="40"/>
    </row>
    <row r="488" spans="1:20">
      <c r="A488" s="40"/>
      <c r="F488" s="38"/>
      <c r="G488" s="38"/>
      <c r="H488" s="38"/>
      <c r="I488" s="38"/>
      <c r="J488" s="38"/>
      <c r="K488" s="38"/>
      <c r="L488" s="38"/>
      <c r="M488" s="38"/>
      <c r="N488" s="40"/>
      <c r="O488" s="40"/>
      <c r="P488" s="40"/>
      <c r="Q488" s="40"/>
      <c r="R488" s="40"/>
      <c r="S488" s="40"/>
      <c r="T488" s="40"/>
    </row>
    <row r="489" spans="1:20">
      <c r="A489" s="40"/>
      <c r="F489" s="38"/>
      <c r="G489" s="38"/>
      <c r="H489" s="38"/>
      <c r="I489" s="38"/>
      <c r="J489" s="38"/>
      <c r="K489" s="38"/>
      <c r="L489" s="38"/>
      <c r="M489" s="38"/>
      <c r="N489" s="40"/>
      <c r="O489" s="40"/>
      <c r="P489" s="40"/>
      <c r="Q489" s="40"/>
      <c r="R489" s="40"/>
      <c r="S489" s="40"/>
      <c r="T489" s="40"/>
    </row>
    <row r="490" spans="1:20">
      <c r="A490" s="40"/>
      <c r="F490" s="38"/>
      <c r="G490" s="38"/>
      <c r="H490" s="38"/>
      <c r="I490" s="38"/>
      <c r="J490" s="38"/>
      <c r="K490" s="38"/>
      <c r="L490" s="38"/>
      <c r="M490" s="38"/>
      <c r="N490" s="40"/>
      <c r="O490" s="40"/>
      <c r="P490" s="40"/>
      <c r="Q490" s="40"/>
      <c r="R490" s="40"/>
      <c r="S490" s="40"/>
      <c r="T490" s="40"/>
    </row>
    <row r="491" spans="1:20">
      <c r="A491" s="40"/>
      <c r="F491" s="38"/>
      <c r="G491" s="38"/>
      <c r="H491" s="38"/>
      <c r="I491" s="38"/>
      <c r="J491" s="38"/>
      <c r="K491" s="38"/>
      <c r="L491" s="38"/>
      <c r="M491" s="38"/>
      <c r="N491" s="40"/>
      <c r="O491" s="40"/>
      <c r="P491" s="40"/>
      <c r="Q491" s="40"/>
      <c r="R491" s="40"/>
      <c r="S491" s="40"/>
      <c r="T491" s="40"/>
    </row>
    <row r="492" spans="1:20">
      <c r="A492" s="40"/>
      <c r="F492" s="38"/>
      <c r="G492" s="38"/>
      <c r="H492" s="38"/>
      <c r="I492" s="38"/>
      <c r="J492" s="38"/>
      <c r="K492" s="38"/>
      <c r="L492" s="38"/>
      <c r="M492" s="38"/>
      <c r="N492" s="40"/>
      <c r="O492" s="40"/>
      <c r="P492" s="40"/>
      <c r="Q492" s="40"/>
      <c r="R492" s="40"/>
      <c r="S492" s="40"/>
      <c r="T492" s="40"/>
    </row>
    <row r="493" spans="1:20">
      <c r="A493" s="40"/>
      <c r="F493" s="38"/>
      <c r="G493" s="38"/>
      <c r="H493" s="38"/>
      <c r="I493" s="38"/>
      <c r="J493" s="38"/>
      <c r="K493" s="38"/>
      <c r="L493" s="38"/>
      <c r="M493" s="38"/>
      <c r="N493" s="40"/>
      <c r="O493" s="40"/>
      <c r="P493" s="40"/>
      <c r="Q493" s="40"/>
      <c r="R493" s="40"/>
      <c r="S493" s="40"/>
      <c r="T493" s="40"/>
    </row>
    <row r="494" spans="1:20">
      <c r="A494" s="40"/>
      <c r="F494" s="38"/>
      <c r="G494" s="38"/>
      <c r="H494" s="38"/>
      <c r="I494" s="38"/>
      <c r="J494" s="38"/>
      <c r="K494" s="38"/>
      <c r="L494" s="38"/>
      <c r="M494" s="38"/>
      <c r="N494" s="40"/>
      <c r="O494" s="40"/>
      <c r="P494" s="40"/>
      <c r="Q494" s="40"/>
      <c r="R494" s="40"/>
      <c r="S494" s="40"/>
      <c r="T494" s="40"/>
    </row>
    <row r="495" spans="1:20">
      <c r="A495" s="40"/>
      <c r="F495" s="38"/>
      <c r="G495" s="38"/>
      <c r="H495" s="38"/>
      <c r="I495" s="38"/>
      <c r="J495" s="38"/>
      <c r="K495" s="38"/>
      <c r="L495" s="38"/>
      <c r="M495" s="38"/>
      <c r="N495" s="40"/>
      <c r="O495" s="40"/>
      <c r="P495" s="40"/>
      <c r="Q495" s="40"/>
      <c r="R495" s="40"/>
      <c r="S495" s="40"/>
      <c r="T495" s="40"/>
    </row>
    <row r="496" spans="1:20">
      <c r="A496" s="40"/>
      <c r="F496" s="38"/>
      <c r="G496" s="38"/>
      <c r="H496" s="38"/>
      <c r="I496" s="38"/>
      <c r="J496" s="38"/>
      <c r="K496" s="38"/>
      <c r="L496" s="38"/>
      <c r="M496" s="38"/>
      <c r="N496" s="40"/>
      <c r="O496" s="40"/>
      <c r="P496" s="40"/>
      <c r="Q496" s="40"/>
      <c r="R496" s="40"/>
      <c r="S496" s="40"/>
      <c r="T496" s="40"/>
    </row>
    <row r="497" spans="1:20">
      <c r="A497" s="40"/>
      <c r="F497" s="38"/>
      <c r="G497" s="38"/>
      <c r="H497" s="38"/>
      <c r="I497" s="38"/>
      <c r="J497" s="38"/>
      <c r="K497" s="38"/>
      <c r="L497" s="38"/>
      <c r="M497" s="38"/>
      <c r="N497" s="40"/>
      <c r="O497" s="40"/>
      <c r="P497" s="40"/>
      <c r="Q497" s="40"/>
      <c r="R497" s="40"/>
      <c r="S497" s="40"/>
      <c r="T497" s="40"/>
    </row>
    <row r="498" spans="1:20">
      <c r="A498" s="40"/>
      <c r="F498" s="38"/>
      <c r="G498" s="38"/>
      <c r="H498" s="38"/>
      <c r="I498" s="38"/>
      <c r="J498" s="38"/>
      <c r="K498" s="38"/>
      <c r="L498" s="38"/>
      <c r="M498" s="38"/>
      <c r="N498" s="40"/>
      <c r="O498" s="40"/>
      <c r="P498" s="40"/>
      <c r="Q498" s="40"/>
      <c r="R498" s="40"/>
      <c r="S498" s="40"/>
      <c r="T498" s="40"/>
    </row>
    <row r="499" spans="1:20">
      <c r="A499" s="40"/>
      <c r="F499" s="38"/>
      <c r="G499" s="38"/>
      <c r="H499" s="38"/>
      <c r="I499" s="38"/>
      <c r="J499" s="38"/>
      <c r="K499" s="38"/>
      <c r="L499" s="38"/>
      <c r="M499" s="38"/>
      <c r="N499" s="40"/>
      <c r="O499" s="40"/>
      <c r="P499" s="40"/>
      <c r="Q499" s="40"/>
      <c r="R499" s="40"/>
      <c r="S499" s="40"/>
      <c r="T499" s="40"/>
    </row>
    <row r="500" spans="1:20">
      <c r="A500" s="40"/>
      <c r="F500" s="38"/>
      <c r="G500" s="38"/>
      <c r="H500" s="38"/>
      <c r="I500" s="38"/>
      <c r="J500" s="38"/>
      <c r="K500" s="38"/>
      <c r="L500" s="38"/>
      <c r="M500" s="38"/>
      <c r="N500" s="40"/>
      <c r="O500" s="40"/>
      <c r="P500" s="40"/>
      <c r="Q500" s="40"/>
      <c r="R500" s="40"/>
      <c r="S500" s="40"/>
      <c r="T500" s="40"/>
    </row>
    <row r="501" spans="1:20">
      <c r="A501" s="40"/>
      <c r="F501" s="38"/>
      <c r="G501" s="38"/>
      <c r="H501" s="38"/>
      <c r="I501" s="38"/>
      <c r="J501" s="38"/>
      <c r="K501" s="38"/>
      <c r="L501" s="38"/>
      <c r="M501" s="38"/>
      <c r="N501" s="40"/>
      <c r="O501" s="40"/>
      <c r="P501" s="40"/>
      <c r="Q501" s="40"/>
      <c r="R501" s="40"/>
      <c r="S501" s="40"/>
      <c r="T501" s="40"/>
    </row>
    <row r="502" spans="1:20">
      <c r="A502" s="40"/>
      <c r="F502" s="38"/>
      <c r="G502" s="38"/>
      <c r="H502" s="38"/>
      <c r="I502" s="38"/>
      <c r="J502" s="38"/>
      <c r="K502" s="38"/>
      <c r="L502" s="38"/>
      <c r="M502" s="38"/>
      <c r="N502" s="40"/>
      <c r="O502" s="40"/>
      <c r="P502" s="40"/>
      <c r="Q502" s="40"/>
      <c r="R502" s="40"/>
      <c r="S502" s="40"/>
      <c r="T502" s="40"/>
    </row>
    <row r="503" spans="1:20">
      <c r="A503" s="40"/>
      <c r="F503" s="38"/>
      <c r="G503" s="38"/>
      <c r="H503" s="38"/>
      <c r="I503" s="38"/>
      <c r="J503" s="38"/>
      <c r="K503" s="38"/>
      <c r="L503" s="38"/>
      <c r="M503" s="38"/>
      <c r="N503" s="40"/>
      <c r="O503" s="40"/>
      <c r="P503" s="40"/>
      <c r="Q503" s="40"/>
      <c r="R503" s="40"/>
      <c r="S503" s="40"/>
      <c r="T503" s="40"/>
    </row>
    <row r="504" spans="1:20">
      <c r="A504" s="40"/>
      <c r="F504" s="38"/>
      <c r="G504" s="38"/>
      <c r="H504" s="38"/>
      <c r="I504" s="38"/>
      <c r="J504" s="38"/>
      <c r="K504" s="38"/>
      <c r="L504" s="38"/>
      <c r="M504" s="38"/>
      <c r="N504" s="40"/>
      <c r="O504" s="40"/>
      <c r="P504" s="40"/>
      <c r="Q504" s="40"/>
      <c r="R504" s="40"/>
      <c r="S504" s="40"/>
      <c r="T504" s="40"/>
    </row>
    <row r="505" spans="1:20">
      <c r="A505" s="40"/>
      <c r="F505" s="38"/>
      <c r="G505" s="38"/>
      <c r="H505" s="38"/>
      <c r="I505" s="38"/>
      <c r="J505" s="38"/>
      <c r="K505" s="38"/>
      <c r="L505" s="38"/>
      <c r="M505" s="38"/>
      <c r="N505" s="40"/>
      <c r="O505" s="40"/>
      <c r="P505" s="40"/>
      <c r="Q505" s="40"/>
      <c r="R505" s="40"/>
      <c r="S505" s="40"/>
      <c r="T505" s="40"/>
    </row>
    <row r="506" spans="1:20">
      <c r="A506" s="40"/>
      <c r="F506" s="38"/>
      <c r="G506" s="38"/>
      <c r="H506" s="38"/>
      <c r="I506" s="38"/>
      <c r="J506" s="38"/>
      <c r="K506" s="38"/>
      <c r="L506" s="38"/>
      <c r="M506" s="38"/>
      <c r="N506" s="40"/>
      <c r="O506" s="40"/>
      <c r="P506" s="40"/>
      <c r="Q506" s="40"/>
      <c r="R506" s="40"/>
      <c r="S506" s="40"/>
      <c r="T506" s="40"/>
    </row>
    <row r="507" spans="1:20">
      <c r="A507" s="40"/>
      <c r="F507" s="38"/>
      <c r="G507" s="38"/>
      <c r="H507" s="38"/>
      <c r="I507" s="38"/>
      <c r="J507" s="38"/>
      <c r="K507" s="38"/>
      <c r="L507" s="38"/>
      <c r="M507" s="38"/>
      <c r="N507" s="40"/>
      <c r="O507" s="40"/>
      <c r="P507" s="40"/>
      <c r="Q507" s="40"/>
      <c r="R507" s="40"/>
      <c r="S507" s="40"/>
      <c r="T507" s="40"/>
    </row>
    <row r="508" spans="1:20">
      <c r="A508" s="40"/>
      <c r="F508" s="38"/>
      <c r="G508" s="38"/>
      <c r="H508" s="38"/>
      <c r="I508" s="38"/>
      <c r="J508" s="38"/>
      <c r="K508" s="38"/>
      <c r="L508" s="38"/>
      <c r="M508" s="38"/>
      <c r="N508" s="40"/>
      <c r="O508" s="40"/>
      <c r="P508" s="40"/>
      <c r="Q508" s="40"/>
      <c r="R508" s="40"/>
      <c r="S508" s="40"/>
      <c r="T508" s="40"/>
    </row>
    <row r="509" spans="1:20">
      <c r="A509" s="40"/>
      <c r="F509" s="38"/>
      <c r="G509" s="38"/>
      <c r="H509" s="38"/>
      <c r="I509" s="38"/>
      <c r="J509" s="38"/>
      <c r="K509" s="38"/>
      <c r="L509" s="38"/>
      <c r="M509" s="38"/>
      <c r="N509" s="40"/>
      <c r="O509" s="40"/>
      <c r="P509" s="40"/>
      <c r="Q509" s="40"/>
      <c r="R509" s="40"/>
      <c r="S509" s="40"/>
      <c r="T509" s="40"/>
    </row>
    <row r="510" spans="1:20">
      <c r="A510" s="40"/>
      <c r="F510" s="38"/>
      <c r="G510" s="38"/>
      <c r="H510" s="38"/>
      <c r="I510" s="38"/>
      <c r="J510" s="38"/>
      <c r="K510" s="38"/>
      <c r="L510" s="38"/>
      <c r="M510" s="38"/>
      <c r="N510" s="40"/>
      <c r="O510" s="40"/>
      <c r="P510" s="40"/>
      <c r="Q510" s="40"/>
      <c r="R510" s="40"/>
      <c r="S510" s="40"/>
      <c r="T510" s="40"/>
    </row>
    <row r="511" spans="1:20">
      <c r="A511" s="40"/>
      <c r="F511" s="38"/>
      <c r="G511" s="38"/>
      <c r="H511" s="38"/>
      <c r="I511" s="38"/>
      <c r="J511" s="38"/>
      <c r="K511" s="38"/>
      <c r="L511" s="38"/>
      <c r="M511" s="38"/>
      <c r="N511" s="40"/>
      <c r="O511" s="40"/>
      <c r="P511" s="40"/>
      <c r="Q511" s="40"/>
      <c r="R511" s="40"/>
      <c r="S511" s="40"/>
      <c r="T511" s="40"/>
    </row>
    <row r="512" spans="1:20">
      <c r="A512" s="40"/>
      <c r="F512" s="38"/>
      <c r="G512" s="38"/>
      <c r="H512" s="38"/>
      <c r="I512" s="38"/>
      <c r="J512" s="38"/>
      <c r="K512" s="38"/>
      <c r="L512" s="38"/>
      <c r="M512" s="38"/>
      <c r="N512" s="40"/>
      <c r="O512" s="40"/>
      <c r="P512" s="40"/>
      <c r="Q512" s="40"/>
      <c r="R512" s="40"/>
      <c r="S512" s="40"/>
      <c r="T512" s="40"/>
    </row>
    <row r="513" spans="1:20">
      <c r="A513" s="40"/>
      <c r="F513" s="38"/>
      <c r="G513" s="38"/>
      <c r="H513" s="38"/>
      <c r="I513" s="38"/>
      <c r="J513" s="38"/>
      <c r="K513" s="38"/>
      <c r="L513" s="38"/>
      <c r="M513" s="38"/>
      <c r="N513" s="40"/>
      <c r="O513" s="40"/>
      <c r="P513" s="40"/>
      <c r="Q513" s="40"/>
      <c r="R513" s="40"/>
      <c r="S513" s="40"/>
      <c r="T513" s="40"/>
    </row>
    <row r="514" spans="1:20">
      <c r="A514" s="40"/>
      <c r="F514" s="38"/>
      <c r="G514" s="38"/>
      <c r="H514" s="38"/>
      <c r="I514" s="38"/>
      <c r="J514" s="38"/>
      <c r="K514" s="38"/>
      <c r="L514" s="38"/>
      <c r="M514" s="38"/>
      <c r="N514" s="40"/>
      <c r="O514" s="40"/>
      <c r="P514" s="40"/>
      <c r="Q514" s="40"/>
      <c r="R514" s="40"/>
      <c r="S514" s="40"/>
      <c r="T514" s="40"/>
    </row>
    <row r="515" spans="1:20">
      <c r="A515" s="40"/>
      <c r="F515" s="38"/>
      <c r="G515" s="38"/>
      <c r="H515" s="38"/>
      <c r="I515" s="38"/>
      <c r="J515" s="38"/>
      <c r="K515" s="38"/>
      <c r="L515" s="38"/>
      <c r="M515" s="38"/>
      <c r="N515" s="40"/>
      <c r="O515" s="40"/>
      <c r="P515" s="40"/>
      <c r="Q515" s="40"/>
      <c r="R515" s="40"/>
      <c r="S515" s="40"/>
      <c r="T515" s="40"/>
    </row>
    <row r="516" spans="1:20">
      <c r="A516" s="40"/>
      <c r="F516" s="38"/>
      <c r="G516" s="38"/>
      <c r="H516" s="38"/>
      <c r="I516" s="38"/>
      <c r="J516" s="38"/>
      <c r="K516" s="38"/>
      <c r="L516" s="38"/>
      <c r="M516" s="38"/>
      <c r="N516" s="40"/>
      <c r="O516" s="40"/>
      <c r="P516" s="40"/>
      <c r="Q516" s="40"/>
      <c r="R516" s="40"/>
      <c r="S516" s="40"/>
      <c r="T516" s="40"/>
    </row>
    <row r="517" spans="1:20">
      <c r="A517" s="40"/>
      <c r="F517" s="38"/>
      <c r="G517" s="38"/>
      <c r="H517" s="38"/>
      <c r="I517" s="38"/>
      <c r="J517" s="38"/>
      <c r="K517" s="38"/>
      <c r="L517" s="38"/>
      <c r="M517" s="38"/>
      <c r="N517" s="40"/>
      <c r="O517" s="40"/>
      <c r="P517" s="40"/>
      <c r="Q517" s="40"/>
      <c r="R517" s="40"/>
      <c r="S517" s="40"/>
      <c r="T517" s="40"/>
    </row>
    <row r="518" spans="1:20">
      <c r="A518" s="40"/>
      <c r="F518" s="38"/>
      <c r="G518" s="38"/>
      <c r="H518" s="38"/>
      <c r="I518" s="38"/>
      <c r="J518" s="38"/>
      <c r="K518" s="38"/>
      <c r="L518" s="38"/>
      <c r="M518" s="38"/>
      <c r="N518" s="40"/>
      <c r="O518" s="40"/>
      <c r="P518" s="40"/>
      <c r="Q518" s="40"/>
      <c r="R518" s="40"/>
      <c r="S518" s="40"/>
      <c r="T518" s="40"/>
    </row>
    <row r="519" spans="1:20">
      <c r="A519" s="40"/>
      <c r="F519" s="38"/>
      <c r="G519" s="38"/>
      <c r="H519" s="38"/>
      <c r="I519" s="38"/>
      <c r="J519" s="38"/>
      <c r="K519" s="38"/>
      <c r="L519" s="38"/>
      <c r="M519" s="38"/>
      <c r="N519" s="40"/>
      <c r="O519" s="40"/>
      <c r="P519" s="40"/>
      <c r="Q519" s="40"/>
      <c r="R519" s="40"/>
      <c r="S519" s="40"/>
      <c r="T519" s="40"/>
    </row>
    <row r="520" spans="1:20">
      <c r="A520" s="40"/>
      <c r="F520" s="38"/>
      <c r="G520" s="38"/>
      <c r="H520" s="38"/>
      <c r="I520" s="38"/>
      <c r="J520" s="38"/>
      <c r="K520" s="38"/>
      <c r="L520" s="38"/>
      <c r="M520" s="38"/>
      <c r="N520" s="40"/>
      <c r="O520" s="40"/>
      <c r="P520" s="40"/>
      <c r="Q520" s="40"/>
      <c r="R520" s="40"/>
      <c r="S520" s="40"/>
      <c r="T520" s="40"/>
    </row>
    <row r="521" spans="1:20">
      <c r="A521" s="40"/>
      <c r="F521" s="38"/>
      <c r="G521" s="38"/>
      <c r="H521" s="38"/>
      <c r="I521" s="38"/>
      <c r="J521" s="38"/>
      <c r="K521" s="38"/>
      <c r="L521" s="38"/>
      <c r="M521" s="38"/>
      <c r="N521" s="40"/>
      <c r="O521" s="40"/>
      <c r="P521" s="40"/>
      <c r="Q521" s="40"/>
      <c r="R521" s="40"/>
      <c r="S521" s="40"/>
      <c r="T521" s="40"/>
    </row>
    <row r="522" spans="1:20">
      <c r="A522" s="40"/>
      <c r="F522" s="38"/>
      <c r="G522" s="38"/>
      <c r="H522" s="38"/>
      <c r="I522" s="38"/>
      <c r="J522" s="38"/>
      <c r="K522" s="38"/>
      <c r="L522" s="38"/>
      <c r="M522" s="38"/>
      <c r="N522" s="40"/>
      <c r="O522" s="40"/>
      <c r="P522" s="40"/>
      <c r="Q522" s="40"/>
      <c r="R522" s="40"/>
      <c r="S522" s="40"/>
      <c r="T522" s="40"/>
    </row>
    <row r="523" spans="1:20">
      <c r="A523" s="40"/>
      <c r="F523" s="38"/>
      <c r="G523" s="38"/>
      <c r="H523" s="38"/>
      <c r="I523" s="38"/>
      <c r="J523" s="38"/>
      <c r="K523" s="38"/>
      <c r="L523" s="38"/>
      <c r="M523" s="38"/>
      <c r="N523" s="40"/>
      <c r="O523" s="40"/>
      <c r="P523" s="40"/>
      <c r="Q523" s="40"/>
      <c r="R523" s="40"/>
      <c r="S523" s="40"/>
      <c r="T523" s="40"/>
    </row>
    <row r="524" spans="1:20">
      <c r="A524" s="40"/>
      <c r="F524" s="38"/>
      <c r="G524" s="38"/>
      <c r="H524" s="38"/>
      <c r="I524" s="38"/>
      <c r="J524" s="38"/>
      <c r="K524" s="38"/>
      <c r="L524" s="38"/>
      <c r="M524" s="38"/>
      <c r="N524" s="40"/>
      <c r="O524" s="40"/>
      <c r="P524" s="40"/>
      <c r="Q524" s="40"/>
      <c r="R524" s="40"/>
      <c r="S524" s="40"/>
      <c r="T524" s="40"/>
    </row>
    <row r="525" spans="1:20">
      <c r="A525" s="40"/>
      <c r="F525" s="38"/>
      <c r="G525" s="38"/>
      <c r="H525" s="38"/>
      <c r="I525" s="38"/>
      <c r="J525" s="38"/>
      <c r="K525" s="38"/>
      <c r="L525" s="38"/>
      <c r="M525" s="38"/>
      <c r="N525" s="40"/>
      <c r="O525" s="40"/>
      <c r="P525" s="40"/>
      <c r="Q525" s="40"/>
      <c r="R525" s="40"/>
      <c r="S525" s="40"/>
      <c r="T525" s="40"/>
    </row>
    <row r="526" spans="1:20">
      <c r="A526" s="40"/>
      <c r="F526" s="38"/>
      <c r="G526" s="38"/>
      <c r="H526" s="38"/>
      <c r="I526" s="38"/>
      <c r="J526" s="38"/>
      <c r="K526" s="38"/>
      <c r="L526" s="38"/>
      <c r="M526" s="38"/>
      <c r="N526" s="40"/>
      <c r="O526" s="40"/>
      <c r="P526" s="40"/>
      <c r="Q526" s="40"/>
      <c r="R526" s="40"/>
      <c r="S526" s="40"/>
      <c r="T526" s="40"/>
    </row>
    <row r="527" spans="1:20">
      <c r="A527" s="40"/>
      <c r="F527" s="38"/>
      <c r="G527" s="38"/>
      <c r="H527" s="38"/>
      <c r="I527" s="38"/>
      <c r="J527" s="38"/>
      <c r="K527" s="38"/>
      <c r="L527" s="38"/>
      <c r="M527" s="38"/>
      <c r="N527" s="40"/>
      <c r="O527" s="40"/>
      <c r="P527" s="40"/>
      <c r="Q527" s="40"/>
      <c r="R527" s="40"/>
      <c r="S527" s="40"/>
      <c r="T527" s="40"/>
    </row>
    <row r="528" spans="1:20">
      <c r="A528" s="40"/>
      <c r="F528" s="38"/>
      <c r="G528" s="38"/>
      <c r="H528" s="38"/>
      <c r="I528" s="38"/>
      <c r="J528" s="38"/>
      <c r="K528" s="38"/>
      <c r="L528" s="38"/>
      <c r="M528" s="38"/>
      <c r="N528" s="40"/>
      <c r="O528" s="40"/>
      <c r="P528" s="40"/>
      <c r="Q528" s="40"/>
      <c r="R528" s="40"/>
      <c r="S528" s="40"/>
      <c r="T528" s="40"/>
    </row>
    <row r="529" spans="1:20">
      <c r="A529" s="40"/>
      <c r="F529" s="38"/>
      <c r="G529" s="38"/>
      <c r="H529" s="38"/>
      <c r="I529" s="38"/>
      <c r="J529" s="38"/>
      <c r="K529" s="38"/>
      <c r="L529" s="38"/>
      <c r="M529" s="38"/>
      <c r="N529" s="40"/>
      <c r="O529" s="40"/>
      <c r="P529" s="40"/>
      <c r="Q529" s="40"/>
      <c r="R529" s="40"/>
      <c r="S529" s="40"/>
      <c r="T529" s="40"/>
    </row>
    <row r="530" spans="1:20">
      <c r="A530" s="40"/>
      <c r="F530" s="38"/>
      <c r="G530" s="38"/>
      <c r="H530" s="38"/>
      <c r="I530" s="38"/>
      <c r="J530" s="38"/>
      <c r="K530" s="38"/>
      <c r="L530" s="38"/>
      <c r="M530" s="38"/>
      <c r="N530" s="40"/>
      <c r="O530" s="40"/>
      <c r="P530" s="40"/>
      <c r="Q530" s="40"/>
      <c r="R530" s="40"/>
      <c r="S530" s="40"/>
      <c r="T530" s="40"/>
    </row>
    <row r="531" spans="1:20">
      <c r="A531" s="40"/>
      <c r="F531" s="38"/>
      <c r="G531" s="38"/>
      <c r="H531" s="38"/>
      <c r="I531" s="38"/>
      <c r="J531" s="38"/>
      <c r="K531" s="38"/>
      <c r="L531" s="38"/>
      <c r="M531" s="38"/>
      <c r="N531" s="40"/>
      <c r="O531" s="40"/>
      <c r="P531" s="40"/>
      <c r="Q531" s="40"/>
      <c r="R531" s="40"/>
      <c r="S531" s="40"/>
      <c r="T531" s="40"/>
    </row>
    <row r="532" spans="1:20">
      <c r="A532" s="40"/>
      <c r="F532" s="38"/>
      <c r="G532" s="38"/>
      <c r="H532" s="38"/>
      <c r="I532" s="38"/>
      <c r="J532" s="38"/>
      <c r="K532" s="38"/>
      <c r="L532" s="38"/>
      <c r="M532" s="38"/>
      <c r="N532" s="40"/>
      <c r="O532" s="40"/>
      <c r="P532" s="40"/>
      <c r="Q532" s="40"/>
      <c r="R532" s="40"/>
      <c r="S532" s="40"/>
      <c r="T532" s="40"/>
    </row>
    <row r="533" spans="1:20">
      <c r="A533" s="40"/>
      <c r="F533" s="38"/>
      <c r="G533" s="38"/>
      <c r="H533" s="38"/>
      <c r="I533" s="38"/>
      <c r="J533" s="38"/>
      <c r="K533" s="38"/>
      <c r="L533" s="38"/>
      <c r="M533" s="38"/>
      <c r="N533" s="40"/>
      <c r="O533" s="40"/>
      <c r="P533" s="40"/>
      <c r="Q533" s="40"/>
      <c r="R533" s="40"/>
      <c r="S533" s="40"/>
      <c r="T533" s="40"/>
    </row>
    <row r="534" spans="1:20">
      <c r="A534" s="40"/>
      <c r="F534" s="38"/>
      <c r="G534" s="38"/>
      <c r="H534" s="38"/>
      <c r="I534" s="38"/>
      <c r="J534" s="38"/>
      <c r="K534" s="38"/>
      <c r="L534" s="38"/>
      <c r="M534" s="38"/>
      <c r="N534" s="40"/>
      <c r="O534" s="40"/>
      <c r="P534" s="40"/>
      <c r="Q534" s="40"/>
      <c r="R534" s="40"/>
      <c r="S534" s="40"/>
      <c r="T534" s="40"/>
    </row>
    <row r="535" spans="1:20">
      <c r="A535" s="40"/>
      <c r="F535" s="38"/>
      <c r="G535" s="38"/>
      <c r="H535" s="38"/>
      <c r="I535" s="38"/>
      <c r="J535" s="38"/>
      <c r="K535" s="38"/>
      <c r="L535" s="38"/>
      <c r="M535" s="38"/>
      <c r="N535" s="40"/>
      <c r="O535" s="40"/>
      <c r="P535" s="40"/>
      <c r="Q535" s="40"/>
      <c r="R535" s="40"/>
      <c r="S535" s="40"/>
      <c r="T535" s="40"/>
    </row>
    <row r="536" spans="1:20">
      <c r="A536" s="40"/>
      <c r="F536" s="38"/>
      <c r="G536" s="38"/>
      <c r="H536" s="38"/>
      <c r="I536" s="38"/>
      <c r="J536" s="38"/>
      <c r="K536" s="38"/>
      <c r="L536" s="38"/>
      <c r="M536" s="38"/>
      <c r="N536" s="40"/>
      <c r="O536" s="40"/>
      <c r="P536" s="40"/>
      <c r="Q536" s="40"/>
      <c r="R536" s="40"/>
      <c r="S536" s="40"/>
      <c r="T536" s="40"/>
    </row>
    <row r="537" spans="1:20">
      <c r="A537" s="40"/>
      <c r="F537" s="38"/>
      <c r="G537" s="38"/>
      <c r="H537" s="38"/>
      <c r="I537" s="38"/>
      <c r="J537" s="38"/>
      <c r="K537" s="38"/>
      <c r="L537" s="38"/>
      <c r="M537" s="38"/>
      <c r="N537" s="40"/>
      <c r="O537" s="40"/>
      <c r="P537" s="40"/>
      <c r="Q537" s="40"/>
      <c r="R537" s="40"/>
      <c r="S537" s="40"/>
      <c r="T537" s="40"/>
    </row>
    <row r="538" spans="1:20">
      <c r="A538" s="40"/>
      <c r="F538" s="38"/>
      <c r="G538" s="38"/>
      <c r="H538" s="38"/>
      <c r="I538" s="38"/>
      <c r="J538" s="38"/>
      <c r="K538" s="38"/>
      <c r="L538" s="38"/>
      <c r="M538" s="38"/>
      <c r="N538" s="40"/>
      <c r="O538" s="40"/>
      <c r="P538" s="40"/>
      <c r="Q538" s="40"/>
      <c r="R538" s="40"/>
      <c r="S538" s="40"/>
      <c r="T538" s="40"/>
    </row>
    <row r="539" spans="1:20">
      <c r="A539" s="40"/>
      <c r="F539" s="38"/>
      <c r="G539" s="38"/>
      <c r="H539" s="38"/>
      <c r="I539" s="38"/>
      <c r="J539" s="38"/>
      <c r="K539" s="38"/>
      <c r="L539" s="38"/>
      <c r="M539" s="38"/>
      <c r="N539" s="40"/>
      <c r="O539" s="40"/>
      <c r="P539" s="40"/>
      <c r="Q539" s="40"/>
      <c r="R539" s="40"/>
      <c r="S539" s="40"/>
      <c r="T539" s="40"/>
    </row>
    <row r="540" spans="1:20">
      <c r="A540" s="40"/>
      <c r="F540" s="38"/>
      <c r="G540" s="38"/>
      <c r="H540" s="38"/>
      <c r="I540" s="38"/>
      <c r="J540" s="38"/>
      <c r="K540" s="38"/>
      <c r="L540" s="38"/>
      <c r="M540" s="38"/>
      <c r="N540" s="40"/>
      <c r="O540" s="40"/>
      <c r="P540" s="40"/>
      <c r="Q540" s="40"/>
      <c r="R540" s="40"/>
      <c r="S540" s="40"/>
      <c r="T540" s="40"/>
    </row>
    <row r="541" spans="1:20">
      <c r="A541" s="40"/>
      <c r="F541" s="38"/>
      <c r="G541" s="38"/>
      <c r="H541" s="38"/>
      <c r="I541" s="38"/>
      <c r="J541" s="38"/>
      <c r="K541" s="38"/>
      <c r="L541" s="38"/>
      <c r="M541" s="38"/>
      <c r="N541" s="40"/>
      <c r="O541" s="40"/>
      <c r="P541" s="40"/>
      <c r="Q541" s="40"/>
      <c r="R541" s="40"/>
      <c r="S541" s="40"/>
      <c r="T541" s="40"/>
    </row>
    <row r="542" spans="1:20">
      <c r="A542" s="40"/>
      <c r="F542" s="38"/>
      <c r="G542" s="38"/>
      <c r="H542" s="38"/>
      <c r="I542" s="38"/>
      <c r="J542" s="38"/>
      <c r="K542" s="38"/>
      <c r="L542" s="38"/>
      <c r="M542" s="38"/>
      <c r="N542" s="40"/>
      <c r="O542" s="40"/>
      <c r="P542" s="40"/>
      <c r="Q542" s="40"/>
      <c r="R542" s="40"/>
      <c r="S542" s="40"/>
      <c r="T542" s="40"/>
    </row>
    <row r="543" spans="1:20">
      <c r="A543" s="40"/>
      <c r="F543" s="38"/>
      <c r="G543" s="38"/>
      <c r="H543" s="38"/>
      <c r="I543" s="38"/>
      <c r="J543" s="38"/>
      <c r="K543" s="38"/>
      <c r="L543" s="38"/>
      <c r="M543" s="38"/>
      <c r="N543" s="40"/>
      <c r="O543" s="40"/>
      <c r="P543" s="40"/>
      <c r="Q543" s="40"/>
      <c r="R543" s="40"/>
      <c r="S543" s="40"/>
      <c r="T543" s="40"/>
    </row>
    <row r="544" spans="1:20">
      <c r="A544" s="40"/>
      <c r="F544" s="38"/>
      <c r="G544" s="38"/>
      <c r="H544" s="38"/>
      <c r="I544" s="38"/>
      <c r="J544" s="38"/>
      <c r="K544" s="38"/>
      <c r="L544" s="38"/>
      <c r="M544" s="38"/>
      <c r="N544" s="40"/>
      <c r="O544" s="40"/>
      <c r="P544" s="40"/>
      <c r="Q544" s="40"/>
      <c r="R544" s="40"/>
      <c r="S544" s="40"/>
      <c r="T544" s="40"/>
    </row>
    <row r="545" spans="1:20">
      <c r="A545" s="40"/>
      <c r="F545" s="38"/>
      <c r="G545" s="38"/>
      <c r="H545" s="38"/>
      <c r="I545" s="38"/>
      <c r="J545" s="38"/>
      <c r="K545" s="38"/>
      <c r="L545" s="38"/>
      <c r="M545" s="38"/>
      <c r="N545" s="40"/>
      <c r="O545" s="40"/>
      <c r="P545" s="40"/>
      <c r="Q545" s="40"/>
      <c r="R545" s="40"/>
      <c r="S545" s="40"/>
      <c r="T545" s="40"/>
    </row>
    <row r="546" spans="1:20">
      <c r="A546" s="40"/>
      <c r="F546" s="38"/>
      <c r="G546" s="38"/>
      <c r="H546" s="38"/>
      <c r="I546" s="38"/>
      <c r="J546" s="38"/>
      <c r="K546" s="38"/>
      <c r="L546" s="38"/>
      <c r="M546" s="38"/>
      <c r="N546" s="40"/>
      <c r="O546" s="40"/>
      <c r="P546" s="40"/>
      <c r="Q546" s="40"/>
      <c r="R546" s="40"/>
      <c r="S546" s="40"/>
      <c r="T546" s="40"/>
    </row>
    <row r="547" spans="1:20">
      <c r="A547" s="40"/>
      <c r="F547" s="38"/>
      <c r="G547" s="38"/>
      <c r="H547" s="38"/>
      <c r="I547" s="38"/>
      <c r="J547" s="38"/>
      <c r="K547" s="38"/>
      <c r="L547" s="38"/>
      <c r="M547" s="38"/>
      <c r="N547" s="40"/>
      <c r="O547" s="40"/>
      <c r="P547" s="40"/>
      <c r="Q547" s="40"/>
      <c r="R547" s="40"/>
      <c r="S547" s="40"/>
      <c r="T547" s="40"/>
    </row>
    <row r="548" spans="1:20">
      <c r="A548" s="40"/>
      <c r="F548" s="38"/>
      <c r="G548" s="38"/>
      <c r="H548" s="38"/>
      <c r="I548" s="38"/>
      <c r="J548" s="38"/>
      <c r="K548" s="38"/>
      <c r="L548" s="38"/>
      <c r="M548" s="38"/>
      <c r="N548" s="40"/>
      <c r="O548" s="40"/>
      <c r="P548" s="40"/>
      <c r="Q548" s="40"/>
      <c r="R548" s="40"/>
      <c r="S548" s="40"/>
      <c r="T548" s="40"/>
    </row>
    <row r="549" spans="1:20">
      <c r="A549" s="40"/>
      <c r="F549" s="38"/>
      <c r="G549" s="38"/>
      <c r="H549" s="38"/>
      <c r="I549" s="38"/>
      <c r="J549" s="38"/>
      <c r="K549" s="38"/>
      <c r="L549" s="38"/>
      <c r="M549" s="38"/>
      <c r="N549" s="40"/>
      <c r="O549" s="40"/>
      <c r="P549" s="40"/>
      <c r="Q549" s="40"/>
      <c r="R549" s="40"/>
      <c r="S549" s="40"/>
      <c r="T549" s="40"/>
    </row>
    <row r="550" spans="1:20">
      <c r="A550" s="40"/>
      <c r="F550" s="38"/>
      <c r="G550" s="38"/>
      <c r="H550" s="38"/>
      <c r="I550" s="38"/>
      <c r="J550" s="38"/>
      <c r="K550" s="38"/>
      <c r="L550" s="38"/>
      <c r="M550" s="38"/>
      <c r="N550" s="40"/>
      <c r="O550" s="40"/>
      <c r="P550" s="40"/>
      <c r="Q550" s="40"/>
      <c r="R550" s="40"/>
      <c r="S550" s="40"/>
      <c r="T550" s="40"/>
    </row>
    <row r="551" spans="1:20">
      <c r="A551" s="40"/>
      <c r="F551" s="38"/>
      <c r="G551" s="38"/>
      <c r="H551" s="38"/>
      <c r="I551" s="38"/>
      <c r="J551" s="38"/>
      <c r="K551" s="38"/>
      <c r="L551" s="38"/>
      <c r="M551" s="38"/>
      <c r="N551" s="40"/>
      <c r="O551" s="40"/>
      <c r="P551" s="40"/>
      <c r="Q551" s="40"/>
      <c r="R551" s="40"/>
      <c r="S551" s="40"/>
      <c r="T551" s="40"/>
    </row>
    <row r="552" spans="1:20">
      <c r="A552" s="40"/>
      <c r="F552" s="38"/>
      <c r="G552" s="38"/>
      <c r="H552" s="38"/>
      <c r="I552" s="38"/>
      <c r="J552" s="38"/>
      <c r="K552" s="38"/>
      <c r="L552" s="38"/>
      <c r="M552" s="38"/>
      <c r="N552" s="40"/>
      <c r="O552" s="40"/>
      <c r="P552" s="40"/>
      <c r="Q552" s="40"/>
      <c r="R552" s="40"/>
      <c r="S552" s="40"/>
      <c r="T552" s="40"/>
    </row>
    <row r="553" spans="1:20">
      <c r="A553" s="40"/>
      <c r="F553" s="38"/>
      <c r="G553" s="38"/>
      <c r="H553" s="38"/>
      <c r="I553" s="38"/>
      <c r="J553" s="38"/>
      <c r="K553" s="38"/>
      <c r="L553" s="38"/>
      <c r="M553" s="38"/>
      <c r="N553" s="40"/>
      <c r="O553" s="40"/>
      <c r="P553" s="40"/>
      <c r="Q553" s="40"/>
      <c r="R553" s="40"/>
      <c r="S553" s="40"/>
      <c r="T553" s="40"/>
    </row>
    <row r="554" spans="1:20">
      <c r="A554" s="40"/>
      <c r="F554" s="38"/>
      <c r="G554" s="38"/>
      <c r="H554" s="38"/>
      <c r="I554" s="38"/>
      <c r="J554" s="38"/>
      <c r="K554" s="38"/>
      <c r="L554" s="38"/>
      <c r="M554" s="38"/>
      <c r="N554" s="40"/>
      <c r="O554" s="40"/>
      <c r="P554" s="40"/>
      <c r="Q554" s="40"/>
      <c r="R554" s="40"/>
      <c r="S554" s="40"/>
      <c r="T554" s="40"/>
    </row>
    <row r="555" spans="1:20">
      <c r="A555" s="40"/>
      <c r="F555" s="38"/>
      <c r="G555" s="38"/>
      <c r="H555" s="38"/>
      <c r="I555" s="38"/>
      <c r="J555" s="38"/>
      <c r="K555" s="38"/>
      <c r="L555" s="38"/>
      <c r="M555" s="38"/>
      <c r="N555" s="40"/>
      <c r="O555" s="40"/>
      <c r="P555" s="40"/>
      <c r="Q555" s="40"/>
      <c r="R555" s="40"/>
      <c r="S555" s="40"/>
      <c r="T555" s="40"/>
    </row>
    <row r="556" spans="1:20">
      <c r="A556" s="40"/>
      <c r="F556" s="38"/>
      <c r="G556" s="38"/>
      <c r="H556" s="38"/>
      <c r="I556" s="38"/>
      <c r="J556" s="38"/>
      <c r="K556" s="38"/>
      <c r="L556" s="38"/>
      <c r="M556" s="38"/>
      <c r="N556" s="40"/>
      <c r="O556" s="40"/>
      <c r="P556" s="40"/>
      <c r="Q556" s="40"/>
      <c r="R556" s="40"/>
      <c r="S556" s="40"/>
      <c r="T556" s="40"/>
    </row>
    <row r="557" spans="1:20">
      <c r="A557" s="40"/>
      <c r="F557" s="38"/>
      <c r="G557" s="38"/>
      <c r="H557" s="38"/>
      <c r="I557" s="38"/>
      <c r="J557" s="38"/>
      <c r="K557" s="38"/>
      <c r="L557" s="38"/>
      <c r="M557" s="38"/>
      <c r="N557" s="40"/>
      <c r="O557" s="40"/>
      <c r="P557" s="40"/>
      <c r="Q557" s="40"/>
      <c r="R557" s="40"/>
      <c r="S557" s="40"/>
      <c r="T557" s="40"/>
    </row>
    <row r="558" spans="1:20">
      <c r="A558" s="40"/>
      <c r="F558" s="38"/>
      <c r="G558" s="38"/>
      <c r="H558" s="38"/>
      <c r="I558" s="38"/>
      <c r="J558" s="38"/>
      <c r="K558" s="38"/>
      <c r="L558" s="38"/>
      <c r="M558" s="38"/>
      <c r="N558" s="40"/>
      <c r="O558" s="40"/>
      <c r="P558" s="40"/>
      <c r="Q558" s="40"/>
      <c r="R558" s="40"/>
      <c r="S558" s="40"/>
      <c r="T558" s="40"/>
    </row>
    <row r="559" spans="1:20">
      <c r="A559" s="40"/>
      <c r="F559" s="38"/>
      <c r="G559" s="38"/>
      <c r="H559" s="38"/>
      <c r="I559" s="38"/>
      <c r="J559" s="38"/>
      <c r="K559" s="38"/>
      <c r="L559" s="38"/>
      <c r="M559" s="38"/>
      <c r="N559" s="40"/>
      <c r="O559" s="40"/>
      <c r="P559" s="40"/>
      <c r="Q559" s="40"/>
      <c r="R559" s="40"/>
      <c r="S559" s="40"/>
      <c r="T559" s="40"/>
    </row>
    <row r="560" spans="1:20">
      <c r="A560" s="40"/>
      <c r="F560" s="38"/>
      <c r="G560" s="38"/>
      <c r="H560" s="38"/>
      <c r="I560" s="38"/>
      <c r="J560" s="38"/>
      <c r="K560" s="38"/>
      <c r="L560" s="38"/>
      <c r="M560" s="38"/>
      <c r="N560" s="40"/>
      <c r="O560" s="40"/>
      <c r="P560" s="40"/>
      <c r="Q560" s="40"/>
      <c r="R560" s="40"/>
      <c r="S560" s="40"/>
      <c r="T560" s="40"/>
    </row>
    <row r="561" spans="1:20">
      <c r="A561" s="40"/>
      <c r="F561" s="38"/>
      <c r="G561" s="38"/>
      <c r="H561" s="38"/>
      <c r="I561" s="38"/>
      <c r="J561" s="38"/>
      <c r="K561" s="38"/>
      <c r="L561" s="38"/>
      <c r="M561" s="38"/>
      <c r="N561" s="40"/>
      <c r="O561" s="40"/>
      <c r="P561" s="40"/>
      <c r="Q561" s="40"/>
      <c r="R561" s="40"/>
      <c r="S561" s="40"/>
      <c r="T561" s="40"/>
    </row>
    <row r="562" spans="1:20">
      <c r="A562" s="40"/>
      <c r="F562" s="38"/>
      <c r="G562" s="38"/>
      <c r="H562" s="38"/>
      <c r="I562" s="38"/>
      <c r="J562" s="38"/>
      <c r="K562" s="38"/>
      <c r="L562" s="38"/>
      <c r="M562" s="38"/>
      <c r="N562" s="40"/>
      <c r="O562" s="40"/>
      <c r="P562" s="40"/>
      <c r="Q562" s="40"/>
      <c r="R562" s="40"/>
      <c r="S562" s="40"/>
      <c r="T562" s="40"/>
    </row>
    <row r="563" spans="1:20">
      <c r="A563" s="40"/>
      <c r="F563" s="38"/>
      <c r="G563" s="38"/>
      <c r="H563" s="38"/>
      <c r="I563" s="38"/>
      <c r="J563" s="38"/>
      <c r="K563" s="38"/>
      <c r="L563" s="38"/>
      <c r="M563" s="38"/>
      <c r="N563" s="40"/>
      <c r="O563" s="40"/>
      <c r="P563" s="40"/>
      <c r="Q563" s="40"/>
      <c r="R563" s="40"/>
      <c r="S563" s="40"/>
      <c r="T563" s="40"/>
    </row>
    <row r="564" spans="1:20">
      <c r="A564" s="40"/>
      <c r="F564" s="38"/>
      <c r="G564" s="38"/>
      <c r="H564" s="38"/>
      <c r="I564" s="38"/>
      <c r="J564" s="38"/>
      <c r="K564" s="38"/>
      <c r="L564" s="38"/>
      <c r="M564" s="38"/>
      <c r="N564" s="40"/>
      <c r="O564" s="40"/>
      <c r="P564" s="40"/>
      <c r="Q564" s="40"/>
      <c r="R564" s="40"/>
      <c r="S564" s="40"/>
      <c r="T564" s="40"/>
    </row>
    <row r="565" spans="1:20">
      <c r="A565" s="40"/>
      <c r="F565" s="38"/>
      <c r="G565" s="38"/>
      <c r="H565" s="38"/>
      <c r="I565" s="38"/>
      <c r="J565" s="38"/>
      <c r="K565" s="38"/>
      <c r="L565" s="38"/>
      <c r="M565" s="38"/>
      <c r="N565" s="40"/>
      <c r="O565" s="40"/>
      <c r="P565" s="40"/>
      <c r="Q565" s="40"/>
      <c r="R565" s="40"/>
      <c r="S565" s="40"/>
      <c r="T565" s="40"/>
    </row>
    <row r="566" spans="1:20">
      <c r="A566" s="40"/>
      <c r="F566" s="38"/>
      <c r="G566" s="38"/>
      <c r="H566" s="38"/>
      <c r="I566" s="38"/>
      <c r="J566" s="38"/>
      <c r="K566" s="38"/>
      <c r="L566" s="38"/>
      <c r="M566" s="38"/>
      <c r="N566" s="40"/>
      <c r="O566" s="40"/>
      <c r="P566" s="40"/>
      <c r="Q566" s="40"/>
      <c r="R566" s="40"/>
      <c r="S566" s="40"/>
      <c r="T566" s="40"/>
    </row>
    <row r="567" spans="1:20">
      <c r="A567" s="40"/>
      <c r="F567" s="38"/>
      <c r="G567" s="38"/>
      <c r="H567" s="38"/>
      <c r="I567" s="38"/>
      <c r="J567" s="38"/>
      <c r="K567" s="38"/>
      <c r="L567" s="38"/>
      <c r="M567" s="38"/>
      <c r="N567" s="40"/>
      <c r="O567" s="40"/>
      <c r="P567" s="40"/>
      <c r="Q567" s="40"/>
      <c r="R567" s="40"/>
      <c r="S567" s="40"/>
      <c r="T567" s="40"/>
    </row>
    <row r="568" spans="1:20">
      <c r="A568" s="40"/>
      <c r="F568" s="38"/>
      <c r="G568" s="38"/>
      <c r="H568" s="38"/>
      <c r="I568" s="38"/>
      <c r="J568" s="38"/>
      <c r="K568" s="38"/>
      <c r="L568" s="38"/>
      <c r="M568" s="38"/>
      <c r="N568" s="40"/>
      <c r="O568" s="40"/>
      <c r="P568" s="40"/>
      <c r="Q568" s="40"/>
      <c r="R568" s="40"/>
      <c r="S568" s="40"/>
      <c r="T568" s="40"/>
    </row>
    <row r="569" spans="1:20">
      <c r="A569" s="40"/>
      <c r="F569" s="38"/>
      <c r="G569" s="38"/>
      <c r="H569" s="38"/>
      <c r="I569" s="38"/>
      <c r="J569" s="38"/>
      <c r="K569" s="38"/>
      <c r="L569" s="38"/>
      <c r="M569" s="38"/>
      <c r="N569" s="40"/>
      <c r="O569" s="40"/>
      <c r="P569" s="40"/>
      <c r="Q569" s="40"/>
      <c r="R569" s="40"/>
      <c r="S569" s="40"/>
      <c r="T569" s="40"/>
    </row>
    <row r="570" spans="1:20">
      <c r="A570" s="40"/>
      <c r="F570" s="38"/>
      <c r="G570" s="38"/>
      <c r="H570" s="38"/>
      <c r="I570" s="38"/>
      <c r="J570" s="38"/>
      <c r="K570" s="38"/>
      <c r="L570" s="38"/>
      <c r="M570" s="38"/>
      <c r="N570" s="40"/>
      <c r="O570" s="40"/>
      <c r="P570" s="40"/>
      <c r="Q570" s="40"/>
      <c r="R570" s="40"/>
      <c r="S570" s="40"/>
      <c r="T570" s="40"/>
    </row>
    <row r="571" spans="1:20">
      <c r="A571" s="40"/>
      <c r="F571" s="38"/>
      <c r="G571" s="38"/>
      <c r="H571" s="38"/>
      <c r="I571" s="38"/>
      <c r="J571" s="38"/>
      <c r="K571" s="38"/>
      <c r="L571" s="38"/>
      <c r="M571" s="38"/>
      <c r="N571" s="40"/>
      <c r="O571" s="40"/>
      <c r="P571" s="40"/>
      <c r="Q571" s="40"/>
      <c r="R571" s="40"/>
      <c r="S571" s="40"/>
      <c r="T571" s="40"/>
    </row>
    <row r="572" spans="1:20">
      <c r="A572" s="40"/>
      <c r="F572" s="38"/>
      <c r="G572" s="38"/>
      <c r="H572" s="38"/>
      <c r="I572" s="38"/>
      <c r="J572" s="38"/>
      <c r="K572" s="38"/>
      <c r="L572" s="38"/>
      <c r="M572" s="38"/>
      <c r="N572" s="40"/>
      <c r="O572" s="40"/>
      <c r="P572" s="40"/>
      <c r="Q572" s="40"/>
      <c r="R572" s="40"/>
      <c r="S572" s="40"/>
      <c r="T572" s="40"/>
    </row>
    <row r="573" spans="1:20">
      <c r="A573" s="40"/>
      <c r="F573" s="38"/>
      <c r="G573" s="38"/>
      <c r="H573" s="38"/>
      <c r="I573" s="38"/>
      <c r="J573" s="38"/>
      <c r="K573" s="38"/>
      <c r="L573" s="38"/>
      <c r="M573" s="38"/>
      <c r="N573" s="40"/>
      <c r="O573" s="40"/>
      <c r="P573" s="40"/>
      <c r="Q573" s="40"/>
      <c r="R573" s="40"/>
      <c r="S573" s="40"/>
      <c r="T573" s="40"/>
    </row>
    <row r="574" spans="1:20">
      <c r="A574" s="40"/>
      <c r="F574" s="38"/>
      <c r="G574" s="38"/>
      <c r="H574" s="38"/>
      <c r="I574" s="38"/>
      <c r="J574" s="38"/>
      <c r="K574" s="38"/>
      <c r="L574" s="38"/>
      <c r="M574" s="38"/>
      <c r="N574" s="40"/>
      <c r="O574" s="40"/>
      <c r="P574" s="40"/>
      <c r="Q574" s="40"/>
      <c r="R574" s="40"/>
      <c r="S574" s="40"/>
      <c r="T574" s="40"/>
    </row>
    <row r="575" spans="1:20">
      <c r="A575" s="40"/>
      <c r="F575" s="38"/>
      <c r="G575" s="38"/>
      <c r="H575" s="38"/>
      <c r="I575" s="38"/>
      <c r="J575" s="38"/>
      <c r="K575" s="38"/>
      <c r="L575" s="38"/>
      <c r="M575" s="38"/>
      <c r="N575" s="40"/>
      <c r="O575" s="40"/>
      <c r="P575" s="40"/>
      <c r="Q575" s="40"/>
      <c r="R575" s="40"/>
      <c r="S575" s="40"/>
      <c r="T575" s="40"/>
    </row>
    <row r="576" spans="1:20">
      <c r="A576" s="40"/>
      <c r="F576" s="38"/>
      <c r="G576" s="38"/>
      <c r="H576" s="38"/>
      <c r="I576" s="38"/>
      <c r="J576" s="38"/>
      <c r="K576" s="38"/>
      <c r="L576" s="38"/>
      <c r="M576" s="38"/>
      <c r="N576" s="40"/>
      <c r="O576" s="40"/>
      <c r="P576" s="40"/>
      <c r="Q576" s="40"/>
      <c r="R576" s="40"/>
      <c r="S576" s="40"/>
      <c r="T576" s="40"/>
    </row>
    <row r="577" spans="1:20">
      <c r="A577" s="40"/>
      <c r="F577" s="38"/>
      <c r="G577" s="38"/>
      <c r="H577" s="38"/>
      <c r="I577" s="38"/>
      <c r="J577" s="38"/>
      <c r="K577" s="38"/>
      <c r="L577" s="38"/>
      <c r="M577" s="38"/>
      <c r="N577" s="40"/>
      <c r="O577" s="40"/>
      <c r="P577" s="40"/>
      <c r="Q577" s="40"/>
      <c r="R577" s="40"/>
      <c r="S577" s="40"/>
      <c r="T577" s="40"/>
    </row>
    <row r="578" spans="1:20">
      <c r="A578" s="40"/>
      <c r="F578" s="38"/>
      <c r="G578" s="38"/>
      <c r="H578" s="38"/>
      <c r="I578" s="38"/>
      <c r="J578" s="38"/>
      <c r="K578" s="38"/>
      <c r="L578" s="38"/>
      <c r="M578" s="38"/>
      <c r="N578" s="40"/>
      <c r="O578" s="40"/>
      <c r="P578" s="40"/>
      <c r="Q578" s="40"/>
      <c r="R578" s="40"/>
      <c r="S578" s="40"/>
      <c r="T578" s="40"/>
    </row>
    <row r="579" spans="1:20">
      <c r="A579" s="40"/>
      <c r="F579" s="38"/>
      <c r="G579" s="38"/>
      <c r="H579" s="38"/>
      <c r="I579" s="38"/>
      <c r="J579" s="38"/>
      <c r="K579" s="38"/>
      <c r="L579" s="38"/>
      <c r="M579" s="38"/>
      <c r="N579" s="40"/>
      <c r="O579" s="40"/>
      <c r="P579" s="40"/>
      <c r="Q579" s="40"/>
      <c r="R579" s="40"/>
      <c r="S579" s="40"/>
      <c r="T579" s="40"/>
    </row>
    <row r="580" spans="1:20">
      <c r="A580" s="40"/>
      <c r="F580" s="38"/>
      <c r="G580" s="38"/>
      <c r="H580" s="38"/>
      <c r="I580" s="38"/>
      <c r="J580" s="38"/>
      <c r="K580" s="38"/>
      <c r="L580" s="38"/>
      <c r="M580" s="38"/>
      <c r="N580" s="40"/>
      <c r="O580" s="40"/>
      <c r="P580" s="40"/>
      <c r="Q580" s="40"/>
      <c r="R580" s="40"/>
      <c r="S580" s="40"/>
      <c r="T580" s="40"/>
    </row>
    <row r="581" spans="1:20">
      <c r="A581" s="40"/>
      <c r="F581" s="38"/>
      <c r="G581" s="38"/>
      <c r="H581" s="38"/>
      <c r="I581" s="38"/>
      <c r="J581" s="38"/>
      <c r="K581" s="38"/>
      <c r="L581" s="38"/>
      <c r="M581" s="38"/>
      <c r="N581" s="40"/>
      <c r="O581" s="40"/>
      <c r="P581" s="40"/>
      <c r="Q581" s="40"/>
      <c r="R581" s="40"/>
      <c r="S581" s="40"/>
      <c r="T581" s="40"/>
    </row>
    <row r="582" spans="1:20">
      <c r="A582" s="40"/>
      <c r="F582" s="38"/>
      <c r="G582" s="38"/>
      <c r="H582" s="38"/>
      <c r="I582" s="38"/>
      <c r="J582" s="38"/>
      <c r="K582" s="38"/>
      <c r="L582" s="38"/>
      <c r="M582" s="38"/>
      <c r="N582" s="40"/>
      <c r="O582" s="40"/>
      <c r="P582" s="40"/>
      <c r="Q582" s="40"/>
      <c r="R582" s="40"/>
      <c r="S582" s="40"/>
      <c r="T582" s="40"/>
    </row>
    <row r="583" spans="1:20">
      <c r="A583" s="40"/>
      <c r="F583" s="38"/>
      <c r="G583" s="38"/>
      <c r="H583" s="38"/>
      <c r="I583" s="38"/>
      <c r="J583" s="38"/>
      <c r="K583" s="38"/>
      <c r="L583" s="38"/>
      <c r="M583" s="38"/>
      <c r="N583" s="40"/>
      <c r="O583" s="40"/>
      <c r="P583" s="40"/>
      <c r="Q583" s="40"/>
      <c r="R583" s="40"/>
      <c r="S583" s="40"/>
      <c r="T583" s="40"/>
    </row>
    <row r="584" spans="1:20">
      <c r="A584" s="40"/>
      <c r="F584" s="38"/>
      <c r="G584" s="38"/>
      <c r="H584" s="38"/>
      <c r="I584" s="38"/>
      <c r="J584" s="38"/>
      <c r="K584" s="38"/>
      <c r="L584" s="38"/>
      <c r="M584" s="38"/>
      <c r="N584" s="40"/>
      <c r="O584" s="40"/>
      <c r="P584" s="40"/>
      <c r="Q584" s="40"/>
      <c r="R584" s="40"/>
      <c r="S584" s="40"/>
      <c r="T584" s="40"/>
    </row>
    <row r="585" spans="1:20">
      <c r="A585" s="40"/>
      <c r="F585" s="38"/>
      <c r="G585" s="38"/>
      <c r="H585" s="38"/>
      <c r="I585" s="38"/>
      <c r="J585" s="38"/>
      <c r="K585" s="38"/>
      <c r="L585" s="38"/>
      <c r="M585" s="38"/>
      <c r="N585" s="40"/>
      <c r="O585" s="40"/>
      <c r="P585" s="40"/>
      <c r="Q585" s="40"/>
      <c r="R585" s="40"/>
      <c r="S585" s="40"/>
      <c r="T585" s="40"/>
    </row>
    <row r="586" spans="1:20">
      <c r="A586" s="40"/>
      <c r="F586" s="38"/>
      <c r="G586" s="38"/>
      <c r="H586" s="38"/>
      <c r="I586" s="38"/>
      <c r="J586" s="38"/>
      <c r="K586" s="38"/>
      <c r="L586" s="38"/>
      <c r="M586" s="38"/>
      <c r="N586" s="40"/>
      <c r="O586" s="40"/>
      <c r="P586" s="40"/>
      <c r="Q586" s="40"/>
      <c r="R586" s="40"/>
      <c r="S586" s="40"/>
      <c r="T586" s="40"/>
    </row>
    <row r="587" spans="1:20">
      <c r="A587" s="40"/>
      <c r="F587" s="38"/>
      <c r="G587" s="38"/>
      <c r="H587" s="38"/>
      <c r="I587" s="38"/>
      <c r="J587" s="38"/>
      <c r="K587" s="38"/>
      <c r="L587" s="38"/>
      <c r="M587" s="38"/>
      <c r="N587" s="40"/>
      <c r="O587" s="40"/>
      <c r="P587" s="40"/>
      <c r="Q587" s="40"/>
      <c r="R587" s="40"/>
      <c r="S587" s="40"/>
      <c r="T587" s="40"/>
    </row>
    <row r="588" spans="1:20">
      <c r="A588" s="40"/>
      <c r="F588" s="38"/>
      <c r="G588" s="38"/>
      <c r="H588" s="38"/>
      <c r="I588" s="38"/>
      <c r="J588" s="38"/>
      <c r="K588" s="38"/>
      <c r="L588" s="38"/>
      <c r="M588" s="38"/>
      <c r="N588" s="40"/>
      <c r="O588" s="40"/>
      <c r="P588" s="40"/>
      <c r="Q588" s="40"/>
      <c r="R588" s="40"/>
      <c r="S588" s="40"/>
      <c r="T588" s="40"/>
    </row>
    <row r="589" spans="1:20">
      <c r="A589" s="40"/>
      <c r="F589" s="38"/>
      <c r="G589" s="38"/>
      <c r="H589" s="38"/>
      <c r="I589" s="38"/>
      <c r="J589" s="38"/>
      <c r="K589" s="38"/>
      <c r="L589" s="38"/>
      <c r="M589" s="38"/>
      <c r="N589" s="40"/>
      <c r="O589" s="40"/>
      <c r="P589" s="40"/>
      <c r="Q589" s="40"/>
      <c r="R589" s="40"/>
      <c r="S589" s="40"/>
      <c r="T589" s="40"/>
    </row>
    <row r="590" spans="1:20">
      <c r="A590" s="40"/>
      <c r="F590" s="38"/>
      <c r="G590" s="38"/>
      <c r="H590" s="38"/>
      <c r="I590" s="38"/>
      <c r="J590" s="38"/>
      <c r="K590" s="38"/>
      <c r="L590" s="38"/>
      <c r="M590" s="38"/>
      <c r="N590" s="40"/>
      <c r="O590" s="40"/>
      <c r="P590" s="40"/>
      <c r="Q590" s="40"/>
      <c r="R590" s="40"/>
      <c r="S590" s="40"/>
      <c r="T590" s="40"/>
    </row>
    <row r="591" spans="1:20">
      <c r="A591" s="40"/>
      <c r="F591" s="38"/>
      <c r="G591" s="38"/>
      <c r="H591" s="38"/>
      <c r="I591" s="38"/>
      <c r="J591" s="38"/>
      <c r="K591" s="38"/>
      <c r="L591" s="38"/>
      <c r="M591" s="38"/>
      <c r="N591" s="40"/>
      <c r="O591" s="40"/>
      <c r="P591" s="40"/>
      <c r="Q591" s="40"/>
      <c r="R591" s="40"/>
      <c r="S591" s="40"/>
      <c r="T591" s="40"/>
    </row>
    <row r="592" spans="1:20">
      <c r="A592" s="40"/>
      <c r="F592" s="38"/>
      <c r="G592" s="38"/>
      <c r="H592" s="38"/>
      <c r="I592" s="38"/>
      <c r="J592" s="38"/>
      <c r="K592" s="38"/>
      <c r="L592" s="38"/>
      <c r="M592" s="38"/>
      <c r="N592" s="40"/>
      <c r="O592" s="40"/>
      <c r="P592" s="40"/>
      <c r="Q592" s="40"/>
      <c r="R592" s="40"/>
      <c r="S592" s="40"/>
      <c r="T592" s="40"/>
    </row>
    <row r="593" spans="1:20">
      <c r="A593" s="40"/>
      <c r="F593" s="38"/>
      <c r="G593" s="38"/>
      <c r="H593" s="38"/>
      <c r="I593" s="38"/>
      <c r="J593" s="38"/>
      <c r="K593" s="38"/>
      <c r="L593" s="38"/>
      <c r="M593" s="38"/>
      <c r="N593" s="40"/>
      <c r="O593" s="40"/>
      <c r="P593" s="40"/>
      <c r="Q593" s="40"/>
      <c r="R593" s="40"/>
      <c r="S593" s="40"/>
      <c r="T593" s="40"/>
    </row>
    <row r="594" spans="1:20">
      <c r="A594" s="40"/>
      <c r="F594" s="38"/>
      <c r="G594" s="38"/>
      <c r="H594" s="38"/>
      <c r="I594" s="38"/>
      <c r="J594" s="38"/>
      <c r="K594" s="38"/>
      <c r="L594" s="38"/>
      <c r="M594" s="38"/>
      <c r="N594" s="40"/>
      <c r="O594" s="40"/>
      <c r="P594" s="40"/>
      <c r="Q594" s="40"/>
      <c r="R594" s="40"/>
      <c r="S594" s="40"/>
      <c r="T594" s="40"/>
    </row>
    <row r="595" spans="1:20">
      <c r="A595" s="40"/>
      <c r="F595" s="38"/>
      <c r="G595" s="38"/>
      <c r="H595" s="38"/>
      <c r="I595" s="38"/>
      <c r="J595" s="38"/>
      <c r="K595" s="38"/>
      <c r="L595" s="38"/>
      <c r="M595" s="38"/>
      <c r="N595" s="40"/>
      <c r="O595" s="40"/>
      <c r="P595" s="40"/>
      <c r="Q595" s="40"/>
      <c r="R595" s="40"/>
      <c r="S595" s="40"/>
      <c r="T595" s="40"/>
    </row>
    <row r="596" spans="1:20">
      <c r="A596" s="40"/>
      <c r="F596" s="38"/>
      <c r="G596" s="38"/>
      <c r="H596" s="38"/>
      <c r="I596" s="38"/>
      <c r="J596" s="38"/>
      <c r="K596" s="38"/>
      <c r="L596" s="38"/>
      <c r="M596" s="38"/>
      <c r="N596" s="40"/>
      <c r="O596" s="40"/>
      <c r="P596" s="40"/>
      <c r="Q596" s="40"/>
      <c r="R596" s="40"/>
      <c r="S596" s="40"/>
      <c r="T596" s="40"/>
    </row>
    <row r="597" spans="1:20">
      <c r="A597" s="40"/>
      <c r="F597" s="38"/>
      <c r="G597" s="38"/>
      <c r="H597" s="38"/>
      <c r="I597" s="38"/>
      <c r="J597" s="38"/>
      <c r="K597" s="38"/>
      <c r="L597" s="38"/>
      <c r="M597" s="38"/>
      <c r="N597" s="40"/>
      <c r="O597" s="40"/>
      <c r="P597" s="40"/>
      <c r="Q597" s="40"/>
      <c r="R597" s="40"/>
      <c r="S597" s="40"/>
      <c r="T597" s="40"/>
    </row>
    <row r="598" spans="1:20">
      <c r="A598" s="40"/>
      <c r="F598" s="38"/>
      <c r="G598" s="38"/>
      <c r="H598" s="38"/>
      <c r="I598" s="38"/>
      <c r="J598" s="38"/>
      <c r="K598" s="38"/>
      <c r="L598" s="38"/>
      <c r="M598" s="38"/>
      <c r="N598" s="40"/>
      <c r="O598" s="40"/>
      <c r="P598" s="40"/>
      <c r="Q598" s="40"/>
      <c r="R598" s="40"/>
      <c r="S598" s="40"/>
      <c r="T598" s="40"/>
    </row>
    <row r="599" spans="1:20">
      <c r="A599" s="40"/>
      <c r="F599" s="38"/>
      <c r="G599" s="38"/>
      <c r="H599" s="38"/>
      <c r="I599" s="38"/>
      <c r="J599" s="38"/>
      <c r="K599" s="38"/>
      <c r="L599" s="38"/>
      <c r="M599" s="38"/>
      <c r="N599" s="40"/>
      <c r="O599" s="40"/>
      <c r="P599" s="40"/>
      <c r="Q599" s="40"/>
      <c r="R599" s="40"/>
      <c r="S599" s="40"/>
      <c r="T599" s="40"/>
    </row>
    <row r="600" spans="1:20">
      <c r="A600" s="40"/>
      <c r="F600" s="38"/>
      <c r="G600" s="38"/>
      <c r="H600" s="38"/>
      <c r="I600" s="38"/>
      <c r="J600" s="38"/>
      <c r="K600" s="38"/>
      <c r="L600" s="38"/>
      <c r="M600" s="38"/>
      <c r="N600" s="40"/>
      <c r="O600" s="40"/>
      <c r="P600" s="40"/>
      <c r="Q600" s="40"/>
      <c r="R600" s="40"/>
      <c r="S600" s="40"/>
      <c r="T600" s="40"/>
    </row>
    <row r="601" spans="1:20">
      <c r="A601" s="40"/>
      <c r="F601" s="38"/>
      <c r="G601" s="38"/>
      <c r="H601" s="38"/>
      <c r="I601" s="38"/>
      <c r="J601" s="38"/>
      <c r="K601" s="38"/>
      <c r="L601" s="38"/>
      <c r="M601" s="38"/>
      <c r="N601" s="40"/>
      <c r="O601" s="40"/>
      <c r="P601" s="40"/>
      <c r="Q601" s="40"/>
      <c r="R601" s="40"/>
      <c r="S601" s="40"/>
      <c r="T601" s="40"/>
    </row>
    <row r="602" spans="1:20">
      <c r="A602" s="40"/>
      <c r="F602" s="38"/>
      <c r="G602" s="38"/>
      <c r="H602" s="38"/>
      <c r="I602" s="38"/>
      <c r="J602" s="38"/>
      <c r="K602" s="38"/>
      <c r="L602" s="38"/>
      <c r="M602" s="38"/>
      <c r="N602" s="40"/>
      <c r="O602" s="40"/>
      <c r="P602" s="40"/>
      <c r="Q602" s="40"/>
      <c r="R602" s="40"/>
      <c r="S602" s="40"/>
      <c r="T602" s="40"/>
    </row>
    <row r="603" spans="1:20">
      <c r="A603" s="40"/>
      <c r="F603" s="38"/>
      <c r="G603" s="38"/>
      <c r="H603" s="38"/>
      <c r="I603" s="38"/>
      <c r="J603" s="38"/>
      <c r="K603" s="38"/>
      <c r="L603" s="38"/>
      <c r="M603" s="38"/>
      <c r="N603" s="40"/>
      <c r="O603" s="40"/>
      <c r="P603" s="40"/>
      <c r="Q603" s="40"/>
      <c r="R603" s="40"/>
      <c r="S603" s="40"/>
      <c r="T603" s="40"/>
    </row>
    <row r="604" spans="1:20">
      <c r="A604" s="40"/>
      <c r="F604" s="38"/>
      <c r="G604" s="38"/>
      <c r="H604" s="38"/>
      <c r="I604" s="38"/>
      <c r="J604" s="38"/>
      <c r="K604" s="38"/>
      <c r="L604" s="38"/>
      <c r="M604" s="38"/>
      <c r="N604" s="40"/>
      <c r="O604" s="40"/>
      <c r="P604" s="40"/>
      <c r="Q604" s="40"/>
      <c r="R604" s="40"/>
      <c r="S604" s="40"/>
      <c r="T604" s="40"/>
    </row>
    <row r="605" spans="1:20">
      <c r="A605" s="40"/>
      <c r="F605" s="38"/>
      <c r="G605" s="38"/>
      <c r="H605" s="38"/>
      <c r="I605" s="38"/>
      <c r="J605" s="38"/>
      <c r="K605" s="38"/>
      <c r="L605" s="38"/>
      <c r="M605" s="38"/>
      <c r="N605" s="40"/>
      <c r="O605" s="40"/>
      <c r="P605" s="40"/>
      <c r="Q605" s="40"/>
      <c r="R605" s="40"/>
      <c r="S605" s="40"/>
      <c r="T605" s="40"/>
    </row>
    <row r="606" spans="1:20">
      <c r="A606" s="40"/>
      <c r="F606" s="38"/>
      <c r="G606" s="38"/>
      <c r="H606" s="38"/>
      <c r="I606" s="38"/>
      <c r="J606" s="38"/>
      <c r="K606" s="38"/>
      <c r="L606" s="38"/>
      <c r="M606" s="38"/>
      <c r="N606" s="40"/>
      <c r="O606" s="40"/>
      <c r="P606" s="40"/>
      <c r="Q606" s="40"/>
      <c r="R606" s="40"/>
      <c r="S606" s="40"/>
      <c r="T606" s="40"/>
    </row>
    <row r="607" spans="1:20">
      <c r="A607" s="40"/>
      <c r="F607" s="38"/>
      <c r="G607" s="38"/>
      <c r="H607" s="38"/>
      <c r="I607" s="38"/>
      <c r="J607" s="38"/>
      <c r="K607" s="38"/>
      <c r="L607" s="38"/>
      <c r="M607" s="38"/>
      <c r="N607" s="40"/>
      <c r="O607" s="40"/>
      <c r="P607" s="40"/>
      <c r="Q607" s="40"/>
      <c r="R607" s="40"/>
      <c r="S607" s="40"/>
      <c r="T607" s="40"/>
    </row>
    <row r="608" spans="1:20">
      <c r="A608" s="40"/>
      <c r="F608" s="38"/>
      <c r="G608" s="38"/>
      <c r="H608" s="38"/>
      <c r="I608" s="38"/>
      <c r="J608" s="38"/>
      <c r="K608" s="38"/>
      <c r="L608" s="38"/>
      <c r="M608" s="38"/>
      <c r="N608" s="40"/>
      <c r="O608" s="40"/>
      <c r="P608" s="40"/>
      <c r="Q608" s="40"/>
      <c r="R608" s="40"/>
      <c r="S608" s="40"/>
      <c r="T608" s="40"/>
    </row>
    <row r="609" spans="1:20">
      <c r="A609" s="40"/>
      <c r="F609" s="38"/>
      <c r="G609" s="38"/>
      <c r="H609" s="38"/>
      <c r="I609" s="38"/>
      <c r="J609" s="38"/>
      <c r="K609" s="38"/>
      <c r="L609" s="38"/>
      <c r="M609" s="38"/>
      <c r="N609" s="40"/>
      <c r="O609" s="40"/>
      <c r="P609" s="40"/>
      <c r="Q609" s="40"/>
      <c r="R609" s="40"/>
      <c r="S609" s="40"/>
      <c r="T609" s="40"/>
    </row>
    <row r="610" spans="1:20">
      <c r="A610" s="40"/>
      <c r="F610" s="38"/>
      <c r="G610" s="38"/>
      <c r="H610" s="38"/>
      <c r="I610" s="38"/>
      <c r="J610" s="38"/>
      <c r="K610" s="38"/>
      <c r="L610" s="38"/>
      <c r="M610" s="38"/>
      <c r="N610" s="40"/>
      <c r="O610" s="40"/>
      <c r="P610" s="40"/>
      <c r="Q610" s="40"/>
      <c r="R610" s="40"/>
      <c r="S610" s="40"/>
      <c r="T610" s="40"/>
    </row>
    <row r="611" spans="1:20">
      <c r="A611" s="40"/>
      <c r="F611" s="38"/>
      <c r="G611" s="38"/>
      <c r="H611" s="38"/>
      <c r="I611" s="38"/>
      <c r="J611" s="38"/>
      <c r="K611" s="38"/>
      <c r="L611" s="38"/>
      <c r="M611" s="38"/>
      <c r="N611" s="40"/>
      <c r="O611" s="40"/>
      <c r="P611" s="40"/>
      <c r="Q611" s="40"/>
      <c r="R611" s="40"/>
      <c r="S611" s="40"/>
      <c r="T611" s="40"/>
    </row>
    <row r="612" spans="1:20">
      <c r="A612" s="40"/>
      <c r="F612" s="38"/>
      <c r="G612" s="38"/>
      <c r="H612" s="38"/>
      <c r="I612" s="38"/>
      <c r="J612" s="38"/>
      <c r="K612" s="38"/>
      <c r="L612" s="38"/>
      <c r="M612" s="38"/>
      <c r="N612" s="40"/>
      <c r="O612" s="40"/>
      <c r="P612" s="40"/>
      <c r="Q612" s="40"/>
      <c r="R612" s="40"/>
      <c r="S612" s="40"/>
      <c r="T612" s="40"/>
    </row>
    <row r="613" spans="1:20">
      <c r="A613" s="40"/>
      <c r="F613" s="38"/>
      <c r="G613" s="38"/>
      <c r="H613" s="38"/>
      <c r="I613" s="38"/>
      <c r="J613" s="38"/>
      <c r="K613" s="38"/>
      <c r="L613" s="38"/>
      <c r="M613" s="38"/>
      <c r="N613" s="40"/>
      <c r="O613" s="40"/>
      <c r="P613" s="40"/>
      <c r="Q613" s="40"/>
      <c r="R613" s="40"/>
      <c r="S613" s="40"/>
      <c r="T613" s="40"/>
    </row>
    <row r="614" spans="1:20">
      <c r="A614" s="40"/>
      <c r="F614" s="38"/>
      <c r="G614" s="38"/>
      <c r="H614" s="38"/>
      <c r="I614" s="38"/>
      <c r="J614" s="38"/>
      <c r="K614" s="38"/>
      <c r="L614" s="38"/>
      <c r="M614" s="38"/>
      <c r="N614" s="40"/>
      <c r="O614" s="40"/>
      <c r="P614" s="40"/>
      <c r="Q614" s="40"/>
      <c r="R614" s="40"/>
      <c r="S614" s="40"/>
      <c r="T614" s="40"/>
    </row>
    <row r="615" spans="1:20">
      <c r="A615" s="40"/>
      <c r="F615" s="38"/>
      <c r="G615" s="38"/>
      <c r="H615" s="38"/>
      <c r="I615" s="38"/>
      <c r="J615" s="38"/>
      <c r="K615" s="38"/>
      <c r="L615" s="38"/>
      <c r="M615" s="38"/>
      <c r="N615" s="40"/>
      <c r="O615" s="40"/>
      <c r="P615" s="40"/>
      <c r="Q615" s="40"/>
      <c r="R615" s="40"/>
      <c r="S615" s="40"/>
      <c r="T615" s="40"/>
    </row>
    <row r="616" spans="1:20">
      <c r="A616" s="40"/>
      <c r="F616" s="38"/>
      <c r="G616" s="38"/>
      <c r="H616" s="38"/>
      <c r="I616" s="38"/>
      <c r="J616" s="38"/>
      <c r="K616" s="38"/>
      <c r="L616" s="38"/>
      <c r="M616" s="38"/>
      <c r="N616" s="40"/>
      <c r="O616" s="40"/>
      <c r="P616" s="40"/>
      <c r="Q616" s="40"/>
      <c r="R616" s="40"/>
      <c r="S616" s="40"/>
      <c r="T616" s="40"/>
    </row>
    <row r="617" spans="1:20">
      <c r="A617" s="40"/>
      <c r="F617" s="38"/>
      <c r="G617" s="38"/>
      <c r="H617" s="38"/>
      <c r="I617" s="38"/>
      <c r="J617" s="38"/>
      <c r="K617" s="38"/>
      <c r="L617" s="38"/>
      <c r="M617" s="38"/>
      <c r="N617" s="40"/>
      <c r="O617" s="40"/>
      <c r="P617" s="40"/>
      <c r="Q617" s="40"/>
      <c r="R617" s="40"/>
      <c r="S617" s="40"/>
      <c r="T617" s="40"/>
    </row>
    <row r="618" spans="1:20">
      <c r="A618" s="40"/>
      <c r="F618" s="38"/>
      <c r="G618" s="38"/>
      <c r="H618" s="38"/>
      <c r="I618" s="38"/>
      <c r="J618" s="38"/>
      <c r="K618" s="38"/>
      <c r="L618" s="38"/>
      <c r="M618" s="38"/>
      <c r="N618" s="40"/>
      <c r="O618" s="40"/>
      <c r="P618" s="40"/>
      <c r="Q618" s="40"/>
      <c r="R618" s="40"/>
      <c r="S618" s="40"/>
      <c r="T618" s="40"/>
    </row>
    <row r="619" spans="1:20">
      <c r="A619" s="40"/>
      <c r="F619" s="38"/>
      <c r="G619" s="38"/>
      <c r="H619" s="38"/>
      <c r="I619" s="38"/>
      <c r="J619" s="38"/>
      <c r="K619" s="38"/>
      <c r="L619" s="38"/>
      <c r="M619" s="38"/>
      <c r="N619" s="40"/>
      <c r="O619" s="40"/>
      <c r="P619" s="40"/>
      <c r="Q619" s="40"/>
      <c r="R619" s="40"/>
      <c r="S619" s="40"/>
      <c r="T619" s="40"/>
    </row>
    <row r="620" spans="1:20">
      <c r="A620" s="40"/>
      <c r="F620" s="38"/>
      <c r="G620" s="38"/>
      <c r="H620" s="38"/>
      <c r="I620" s="38"/>
      <c r="J620" s="38"/>
      <c r="K620" s="38"/>
      <c r="L620" s="38"/>
      <c r="M620" s="38"/>
      <c r="N620" s="40"/>
      <c r="O620" s="40"/>
      <c r="P620" s="40"/>
      <c r="Q620" s="40"/>
      <c r="R620" s="40"/>
      <c r="S620" s="40"/>
      <c r="T620" s="40"/>
    </row>
    <row r="621" spans="1:20">
      <c r="A621" s="40"/>
      <c r="F621" s="38"/>
      <c r="G621" s="38"/>
      <c r="H621" s="38"/>
      <c r="I621" s="38"/>
      <c r="J621" s="38"/>
      <c r="K621" s="38"/>
      <c r="L621" s="38"/>
      <c r="M621" s="38"/>
      <c r="N621" s="40"/>
      <c r="O621" s="40"/>
      <c r="P621" s="40"/>
      <c r="Q621" s="40"/>
      <c r="R621" s="40"/>
      <c r="S621" s="40"/>
      <c r="T621" s="40"/>
    </row>
    <row r="622" spans="1:20">
      <c r="A622" s="40"/>
      <c r="F622" s="38"/>
      <c r="G622" s="38"/>
      <c r="H622" s="38"/>
      <c r="I622" s="38"/>
      <c r="J622" s="38"/>
      <c r="K622" s="38"/>
      <c r="L622" s="38"/>
      <c r="M622" s="38"/>
      <c r="N622" s="40"/>
      <c r="O622" s="40"/>
      <c r="P622" s="40"/>
      <c r="Q622" s="40"/>
      <c r="R622" s="40"/>
      <c r="S622" s="40"/>
      <c r="T622" s="40"/>
    </row>
    <row r="623" spans="1:20">
      <c r="A623" s="40"/>
      <c r="F623" s="38"/>
      <c r="G623" s="38"/>
      <c r="H623" s="38"/>
      <c r="I623" s="38"/>
      <c r="J623" s="38"/>
      <c r="K623" s="38"/>
      <c r="L623" s="38"/>
      <c r="M623" s="38"/>
      <c r="N623" s="40"/>
      <c r="O623" s="40"/>
      <c r="P623" s="40"/>
      <c r="Q623" s="40"/>
      <c r="R623" s="40"/>
      <c r="S623" s="40"/>
      <c r="T623" s="40"/>
    </row>
    <row r="624" spans="1:20">
      <c r="A624" s="40"/>
      <c r="F624" s="38"/>
      <c r="G624" s="38"/>
      <c r="H624" s="38"/>
      <c r="I624" s="38"/>
      <c r="J624" s="38"/>
      <c r="K624" s="38"/>
      <c r="L624" s="38"/>
      <c r="M624" s="38"/>
      <c r="N624" s="40"/>
      <c r="O624" s="40"/>
      <c r="P624" s="40"/>
      <c r="Q624" s="40"/>
      <c r="R624" s="40"/>
      <c r="S624" s="40"/>
      <c r="T624" s="40"/>
    </row>
    <row r="625" spans="1:20">
      <c r="A625" s="40"/>
      <c r="F625" s="38"/>
      <c r="G625" s="38"/>
      <c r="H625" s="38"/>
      <c r="I625" s="38"/>
      <c r="J625" s="38"/>
      <c r="K625" s="38"/>
      <c r="L625" s="38"/>
      <c r="M625" s="38"/>
      <c r="N625" s="40"/>
      <c r="O625" s="40"/>
      <c r="P625" s="40"/>
      <c r="Q625" s="40"/>
      <c r="R625" s="40"/>
      <c r="S625" s="40"/>
      <c r="T625" s="40"/>
    </row>
    <row r="626" spans="1:20">
      <c r="A626" s="40"/>
      <c r="F626" s="38"/>
      <c r="G626" s="38"/>
      <c r="H626" s="38"/>
      <c r="I626" s="38"/>
      <c r="J626" s="38"/>
      <c r="K626" s="38"/>
      <c r="L626" s="38"/>
      <c r="M626" s="38"/>
      <c r="N626" s="40"/>
      <c r="O626" s="40"/>
      <c r="P626" s="40"/>
      <c r="Q626" s="40"/>
      <c r="R626" s="40"/>
      <c r="S626" s="40"/>
      <c r="T626" s="40"/>
    </row>
    <row r="627" spans="1:20">
      <c r="A627" s="40"/>
      <c r="F627" s="38"/>
      <c r="G627" s="38"/>
      <c r="H627" s="38"/>
      <c r="I627" s="38"/>
      <c r="J627" s="38"/>
      <c r="K627" s="38"/>
      <c r="L627" s="38"/>
      <c r="M627" s="38"/>
      <c r="N627" s="40"/>
      <c r="O627" s="40"/>
      <c r="P627" s="40"/>
      <c r="Q627" s="40"/>
      <c r="R627" s="40"/>
      <c r="S627" s="40"/>
      <c r="T627" s="40"/>
    </row>
    <row r="628" spans="1:20">
      <c r="A628" s="40"/>
      <c r="F628" s="38"/>
      <c r="G628" s="38"/>
      <c r="H628" s="38"/>
      <c r="I628" s="38"/>
      <c r="J628" s="38"/>
      <c r="K628" s="38"/>
      <c r="L628" s="38"/>
      <c r="M628" s="38"/>
      <c r="N628" s="40"/>
      <c r="O628" s="40"/>
      <c r="P628" s="40"/>
      <c r="Q628" s="40"/>
      <c r="R628" s="40"/>
      <c r="S628" s="40"/>
      <c r="T628" s="40"/>
    </row>
    <row r="629" spans="1:20">
      <c r="A629" s="40"/>
      <c r="F629" s="38"/>
      <c r="G629" s="38"/>
      <c r="H629" s="38"/>
      <c r="I629" s="38"/>
      <c r="J629" s="38"/>
      <c r="K629" s="38"/>
      <c r="L629" s="38"/>
      <c r="M629" s="38"/>
      <c r="N629" s="40"/>
      <c r="O629" s="40"/>
      <c r="P629" s="40"/>
      <c r="Q629" s="40"/>
      <c r="R629" s="40"/>
      <c r="S629" s="40"/>
      <c r="T629" s="40"/>
    </row>
    <row r="630" spans="1:20">
      <c r="A630" s="40"/>
      <c r="F630" s="38"/>
      <c r="G630" s="38"/>
      <c r="H630" s="38"/>
      <c r="I630" s="38"/>
      <c r="J630" s="38"/>
      <c r="K630" s="38"/>
      <c r="L630" s="38"/>
      <c r="M630" s="38"/>
      <c r="N630" s="40"/>
      <c r="O630" s="40"/>
      <c r="P630" s="40"/>
      <c r="Q630" s="40"/>
      <c r="R630" s="40"/>
      <c r="S630" s="40"/>
      <c r="T630" s="40"/>
    </row>
    <row r="631" spans="1:20">
      <c r="A631" s="40"/>
      <c r="F631" s="38"/>
      <c r="G631" s="38"/>
      <c r="H631" s="38"/>
      <c r="I631" s="38"/>
      <c r="J631" s="38"/>
      <c r="K631" s="38"/>
      <c r="L631" s="38"/>
      <c r="M631" s="38"/>
      <c r="N631" s="40"/>
      <c r="O631" s="40"/>
      <c r="P631" s="40"/>
      <c r="Q631" s="40"/>
      <c r="R631" s="40"/>
      <c r="S631" s="40"/>
      <c r="T631" s="40"/>
    </row>
    <row r="632" spans="1:20">
      <c r="A632" s="40"/>
      <c r="F632" s="38"/>
      <c r="G632" s="38"/>
      <c r="H632" s="38"/>
      <c r="I632" s="38"/>
      <c r="J632" s="38"/>
      <c r="K632" s="38"/>
      <c r="L632" s="38"/>
      <c r="M632" s="38"/>
      <c r="N632" s="40"/>
      <c r="O632" s="40"/>
      <c r="P632" s="40"/>
      <c r="Q632" s="40"/>
      <c r="R632" s="40"/>
      <c r="S632" s="40"/>
      <c r="T632" s="40"/>
    </row>
    <row r="633" spans="1:20">
      <c r="A633" s="40"/>
      <c r="F633" s="38"/>
      <c r="G633" s="38"/>
      <c r="H633" s="38"/>
      <c r="I633" s="38"/>
      <c r="J633" s="38"/>
      <c r="K633" s="38"/>
      <c r="L633" s="38"/>
      <c r="M633" s="38"/>
      <c r="N633" s="40"/>
      <c r="O633" s="40"/>
      <c r="P633" s="40"/>
      <c r="Q633" s="40"/>
      <c r="R633" s="40"/>
      <c r="S633" s="40"/>
      <c r="T633" s="40"/>
    </row>
    <row r="634" spans="1:20">
      <c r="A634" s="40"/>
      <c r="F634" s="38"/>
      <c r="G634" s="38"/>
      <c r="H634" s="38"/>
      <c r="I634" s="38"/>
      <c r="J634" s="38"/>
      <c r="K634" s="38"/>
      <c r="L634" s="38"/>
      <c r="M634" s="38"/>
      <c r="N634" s="40"/>
      <c r="O634" s="40"/>
      <c r="P634" s="40"/>
      <c r="Q634" s="40"/>
      <c r="R634" s="40"/>
      <c r="S634" s="40"/>
      <c r="T634" s="40"/>
    </row>
    <row r="635" spans="1:20">
      <c r="A635" s="40"/>
      <c r="F635" s="38"/>
      <c r="G635" s="38"/>
      <c r="H635" s="38"/>
      <c r="I635" s="38"/>
      <c r="J635" s="38"/>
      <c r="K635" s="38"/>
      <c r="L635" s="38"/>
      <c r="M635" s="38"/>
      <c r="N635" s="40"/>
      <c r="O635" s="40"/>
      <c r="P635" s="40"/>
      <c r="Q635" s="40"/>
      <c r="R635" s="40"/>
      <c r="S635" s="40"/>
      <c r="T635" s="40"/>
    </row>
    <row r="636" spans="1:20">
      <c r="A636" s="40"/>
      <c r="F636" s="38"/>
      <c r="G636" s="38"/>
      <c r="H636" s="38"/>
      <c r="I636" s="38"/>
      <c r="J636" s="38"/>
      <c r="K636" s="38"/>
      <c r="L636" s="38"/>
      <c r="M636" s="38"/>
      <c r="N636" s="40"/>
      <c r="O636" s="40"/>
      <c r="P636" s="40"/>
      <c r="Q636" s="40"/>
      <c r="R636" s="40"/>
      <c r="S636" s="40"/>
      <c r="T636" s="40"/>
    </row>
    <row r="637" spans="1:20">
      <c r="A637" s="40"/>
      <c r="F637" s="38"/>
      <c r="G637" s="38"/>
      <c r="H637" s="38"/>
      <c r="I637" s="38"/>
      <c r="J637" s="38"/>
      <c r="K637" s="38"/>
      <c r="L637" s="38"/>
      <c r="M637" s="38"/>
      <c r="N637" s="40"/>
      <c r="O637" s="40"/>
      <c r="P637" s="40"/>
      <c r="Q637" s="40"/>
      <c r="R637" s="40"/>
      <c r="S637" s="40"/>
      <c r="T637" s="40"/>
    </row>
    <row r="638" spans="1:20">
      <c r="A638" s="40"/>
      <c r="F638" s="38"/>
      <c r="G638" s="38"/>
      <c r="H638" s="38"/>
      <c r="I638" s="38"/>
      <c r="J638" s="38"/>
      <c r="K638" s="38"/>
      <c r="L638" s="38"/>
      <c r="M638" s="38"/>
      <c r="N638" s="40"/>
      <c r="O638" s="40"/>
      <c r="P638" s="40"/>
      <c r="Q638" s="40"/>
      <c r="R638" s="40"/>
      <c r="S638" s="40"/>
      <c r="T638" s="40"/>
    </row>
    <row r="639" spans="1:20">
      <c r="A639" s="40"/>
      <c r="F639" s="38"/>
      <c r="G639" s="38"/>
      <c r="H639" s="38"/>
      <c r="I639" s="38"/>
      <c r="J639" s="38"/>
      <c r="K639" s="38"/>
      <c r="L639" s="38"/>
      <c r="M639" s="38"/>
      <c r="N639" s="40"/>
      <c r="O639" s="40"/>
      <c r="P639" s="40"/>
      <c r="Q639" s="40"/>
      <c r="R639" s="40"/>
      <c r="S639" s="40"/>
      <c r="T639" s="40"/>
    </row>
    <row r="640" spans="1:20">
      <c r="A640" s="40"/>
      <c r="F640" s="38"/>
      <c r="G640" s="38"/>
      <c r="H640" s="38"/>
      <c r="I640" s="38"/>
      <c r="J640" s="38"/>
      <c r="K640" s="38"/>
      <c r="L640" s="38"/>
      <c r="M640" s="38"/>
      <c r="N640" s="40"/>
      <c r="O640" s="40"/>
      <c r="P640" s="40"/>
      <c r="Q640" s="40"/>
      <c r="R640" s="40"/>
      <c r="S640" s="40"/>
      <c r="T640" s="40"/>
    </row>
    <row r="641" spans="1:20">
      <c r="A641" s="40"/>
      <c r="F641" s="38"/>
      <c r="G641" s="38"/>
      <c r="H641" s="38"/>
      <c r="I641" s="38"/>
      <c r="J641" s="38"/>
      <c r="K641" s="38"/>
      <c r="L641" s="38"/>
      <c r="M641" s="38"/>
      <c r="N641" s="40"/>
      <c r="O641" s="40"/>
      <c r="P641" s="40"/>
      <c r="Q641" s="40"/>
      <c r="R641" s="40"/>
      <c r="S641" s="40"/>
      <c r="T641" s="40"/>
    </row>
    <row r="642" spans="1:20">
      <c r="A642" s="40"/>
      <c r="F642" s="38"/>
      <c r="G642" s="38"/>
      <c r="H642" s="38"/>
      <c r="I642" s="38"/>
      <c r="J642" s="38"/>
      <c r="K642" s="38"/>
      <c r="L642" s="38"/>
      <c r="M642" s="38"/>
      <c r="N642" s="40"/>
      <c r="O642" s="40"/>
      <c r="P642" s="40"/>
      <c r="Q642" s="40"/>
      <c r="R642" s="40"/>
      <c r="S642" s="40"/>
      <c r="T642" s="40"/>
    </row>
    <row r="643" spans="1:20">
      <c r="A643" s="40"/>
      <c r="F643" s="38"/>
      <c r="G643" s="38"/>
      <c r="H643" s="38"/>
      <c r="I643" s="38"/>
      <c r="J643" s="38"/>
      <c r="K643" s="38"/>
      <c r="L643" s="38"/>
      <c r="M643" s="38"/>
      <c r="N643" s="40"/>
      <c r="O643" s="40"/>
      <c r="P643" s="40"/>
      <c r="Q643" s="40"/>
      <c r="R643" s="40"/>
      <c r="S643" s="40"/>
      <c r="T643" s="40"/>
    </row>
    <row r="644" spans="1:20">
      <c r="A644" s="40"/>
      <c r="F644" s="38"/>
      <c r="G644" s="38"/>
      <c r="H644" s="38"/>
      <c r="I644" s="38"/>
      <c r="J644" s="38"/>
      <c r="K644" s="38"/>
      <c r="L644" s="38"/>
      <c r="M644" s="38"/>
      <c r="N644" s="40"/>
      <c r="O644" s="40"/>
      <c r="P644" s="40"/>
      <c r="Q644" s="40"/>
      <c r="R644" s="40"/>
      <c r="S644" s="40"/>
      <c r="T644" s="40"/>
    </row>
    <row r="645" spans="1:20">
      <c r="A645" s="40"/>
      <c r="F645" s="38"/>
      <c r="G645" s="38"/>
      <c r="H645" s="38"/>
      <c r="I645" s="38"/>
      <c r="J645" s="38"/>
      <c r="K645" s="38"/>
      <c r="L645" s="38"/>
      <c r="M645" s="38"/>
      <c r="N645" s="40"/>
      <c r="O645" s="40"/>
      <c r="P645" s="40"/>
      <c r="Q645" s="40"/>
      <c r="R645" s="40"/>
      <c r="S645" s="40"/>
      <c r="T645" s="40"/>
    </row>
    <row r="646" spans="1:20">
      <c r="A646" s="40"/>
      <c r="F646" s="38"/>
      <c r="G646" s="38"/>
      <c r="H646" s="38"/>
      <c r="I646" s="38"/>
      <c r="J646" s="38"/>
      <c r="K646" s="38"/>
      <c r="L646" s="38"/>
      <c r="M646" s="38"/>
      <c r="N646" s="40"/>
      <c r="O646" s="40"/>
      <c r="P646" s="40"/>
      <c r="Q646" s="40"/>
      <c r="R646" s="40"/>
      <c r="S646" s="40"/>
      <c r="T646" s="40"/>
    </row>
    <row r="647" spans="1:20">
      <c r="A647" s="40"/>
      <c r="F647" s="38"/>
      <c r="G647" s="38"/>
      <c r="H647" s="38"/>
      <c r="I647" s="38"/>
      <c r="J647" s="38"/>
      <c r="K647" s="38"/>
      <c r="L647" s="38"/>
      <c r="M647" s="38"/>
      <c r="N647" s="40"/>
      <c r="O647" s="40"/>
      <c r="P647" s="40"/>
      <c r="Q647" s="40"/>
      <c r="R647" s="40"/>
      <c r="S647" s="40"/>
      <c r="T647" s="40"/>
    </row>
    <row r="648" spans="1:20">
      <c r="A648" s="40"/>
      <c r="F648" s="38"/>
      <c r="G648" s="38"/>
      <c r="H648" s="38"/>
      <c r="I648" s="38"/>
      <c r="J648" s="38"/>
      <c r="K648" s="38"/>
      <c r="L648" s="38"/>
      <c r="M648" s="38"/>
      <c r="N648" s="40"/>
      <c r="O648" s="40"/>
      <c r="P648" s="40"/>
      <c r="Q648" s="40"/>
      <c r="R648" s="40"/>
      <c r="S648" s="40"/>
      <c r="T648" s="40"/>
    </row>
    <row r="649" spans="1:20">
      <c r="A649" s="40"/>
      <c r="F649" s="38"/>
      <c r="G649" s="38"/>
      <c r="H649" s="38"/>
      <c r="I649" s="38"/>
      <c r="J649" s="38"/>
      <c r="K649" s="38"/>
      <c r="L649" s="38"/>
      <c r="M649" s="38"/>
      <c r="N649" s="40"/>
      <c r="O649" s="40"/>
      <c r="P649" s="40"/>
      <c r="Q649" s="40"/>
      <c r="R649" s="40"/>
      <c r="S649" s="40"/>
      <c r="T649" s="40"/>
    </row>
    <row r="650" spans="1:20">
      <c r="A650" s="40"/>
      <c r="F650" s="38"/>
      <c r="G650" s="38"/>
      <c r="H650" s="38"/>
      <c r="I650" s="38"/>
      <c r="J650" s="38"/>
      <c r="K650" s="38"/>
      <c r="L650" s="38"/>
      <c r="M650" s="38"/>
      <c r="N650" s="40"/>
      <c r="O650" s="40"/>
      <c r="P650" s="40"/>
      <c r="Q650" s="40"/>
      <c r="R650" s="40"/>
      <c r="S650" s="40"/>
      <c r="T650" s="40"/>
    </row>
    <row r="651" spans="1:20">
      <c r="A651" s="40"/>
      <c r="F651" s="38"/>
      <c r="G651" s="38"/>
      <c r="H651" s="38"/>
      <c r="I651" s="38"/>
      <c r="J651" s="38"/>
      <c r="K651" s="38"/>
      <c r="L651" s="38"/>
      <c r="M651" s="38"/>
      <c r="N651" s="40"/>
      <c r="O651" s="40"/>
      <c r="P651" s="40"/>
      <c r="Q651" s="40"/>
      <c r="R651" s="40"/>
      <c r="S651" s="40"/>
      <c r="T651" s="40"/>
    </row>
    <row r="652" spans="1:20">
      <c r="A652" s="40"/>
      <c r="F652" s="38"/>
      <c r="G652" s="38"/>
      <c r="H652" s="38"/>
      <c r="I652" s="38"/>
      <c r="J652" s="38"/>
      <c r="K652" s="38"/>
      <c r="L652" s="38"/>
      <c r="M652" s="38"/>
      <c r="N652" s="40"/>
      <c r="O652" s="40"/>
      <c r="P652" s="40"/>
      <c r="Q652" s="40"/>
      <c r="R652" s="40"/>
      <c r="S652" s="40"/>
      <c r="T652" s="40"/>
    </row>
    <row r="653" spans="1:20">
      <c r="A653" s="40"/>
      <c r="F653" s="38"/>
      <c r="G653" s="38"/>
      <c r="H653" s="38"/>
      <c r="I653" s="38"/>
      <c r="J653" s="38"/>
      <c r="K653" s="38"/>
      <c r="L653" s="38"/>
      <c r="M653" s="38"/>
      <c r="N653" s="40"/>
      <c r="O653" s="40"/>
      <c r="P653" s="40"/>
      <c r="Q653" s="40"/>
      <c r="R653" s="40"/>
      <c r="S653" s="40"/>
      <c r="T653" s="40"/>
    </row>
    <row r="654" spans="1:20">
      <c r="A654" s="40"/>
      <c r="F654" s="38"/>
      <c r="G654" s="38"/>
      <c r="H654" s="38"/>
      <c r="I654" s="38"/>
      <c r="J654" s="38"/>
      <c r="K654" s="38"/>
      <c r="L654" s="38"/>
      <c r="M654" s="38"/>
      <c r="N654" s="40"/>
      <c r="O654" s="40"/>
      <c r="P654" s="40"/>
      <c r="Q654" s="40"/>
      <c r="R654" s="40"/>
      <c r="S654" s="40"/>
      <c r="T654" s="40"/>
    </row>
    <row r="655" spans="1:20">
      <c r="A655" s="40"/>
      <c r="F655" s="38"/>
      <c r="G655" s="38"/>
      <c r="H655" s="38"/>
      <c r="I655" s="38"/>
      <c r="J655" s="38"/>
      <c r="K655" s="38"/>
      <c r="L655" s="38"/>
      <c r="M655" s="38"/>
      <c r="N655" s="40"/>
      <c r="O655" s="40"/>
      <c r="P655" s="40"/>
      <c r="Q655" s="40"/>
      <c r="R655" s="40"/>
      <c r="S655" s="40"/>
      <c r="T655" s="40"/>
    </row>
    <row r="656" spans="1:20">
      <c r="A656" s="40"/>
      <c r="F656" s="38"/>
      <c r="G656" s="38"/>
      <c r="H656" s="38"/>
      <c r="I656" s="38"/>
      <c r="J656" s="38"/>
      <c r="K656" s="38"/>
      <c r="L656" s="38"/>
      <c r="M656" s="38"/>
      <c r="N656" s="40"/>
      <c r="O656" s="40"/>
      <c r="P656" s="40"/>
      <c r="Q656" s="40"/>
      <c r="R656" s="40"/>
      <c r="S656" s="40"/>
      <c r="T656" s="40"/>
    </row>
    <row r="657" spans="1:20">
      <c r="A657" s="40"/>
      <c r="F657" s="38"/>
      <c r="G657" s="38"/>
      <c r="H657" s="38"/>
      <c r="I657" s="38"/>
      <c r="J657" s="38"/>
      <c r="K657" s="38"/>
      <c r="L657" s="38"/>
      <c r="M657" s="38"/>
      <c r="N657" s="40"/>
      <c r="O657" s="40"/>
      <c r="P657" s="40"/>
      <c r="Q657" s="40"/>
      <c r="R657" s="40"/>
      <c r="S657" s="40"/>
      <c r="T657" s="40"/>
    </row>
    <row r="658" spans="1:20">
      <c r="A658" s="40"/>
      <c r="F658" s="38"/>
      <c r="G658" s="38"/>
      <c r="H658" s="38"/>
      <c r="I658" s="38"/>
      <c r="J658" s="38"/>
      <c r="K658" s="38"/>
      <c r="L658" s="38"/>
      <c r="M658" s="38"/>
      <c r="N658" s="40"/>
      <c r="O658" s="40"/>
      <c r="P658" s="40"/>
      <c r="Q658" s="40"/>
      <c r="R658" s="40"/>
      <c r="S658" s="40"/>
      <c r="T658" s="40"/>
    </row>
    <row r="659" spans="1:20">
      <c r="A659" s="40"/>
      <c r="F659" s="38"/>
      <c r="G659" s="38"/>
      <c r="H659" s="38"/>
      <c r="I659" s="38"/>
      <c r="J659" s="38"/>
      <c r="K659" s="38"/>
      <c r="L659" s="38"/>
      <c r="M659" s="38"/>
      <c r="N659" s="40"/>
      <c r="O659" s="40"/>
      <c r="P659" s="40"/>
      <c r="Q659" s="40"/>
      <c r="R659" s="40"/>
      <c r="S659" s="40"/>
      <c r="T659" s="40"/>
    </row>
    <row r="660" spans="1:20">
      <c r="A660" s="40"/>
      <c r="F660" s="38"/>
      <c r="G660" s="38"/>
      <c r="H660" s="38"/>
      <c r="I660" s="38"/>
      <c r="J660" s="38"/>
      <c r="K660" s="38"/>
      <c r="L660" s="38"/>
      <c r="M660" s="38"/>
      <c r="N660" s="40"/>
      <c r="O660" s="40"/>
      <c r="P660" s="40"/>
      <c r="Q660" s="40"/>
      <c r="R660" s="40"/>
      <c r="S660" s="40"/>
      <c r="T660" s="40"/>
    </row>
    <row r="661" spans="1:20">
      <c r="A661" s="40"/>
      <c r="F661" s="38"/>
      <c r="G661" s="38"/>
      <c r="H661" s="38"/>
      <c r="I661" s="38"/>
      <c r="J661" s="38"/>
      <c r="K661" s="38"/>
      <c r="L661" s="38"/>
      <c r="M661" s="38"/>
      <c r="N661" s="40"/>
      <c r="O661" s="40"/>
      <c r="P661" s="40"/>
      <c r="Q661" s="40"/>
      <c r="R661" s="40"/>
      <c r="S661" s="40"/>
      <c r="T661" s="40"/>
    </row>
    <row r="662" spans="1:20">
      <c r="A662" s="40"/>
      <c r="F662" s="38"/>
      <c r="G662" s="38"/>
      <c r="H662" s="38"/>
      <c r="I662" s="38"/>
      <c r="J662" s="38"/>
      <c r="K662" s="38"/>
      <c r="L662" s="38"/>
      <c r="M662" s="38"/>
      <c r="N662" s="40"/>
      <c r="O662" s="40"/>
      <c r="P662" s="40"/>
      <c r="Q662" s="40"/>
      <c r="R662" s="40"/>
      <c r="S662" s="40"/>
      <c r="T662" s="40"/>
    </row>
    <row r="663" spans="1:20">
      <c r="A663" s="40"/>
      <c r="F663" s="38"/>
      <c r="G663" s="38"/>
      <c r="H663" s="38"/>
      <c r="I663" s="38"/>
      <c r="J663" s="38"/>
      <c r="K663" s="38"/>
      <c r="L663" s="38"/>
      <c r="M663" s="38"/>
      <c r="N663" s="40"/>
      <c r="O663" s="40"/>
      <c r="P663" s="40"/>
      <c r="Q663" s="40"/>
      <c r="R663" s="40"/>
      <c r="S663" s="40"/>
      <c r="T663" s="40"/>
    </row>
    <row r="664" spans="1:20">
      <c r="A664" s="40"/>
      <c r="F664" s="38"/>
      <c r="G664" s="38"/>
      <c r="H664" s="38"/>
      <c r="I664" s="38"/>
      <c r="J664" s="38"/>
      <c r="K664" s="38"/>
      <c r="L664" s="38"/>
      <c r="M664" s="38"/>
      <c r="N664" s="40"/>
      <c r="O664" s="40"/>
      <c r="P664" s="40"/>
      <c r="Q664" s="40"/>
      <c r="R664" s="40"/>
      <c r="S664" s="40"/>
      <c r="T664" s="40"/>
    </row>
    <row r="665" spans="1:20">
      <c r="A665" s="40"/>
      <c r="F665" s="38"/>
      <c r="G665" s="38"/>
      <c r="H665" s="38"/>
      <c r="I665" s="38"/>
      <c r="J665" s="38"/>
      <c r="K665" s="38"/>
      <c r="L665" s="38"/>
      <c r="M665" s="38"/>
      <c r="N665" s="40"/>
      <c r="O665" s="40"/>
      <c r="P665" s="40"/>
      <c r="Q665" s="40"/>
      <c r="R665" s="40"/>
      <c r="S665" s="40"/>
      <c r="T665" s="40"/>
    </row>
    <row r="666" spans="1:20">
      <c r="A666" s="40"/>
      <c r="F666" s="38"/>
      <c r="G666" s="38"/>
      <c r="H666" s="38"/>
      <c r="I666" s="38"/>
      <c r="J666" s="38"/>
      <c r="K666" s="38"/>
      <c r="L666" s="38"/>
      <c r="M666" s="38"/>
      <c r="N666" s="40"/>
      <c r="O666" s="40"/>
      <c r="P666" s="40"/>
      <c r="Q666" s="40"/>
      <c r="R666" s="40"/>
      <c r="S666" s="40"/>
      <c r="T666" s="40"/>
    </row>
    <row r="667" spans="1:20">
      <c r="A667" s="40"/>
      <c r="F667" s="38"/>
      <c r="G667" s="38"/>
      <c r="H667" s="38"/>
      <c r="I667" s="38"/>
      <c r="J667" s="38"/>
      <c r="K667" s="38"/>
      <c r="L667" s="38"/>
      <c r="M667" s="38"/>
      <c r="N667" s="40"/>
      <c r="O667" s="40"/>
      <c r="P667" s="40"/>
      <c r="Q667" s="40"/>
      <c r="R667" s="40"/>
      <c r="S667" s="40"/>
      <c r="T667" s="40"/>
    </row>
    <row r="668" spans="1:20">
      <c r="A668" s="40"/>
      <c r="F668" s="38"/>
      <c r="G668" s="38"/>
      <c r="H668" s="38"/>
      <c r="I668" s="38"/>
      <c r="J668" s="38"/>
      <c r="K668" s="38"/>
      <c r="L668" s="38"/>
      <c r="M668" s="38"/>
      <c r="N668" s="40"/>
      <c r="O668" s="40"/>
      <c r="P668" s="40"/>
      <c r="Q668" s="40"/>
      <c r="R668" s="40"/>
      <c r="S668" s="40"/>
      <c r="T668" s="40"/>
    </row>
    <row r="669" spans="1:20">
      <c r="A669" s="40"/>
      <c r="F669" s="38"/>
      <c r="G669" s="38"/>
      <c r="H669" s="38"/>
      <c r="I669" s="38"/>
      <c r="J669" s="38"/>
      <c r="K669" s="38"/>
      <c r="L669" s="38"/>
      <c r="M669" s="38"/>
      <c r="N669" s="40"/>
      <c r="O669" s="40"/>
      <c r="P669" s="40"/>
      <c r="Q669" s="40"/>
      <c r="R669" s="40"/>
      <c r="S669" s="40"/>
      <c r="T669" s="40"/>
    </row>
    <row r="670" spans="1:20">
      <c r="A670" s="40"/>
      <c r="F670" s="38"/>
      <c r="G670" s="38"/>
      <c r="H670" s="38"/>
      <c r="I670" s="38"/>
      <c r="J670" s="38"/>
      <c r="K670" s="38"/>
      <c r="L670" s="38"/>
      <c r="M670" s="38"/>
      <c r="N670" s="40"/>
      <c r="O670" s="40"/>
      <c r="P670" s="40"/>
      <c r="Q670" s="40"/>
      <c r="R670" s="40"/>
      <c r="S670" s="40"/>
      <c r="T670" s="40"/>
    </row>
    <row r="671" spans="1:20">
      <c r="A671" s="40"/>
      <c r="F671" s="38"/>
      <c r="G671" s="38"/>
      <c r="H671" s="38"/>
      <c r="I671" s="38"/>
      <c r="J671" s="38"/>
      <c r="K671" s="38"/>
      <c r="L671" s="38"/>
      <c r="M671" s="38"/>
      <c r="N671" s="40"/>
      <c r="O671" s="40"/>
      <c r="P671" s="40"/>
      <c r="Q671" s="40"/>
      <c r="R671" s="40"/>
      <c r="S671" s="40"/>
      <c r="T671" s="40"/>
    </row>
    <row r="672" spans="1:20">
      <c r="A672" s="40"/>
      <c r="F672" s="38"/>
      <c r="G672" s="38"/>
      <c r="H672" s="38"/>
      <c r="I672" s="38"/>
      <c r="J672" s="38"/>
      <c r="K672" s="38"/>
      <c r="L672" s="38"/>
      <c r="M672" s="38"/>
      <c r="N672" s="40"/>
      <c r="O672" s="40"/>
      <c r="P672" s="40"/>
      <c r="Q672" s="40"/>
      <c r="R672" s="40"/>
      <c r="S672" s="40"/>
      <c r="T672" s="40"/>
    </row>
    <row r="673" spans="1:20">
      <c r="A673" s="40"/>
      <c r="F673" s="38"/>
      <c r="G673" s="38"/>
      <c r="H673" s="38"/>
      <c r="I673" s="38"/>
      <c r="J673" s="38"/>
      <c r="K673" s="38"/>
      <c r="L673" s="38"/>
      <c r="M673" s="38"/>
      <c r="N673" s="40"/>
      <c r="O673" s="40"/>
      <c r="P673" s="40"/>
      <c r="Q673" s="40"/>
      <c r="R673" s="40"/>
      <c r="S673" s="40"/>
      <c r="T673" s="40"/>
    </row>
    <row r="674" spans="1:20">
      <c r="A674" s="40"/>
      <c r="F674" s="38"/>
      <c r="G674" s="38"/>
      <c r="H674" s="38"/>
      <c r="I674" s="38"/>
      <c r="J674" s="38"/>
      <c r="K674" s="38"/>
      <c r="L674" s="38"/>
      <c r="M674" s="38"/>
      <c r="N674" s="40"/>
      <c r="O674" s="40"/>
      <c r="P674" s="40"/>
      <c r="Q674" s="40"/>
      <c r="R674" s="40"/>
      <c r="S674" s="40"/>
      <c r="T674" s="40"/>
    </row>
    <row r="675" spans="1:20">
      <c r="A675" s="40"/>
      <c r="F675" s="38"/>
      <c r="G675" s="38"/>
      <c r="H675" s="38"/>
      <c r="I675" s="38"/>
      <c r="J675" s="38"/>
      <c r="K675" s="38"/>
      <c r="L675" s="38"/>
      <c r="M675" s="38"/>
      <c r="N675" s="40"/>
      <c r="O675" s="40"/>
      <c r="P675" s="40"/>
      <c r="Q675" s="40"/>
      <c r="R675" s="40"/>
      <c r="S675" s="40"/>
      <c r="T675" s="40"/>
    </row>
    <row r="676" spans="1:20">
      <c r="A676" s="40"/>
      <c r="F676" s="38"/>
      <c r="G676" s="38"/>
      <c r="H676" s="38"/>
      <c r="I676" s="38"/>
      <c r="J676" s="38"/>
      <c r="K676" s="38"/>
      <c r="L676" s="38"/>
      <c r="M676" s="38"/>
      <c r="N676" s="40"/>
      <c r="O676" s="40"/>
      <c r="P676" s="40"/>
      <c r="Q676" s="40"/>
      <c r="R676" s="40"/>
      <c r="S676" s="40"/>
      <c r="T676" s="40"/>
    </row>
    <row r="677" spans="1:20">
      <c r="A677" s="40"/>
      <c r="F677" s="38"/>
      <c r="G677" s="38"/>
      <c r="H677" s="38"/>
      <c r="I677" s="38"/>
      <c r="J677" s="38"/>
      <c r="K677" s="38"/>
      <c r="L677" s="38"/>
      <c r="M677" s="38"/>
      <c r="N677" s="40"/>
      <c r="O677" s="40"/>
      <c r="P677" s="40"/>
      <c r="Q677" s="40"/>
      <c r="R677" s="40"/>
      <c r="S677" s="40"/>
      <c r="T677" s="40"/>
    </row>
    <row r="678" spans="1:20">
      <c r="A678" s="40"/>
      <c r="F678" s="38"/>
      <c r="G678" s="38"/>
      <c r="H678" s="38"/>
      <c r="I678" s="38"/>
      <c r="J678" s="38"/>
      <c r="K678" s="38"/>
      <c r="L678" s="38"/>
      <c r="M678" s="38"/>
      <c r="N678" s="40"/>
      <c r="O678" s="40"/>
      <c r="P678" s="40"/>
      <c r="Q678" s="40"/>
      <c r="R678" s="40"/>
      <c r="S678" s="40"/>
      <c r="T678" s="40"/>
    </row>
    <row r="679" spans="1:20">
      <c r="A679" s="40"/>
      <c r="F679" s="38"/>
      <c r="G679" s="38"/>
      <c r="H679" s="38"/>
      <c r="I679" s="38"/>
      <c r="J679" s="38"/>
      <c r="K679" s="38"/>
      <c r="L679" s="38"/>
      <c r="M679" s="38"/>
      <c r="N679" s="40"/>
      <c r="O679" s="40"/>
      <c r="P679" s="40"/>
      <c r="Q679" s="40"/>
      <c r="R679" s="40"/>
      <c r="S679" s="40"/>
      <c r="T679" s="40"/>
    </row>
    <row r="680" spans="1:20">
      <c r="A680" s="40"/>
      <c r="F680" s="38"/>
      <c r="G680" s="38"/>
      <c r="H680" s="38"/>
      <c r="I680" s="38"/>
      <c r="J680" s="38"/>
      <c r="K680" s="38"/>
      <c r="L680" s="38"/>
      <c r="M680" s="38"/>
      <c r="N680" s="40"/>
      <c r="O680" s="40"/>
      <c r="P680" s="40"/>
      <c r="Q680" s="40"/>
      <c r="R680" s="40"/>
      <c r="S680" s="40"/>
      <c r="T680" s="40"/>
    </row>
    <row r="681" spans="1:20">
      <c r="A681" s="40"/>
      <c r="F681" s="38"/>
      <c r="G681" s="38"/>
      <c r="H681" s="38"/>
      <c r="I681" s="38"/>
      <c r="J681" s="38"/>
      <c r="K681" s="38"/>
      <c r="L681" s="38"/>
      <c r="M681" s="38"/>
      <c r="N681" s="40"/>
      <c r="O681" s="40"/>
      <c r="P681" s="40"/>
      <c r="Q681" s="40"/>
      <c r="R681" s="40"/>
      <c r="S681" s="40"/>
      <c r="T681" s="40"/>
    </row>
    <row r="682" spans="1:20">
      <c r="A682" s="40"/>
      <c r="F682" s="38"/>
      <c r="G682" s="38"/>
      <c r="H682" s="38"/>
      <c r="I682" s="38"/>
      <c r="J682" s="38"/>
      <c r="K682" s="38"/>
      <c r="L682" s="38"/>
      <c r="M682" s="38"/>
      <c r="N682" s="40"/>
      <c r="O682" s="40"/>
      <c r="P682" s="40"/>
      <c r="Q682" s="40"/>
      <c r="R682" s="40"/>
      <c r="S682" s="40"/>
      <c r="T682" s="40"/>
    </row>
    <row r="683" spans="1:20">
      <c r="A683" s="40"/>
      <c r="F683" s="38"/>
      <c r="G683" s="38"/>
      <c r="H683" s="38"/>
      <c r="I683" s="38"/>
      <c r="J683" s="38"/>
      <c r="K683" s="38"/>
      <c r="L683" s="38"/>
      <c r="M683" s="38"/>
      <c r="N683" s="40"/>
      <c r="O683" s="40"/>
      <c r="P683" s="40"/>
      <c r="Q683" s="40"/>
      <c r="R683" s="40"/>
      <c r="S683" s="40"/>
      <c r="T683" s="40"/>
    </row>
    <row r="684" spans="1:20">
      <c r="A684" s="40"/>
      <c r="F684" s="38"/>
      <c r="G684" s="38"/>
      <c r="H684" s="38"/>
      <c r="I684" s="38"/>
      <c r="J684" s="38"/>
      <c r="K684" s="38"/>
      <c r="L684" s="38"/>
      <c r="M684" s="38"/>
      <c r="N684" s="40"/>
      <c r="O684" s="40"/>
      <c r="P684" s="40"/>
      <c r="Q684" s="40"/>
      <c r="R684" s="40"/>
      <c r="S684" s="40"/>
      <c r="T684" s="40"/>
    </row>
    <row r="685" spans="1:20">
      <c r="A685" s="40"/>
      <c r="F685" s="38"/>
      <c r="G685" s="38"/>
      <c r="H685" s="38"/>
      <c r="I685" s="38"/>
      <c r="J685" s="38"/>
      <c r="K685" s="38"/>
      <c r="L685" s="38"/>
      <c r="M685" s="38"/>
      <c r="N685" s="40"/>
      <c r="O685" s="40"/>
      <c r="P685" s="40"/>
      <c r="Q685" s="40"/>
      <c r="R685" s="40"/>
      <c r="S685" s="40"/>
      <c r="T685" s="40"/>
    </row>
    <row r="686" spans="1:20">
      <c r="A686" s="40"/>
      <c r="F686" s="38"/>
      <c r="G686" s="38"/>
      <c r="H686" s="38"/>
      <c r="I686" s="38"/>
      <c r="J686" s="38"/>
      <c r="K686" s="38"/>
      <c r="L686" s="38"/>
      <c r="M686" s="38"/>
      <c r="N686" s="40"/>
      <c r="O686" s="40"/>
      <c r="P686" s="40"/>
      <c r="Q686" s="40"/>
      <c r="R686" s="40"/>
      <c r="S686" s="40"/>
      <c r="T686" s="40"/>
    </row>
    <row r="687" spans="1:20">
      <c r="A687" s="40"/>
      <c r="F687" s="38"/>
      <c r="G687" s="38"/>
      <c r="H687" s="38"/>
      <c r="I687" s="38"/>
      <c r="J687" s="38"/>
      <c r="K687" s="38"/>
      <c r="L687" s="38"/>
      <c r="M687" s="38"/>
      <c r="N687" s="40"/>
      <c r="O687" s="40"/>
      <c r="P687" s="40"/>
      <c r="Q687" s="40"/>
      <c r="R687" s="40"/>
      <c r="S687" s="40"/>
      <c r="T687" s="40"/>
    </row>
    <row r="688" spans="1:20">
      <c r="A688" s="40"/>
      <c r="F688" s="38"/>
      <c r="G688" s="38"/>
      <c r="H688" s="38"/>
      <c r="I688" s="38"/>
      <c r="J688" s="38"/>
      <c r="K688" s="38"/>
      <c r="L688" s="38"/>
      <c r="M688" s="38"/>
      <c r="N688" s="40"/>
      <c r="O688" s="40"/>
      <c r="P688" s="40"/>
      <c r="Q688" s="40"/>
      <c r="R688" s="40"/>
      <c r="S688" s="40"/>
      <c r="T688" s="40"/>
    </row>
    <row r="689" spans="1:20">
      <c r="A689" s="40"/>
      <c r="F689" s="38"/>
      <c r="G689" s="38"/>
      <c r="H689" s="38"/>
      <c r="I689" s="38"/>
      <c r="J689" s="38"/>
      <c r="K689" s="38"/>
      <c r="L689" s="38"/>
      <c r="M689" s="38"/>
      <c r="N689" s="40"/>
      <c r="O689" s="40"/>
      <c r="P689" s="40"/>
      <c r="Q689" s="40"/>
      <c r="R689" s="40"/>
      <c r="S689" s="40"/>
      <c r="T689" s="40"/>
    </row>
    <row r="690" spans="1:20">
      <c r="A690" s="40"/>
      <c r="F690" s="38"/>
      <c r="G690" s="38"/>
      <c r="H690" s="38"/>
      <c r="I690" s="38"/>
      <c r="J690" s="38"/>
      <c r="K690" s="38"/>
      <c r="L690" s="38"/>
      <c r="M690" s="38"/>
      <c r="N690" s="40"/>
      <c r="O690" s="40"/>
      <c r="P690" s="40"/>
      <c r="Q690" s="40"/>
      <c r="R690" s="40"/>
      <c r="S690" s="40"/>
      <c r="T690" s="40"/>
    </row>
    <row r="691" spans="1:20">
      <c r="A691" s="40"/>
      <c r="F691" s="38"/>
      <c r="G691" s="38"/>
      <c r="H691" s="38"/>
      <c r="I691" s="38"/>
      <c r="J691" s="38"/>
      <c r="K691" s="38"/>
      <c r="L691" s="38"/>
      <c r="M691" s="38"/>
      <c r="N691" s="40"/>
      <c r="O691" s="40"/>
      <c r="P691" s="40"/>
      <c r="Q691" s="40"/>
      <c r="R691" s="40"/>
      <c r="S691" s="40"/>
      <c r="T691" s="40"/>
    </row>
    <row r="692" spans="1:20">
      <c r="A692" s="40"/>
      <c r="F692" s="38"/>
      <c r="G692" s="38"/>
      <c r="H692" s="38"/>
      <c r="I692" s="38"/>
      <c r="J692" s="38"/>
      <c r="K692" s="38"/>
      <c r="L692" s="38"/>
      <c r="M692" s="38"/>
      <c r="N692" s="40"/>
      <c r="O692" s="40"/>
      <c r="P692" s="40"/>
      <c r="Q692" s="40"/>
      <c r="R692" s="40"/>
      <c r="S692" s="40"/>
      <c r="T692" s="40"/>
    </row>
    <row r="693" spans="1:20">
      <c r="A693" s="40"/>
      <c r="F693" s="38"/>
      <c r="G693" s="38"/>
      <c r="H693" s="38"/>
      <c r="I693" s="38"/>
      <c r="J693" s="38"/>
      <c r="K693" s="38"/>
      <c r="L693" s="38"/>
      <c r="M693" s="38"/>
      <c r="N693" s="40"/>
      <c r="O693" s="40"/>
      <c r="P693" s="40"/>
      <c r="Q693" s="40"/>
      <c r="R693" s="40"/>
      <c r="S693" s="40"/>
      <c r="T693" s="40"/>
    </row>
    <row r="694" spans="1:20">
      <c r="A694" s="40"/>
      <c r="F694" s="38"/>
      <c r="G694" s="38"/>
      <c r="H694" s="38"/>
      <c r="I694" s="38"/>
      <c r="J694" s="38"/>
      <c r="K694" s="38"/>
      <c r="L694" s="38"/>
      <c r="M694" s="38"/>
      <c r="N694" s="40"/>
      <c r="O694" s="40"/>
      <c r="P694" s="40"/>
      <c r="Q694" s="40"/>
      <c r="R694" s="40"/>
      <c r="S694" s="40"/>
      <c r="T694" s="40"/>
    </row>
    <row r="695" spans="1:20">
      <c r="A695" s="40"/>
      <c r="F695" s="38"/>
      <c r="G695" s="38"/>
      <c r="H695" s="38"/>
      <c r="I695" s="38"/>
      <c r="J695" s="38"/>
      <c r="K695" s="38"/>
      <c r="L695" s="38"/>
      <c r="M695" s="38"/>
      <c r="N695" s="40"/>
      <c r="O695" s="40"/>
      <c r="P695" s="40"/>
      <c r="Q695" s="40"/>
      <c r="R695" s="40"/>
      <c r="S695" s="40"/>
      <c r="T695" s="40"/>
    </row>
    <row r="696" spans="1:20">
      <c r="A696" s="40"/>
      <c r="F696" s="38"/>
      <c r="G696" s="38"/>
      <c r="H696" s="38"/>
      <c r="I696" s="38"/>
      <c r="J696" s="38"/>
      <c r="K696" s="38"/>
      <c r="L696" s="38"/>
      <c r="M696" s="38"/>
      <c r="N696" s="40"/>
      <c r="O696" s="40"/>
      <c r="P696" s="40"/>
      <c r="Q696" s="40"/>
      <c r="R696" s="40"/>
      <c r="S696" s="40"/>
      <c r="T696" s="40"/>
    </row>
    <row r="697" spans="1:20">
      <c r="A697" s="40"/>
      <c r="F697" s="38"/>
      <c r="G697" s="38"/>
      <c r="H697" s="38"/>
      <c r="I697" s="38"/>
      <c r="J697" s="38"/>
      <c r="K697" s="38"/>
      <c r="L697" s="38"/>
      <c r="M697" s="38"/>
      <c r="N697" s="40"/>
      <c r="O697" s="40"/>
      <c r="P697" s="40"/>
      <c r="Q697" s="40"/>
      <c r="R697" s="40"/>
      <c r="S697" s="40"/>
      <c r="T697" s="40"/>
    </row>
    <row r="698" spans="1:20">
      <c r="A698" s="40"/>
      <c r="F698" s="38"/>
      <c r="G698" s="38"/>
      <c r="H698" s="38"/>
      <c r="I698" s="38"/>
      <c r="J698" s="38"/>
      <c r="K698" s="38"/>
      <c r="L698" s="38"/>
      <c r="M698" s="38"/>
      <c r="N698" s="40"/>
      <c r="O698" s="40"/>
      <c r="P698" s="40"/>
      <c r="Q698" s="40"/>
      <c r="R698" s="40"/>
      <c r="S698" s="40"/>
      <c r="T698" s="40"/>
    </row>
    <row r="699" spans="1:20">
      <c r="A699" s="40"/>
      <c r="F699" s="38"/>
      <c r="G699" s="38"/>
      <c r="H699" s="38"/>
      <c r="I699" s="38"/>
      <c r="J699" s="38"/>
      <c r="K699" s="38"/>
      <c r="L699" s="38"/>
      <c r="M699" s="38"/>
      <c r="N699" s="40"/>
      <c r="O699" s="40"/>
      <c r="P699" s="40"/>
      <c r="Q699" s="40"/>
      <c r="R699" s="40"/>
      <c r="S699" s="40"/>
      <c r="T699" s="40"/>
    </row>
    <row r="700" spans="1:20">
      <c r="A700" s="40"/>
      <c r="F700" s="38"/>
      <c r="G700" s="38"/>
      <c r="H700" s="38"/>
      <c r="I700" s="38"/>
      <c r="J700" s="38"/>
      <c r="K700" s="38"/>
      <c r="L700" s="38"/>
      <c r="M700" s="38"/>
      <c r="N700" s="40"/>
      <c r="O700" s="40"/>
      <c r="P700" s="40"/>
      <c r="Q700" s="40"/>
      <c r="R700" s="40"/>
      <c r="S700" s="40"/>
      <c r="T700" s="40"/>
    </row>
    <row r="701" spans="1:20">
      <c r="A701" s="40"/>
      <c r="F701" s="38"/>
      <c r="G701" s="38"/>
      <c r="H701" s="38"/>
      <c r="I701" s="38"/>
      <c r="J701" s="38"/>
      <c r="K701" s="38"/>
      <c r="L701" s="38"/>
      <c r="M701" s="38"/>
      <c r="N701" s="40"/>
      <c r="O701" s="40"/>
      <c r="P701" s="40"/>
      <c r="Q701" s="40"/>
      <c r="R701" s="40"/>
      <c r="S701" s="40"/>
      <c r="T701" s="40"/>
    </row>
    <row r="702" spans="1:20">
      <c r="A702" s="40"/>
      <c r="F702" s="38"/>
      <c r="G702" s="38"/>
      <c r="H702" s="38"/>
      <c r="I702" s="38"/>
      <c r="J702" s="38"/>
      <c r="K702" s="38"/>
      <c r="L702" s="38"/>
      <c r="M702" s="38"/>
      <c r="N702" s="40"/>
      <c r="O702" s="40"/>
      <c r="P702" s="40"/>
      <c r="Q702" s="40"/>
      <c r="R702" s="40"/>
      <c r="S702" s="40"/>
      <c r="T702" s="40"/>
    </row>
    <row r="703" spans="1:20">
      <c r="A703" s="40"/>
      <c r="F703" s="38"/>
      <c r="G703" s="38"/>
      <c r="H703" s="38"/>
      <c r="I703" s="38"/>
      <c r="J703" s="38"/>
      <c r="K703" s="38"/>
      <c r="L703" s="38"/>
      <c r="M703" s="38"/>
      <c r="N703" s="40"/>
      <c r="O703" s="40"/>
      <c r="P703" s="40"/>
      <c r="Q703" s="40"/>
      <c r="R703" s="40"/>
      <c r="S703" s="40"/>
      <c r="T703" s="40"/>
    </row>
    <row r="704" spans="1:20">
      <c r="A704" s="40"/>
      <c r="F704" s="38"/>
      <c r="G704" s="38"/>
      <c r="H704" s="38"/>
      <c r="I704" s="38"/>
      <c r="J704" s="38"/>
      <c r="K704" s="38"/>
      <c r="L704" s="38"/>
      <c r="M704" s="38"/>
      <c r="N704" s="40"/>
      <c r="O704" s="40"/>
      <c r="P704" s="40"/>
      <c r="Q704" s="40"/>
      <c r="R704" s="40"/>
      <c r="S704" s="40"/>
      <c r="T704" s="40"/>
    </row>
    <row r="705" spans="1:20">
      <c r="A705" s="40"/>
      <c r="F705" s="38"/>
      <c r="G705" s="38"/>
      <c r="H705" s="38"/>
      <c r="I705" s="38"/>
      <c r="J705" s="38"/>
      <c r="K705" s="38"/>
      <c r="L705" s="38"/>
      <c r="M705" s="38"/>
      <c r="N705" s="40"/>
      <c r="O705" s="40"/>
      <c r="P705" s="40"/>
      <c r="Q705" s="40"/>
      <c r="R705" s="40"/>
      <c r="S705" s="40"/>
      <c r="T705" s="40"/>
    </row>
    <row r="706" spans="1:20">
      <c r="A706" s="40"/>
      <c r="F706" s="38"/>
      <c r="G706" s="38"/>
      <c r="H706" s="38"/>
      <c r="I706" s="38"/>
      <c r="J706" s="38"/>
      <c r="K706" s="38"/>
      <c r="L706" s="38"/>
      <c r="M706" s="38"/>
      <c r="N706" s="40"/>
      <c r="O706" s="40"/>
      <c r="P706" s="40"/>
      <c r="Q706" s="40"/>
      <c r="R706" s="40"/>
      <c r="S706" s="40"/>
      <c r="T706" s="40"/>
    </row>
    <row r="707" spans="1:20">
      <c r="A707" s="40"/>
      <c r="F707" s="38"/>
      <c r="G707" s="38"/>
      <c r="H707" s="38"/>
      <c r="I707" s="38"/>
      <c r="J707" s="38"/>
      <c r="K707" s="38"/>
      <c r="L707" s="38"/>
      <c r="M707" s="38"/>
      <c r="N707" s="40"/>
      <c r="O707" s="40"/>
      <c r="P707" s="40"/>
      <c r="Q707" s="40"/>
      <c r="R707" s="40"/>
      <c r="S707" s="40"/>
      <c r="T707" s="40"/>
    </row>
    <row r="708" spans="1:20">
      <c r="A708" s="40"/>
      <c r="F708" s="38"/>
      <c r="G708" s="38"/>
      <c r="H708" s="38"/>
      <c r="I708" s="38"/>
      <c r="J708" s="38"/>
      <c r="K708" s="38"/>
      <c r="L708" s="38"/>
      <c r="M708" s="38"/>
      <c r="N708" s="40"/>
      <c r="O708" s="40"/>
      <c r="P708" s="40"/>
      <c r="Q708" s="40"/>
      <c r="R708" s="40"/>
      <c r="S708" s="40"/>
      <c r="T708" s="40"/>
    </row>
    <row r="709" spans="1:20">
      <c r="A709" s="40"/>
      <c r="F709" s="38"/>
      <c r="G709" s="38"/>
      <c r="H709" s="38"/>
      <c r="I709" s="38"/>
      <c r="J709" s="38"/>
      <c r="K709" s="38"/>
      <c r="L709" s="38"/>
      <c r="M709" s="38"/>
      <c r="N709" s="40"/>
      <c r="O709" s="40"/>
      <c r="P709" s="40"/>
      <c r="Q709" s="40"/>
      <c r="R709" s="40"/>
      <c r="S709" s="40"/>
      <c r="T709" s="40"/>
    </row>
    <row r="710" spans="1:20">
      <c r="A710" s="40"/>
      <c r="F710" s="38"/>
      <c r="G710" s="38"/>
      <c r="H710" s="38"/>
      <c r="I710" s="38"/>
      <c r="J710" s="38"/>
      <c r="K710" s="38"/>
      <c r="L710" s="38"/>
      <c r="M710" s="38"/>
      <c r="N710" s="40"/>
      <c r="O710" s="40"/>
      <c r="P710" s="40"/>
      <c r="Q710" s="40"/>
      <c r="R710" s="40"/>
      <c r="S710" s="40"/>
      <c r="T710" s="40"/>
    </row>
    <row r="711" spans="1:20">
      <c r="A711" s="40"/>
      <c r="F711" s="38"/>
      <c r="G711" s="38"/>
      <c r="H711" s="38"/>
      <c r="I711" s="38"/>
      <c r="J711" s="38"/>
      <c r="K711" s="38"/>
      <c r="L711" s="38"/>
      <c r="M711" s="38"/>
      <c r="N711" s="40"/>
      <c r="O711" s="40"/>
      <c r="P711" s="40"/>
      <c r="Q711" s="40"/>
      <c r="R711" s="40"/>
      <c r="S711" s="40"/>
      <c r="T711" s="40"/>
    </row>
    <row r="712" spans="1:20">
      <c r="A712" s="40"/>
      <c r="F712" s="38"/>
      <c r="G712" s="38"/>
      <c r="H712" s="38"/>
      <c r="I712" s="38"/>
      <c r="J712" s="38"/>
      <c r="K712" s="38"/>
      <c r="L712" s="38"/>
      <c r="M712" s="38"/>
      <c r="N712" s="40"/>
      <c r="O712" s="40"/>
      <c r="P712" s="40"/>
      <c r="Q712" s="40"/>
      <c r="R712" s="40"/>
      <c r="S712" s="40"/>
      <c r="T712" s="40"/>
    </row>
    <row r="713" spans="1:20">
      <c r="A713" s="40"/>
      <c r="F713" s="38"/>
      <c r="G713" s="38"/>
      <c r="H713" s="38"/>
      <c r="I713" s="38"/>
      <c r="J713" s="38"/>
      <c r="K713" s="38"/>
      <c r="L713" s="38"/>
      <c r="M713" s="38"/>
      <c r="N713" s="40"/>
      <c r="O713" s="40"/>
      <c r="P713" s="40"/>
      <c r="Q713" s="40"/>
      <c r="R713" s="40"/>
      <c r="S713" s="40"/>
      <c r="T713" s="40"/>
    </row>
    <row r="714" spans="1:20">
      <c r="A714" s="40"/>
      <c r="F714" s="38"/>
      <c r="G714" s="38"/>
      <c r="H714" s="38"/>
      <c r="I714" s="38"/>
      <c r="J714" s="38"/>
      <c r="K714" s="38"/>
      <c r="L714" s="38"/>
      <c r="M714" s="38"/>
      <c r="N714" s="40"/>
      <c r="O714" s="40"/>
      <c r="P714" s="40"/>
      <c r="Q714" s="40"/>
      <c r="R714" s="40"/>
      <c r="S714" s="40"/>
      <c r="T714" s="40"/>
    </row>
    <row r="715" spans="1:20">
      <c r="A715" s="40"/>
      <c r="F715" s="38"/>
      <c r="G715" s="38"/>
      <c r="H715" s="38"/>
      <c r="I715" s="38"/>
      <c r="J715" s="38"/>
      <c r="K715" s="38"/>
      <c r="L715" s="38"/>
      <c r="M715" s="38"/>
      <c r="N715" s="40"/>
      <c r="O715" s="40"/>
      <c r="P715" s="40"/>
      <c r="Q715" s="40"/>
      <c r="R715" s="40"/>
      <c r="S715" s="40"/>
      <c r="T715" s="40"/>
    </row>
    <row r="716" spans="1:20">
      <c r="A716" s="40"/>
      <c r="F716" s="38"/>
      <c r="G716" s="38"/>
      <c r="H716" s="38"/>
      <c r="I716" s="38"/>
      <c r="J716" s="38"/>
      <c r="K716" s="38"/>
      <c r="L716" s="38"/>
      <c r="M716" s="38"/>
      <c r="N716" s="40"/>
      <c r="O716" s="40"/>
      <c r="P716" s="40"/>
      <c r="Q716" s="40"/>
      <c r="R716" s="40"/>
      <c r="S716" s="40"/>
      <c r="T716" s="40"/>
    </row>
    <row r="717" spans="1:20">
      <c r="A717" s="40"/>
      <c r="F717" s="38"/>
      <c r="G717" s="38"/>
      <c r="H717" s="38"/>
      <c r="I717" s="38"/>
      <c r="J717" s="38"/>
      <c r="K717" s="38"/>
      <c r="L717" s="38"/>
      <c r="M717" s="38"/>
      <c r="N717" s="40"/>
      <c r="O717" s="40"/>
      <c r="P717" s="40"/>
      <c r="Q717" s="40"/>
      <c r="R717" s="40"/>
      <c r="S717" s="40"/>
      <c r="T717" s="40"/>
    </row>
    <row r="718" spans="1:20">
      <c r="A718" s="40"/>
      <c r="F718" s="38"/>
      <c r="G718" s="38"/>
      <c r="H718" s="38"/>
      <c r="I718" s="38"/>
      <c r="J718" s="38"/>
      <c r="K718" s="38"/>
      <c r="L718" s="38"/>
      <c r="M718" s="38"/>
      <c r="N718" s="40"/>
      <c r="O718" s="40"/>
      <c r="P718" s="40"/>
      <c r="Q718" s="40"/>
      <c r="R718" s="40"/>
      <c r="S718" s="40"/>
      <c r="T718" s="40"/>
    </row>
    <row r="719" spans="1:20">
      <c r="A719" s="40"/>
      <c r="F719" s="38"/>
      <c r="G719" s="38"/>
      <c r="H719" s="38"/>
      <c r="I719" s="38"/>
      <c r="J719" s="38"/>
      <c r="K719" s="38"/>
      <c r="L719" s="38"/>
      <c r="M719" s="38"/>
      <c r="N719" s="40"/>
      <c r="O719" s="40"/>
      <c r="P719" s="40"/>
      <c r="Q719" s="40"/>
      <c r="R719" s="40"/>
      <c r="S719" s="40"/>
      <c r="T719" s="40"/>
    </row>
    <row r="720" spans="1:20">
      <c r="A720" s="40"/>
      <c r="F720" s="38"/>
      <c r="G720" s="38"/>
      <c r="H720" s="38"/>
      <c r="I720" s="38"/>
      <c r="J720" s="38"/>
      <c r="K720" s="38"/>
      <c r="L720" s="38"/>
      <c r="M720" s="38"/>
      <c r="N720" s="40"/>
      <c r="O720" s="40"/>
      <c r="P720" s="40"/>
      <c r="Q720" s="40"/>
      <c r="R720" s="40"/>
      <c r="S720" s="40"/>
      <c r="T720" s="40"/>
    </row>
    <row r="721" spans="1:20">
      <c r="A721" s="40"/>
      <c r="F721" s="38"/>
      <c r="G721" s="38"/>
      <c r="H721" s="38"/>
      <c r="I721" s="38"/>
      <c r="J721" s="38"/>
      <c r="K721" s="38"/>
      <c r="L721" s="38"/>
      <c r="M721" s="38"/>
      <c r="N721" s="40"/>
      <c r="O721" s="40"/>
      <c r="P721" s="40"/>
      <c r="Q721" s="40"/>
      <c r="R721" s="40"/>
      <c r="S721" s="40"/>
      <c r="T721" s="40"/>
    </row>
    <row r="722" spans="1:20">
      <c r="A722" s="40"/>
      <c r="F722" s="38"/>
      <c r="G722" s="38"/>
      <c r="H722" s="38"/>
      <c r="I722" s="38"/>
      <c r="J722" s="38"/>
      <c r="K722" s="38"/>
      <c r="L722" s="38"/>
      <c r="M722" s="38"/>
      <c r="N722" s="40"/>
      <c r="O722" s="40"/>
      <c r="P722" s="40"/>
      <c r="Q722" s="40"/>
      <c r="R722" s="40"/>
      <c r="S722" s="40"/>
      <c r="T722" s="40"/>
    </row>
    <row r="723" spans="1:20">
      <c r="A723" s="40"/>
      <c r="F723" s="38"/>
      <c r="G723" s="38"/>
      <c r="H723" s="38"/>
      <c r="I723" s="38"/>
      <c r="J723" s="38"/>
      <c r="K723" s="38"/>
      <c r="L723" s="38"/>
      <c r="M723" s="38"/>
      <c r="N723" s="40"/>
      <c r="O723" s="40"/>
      <c r="P723" s="40"/>
      <c r="Q723" s="40"/>
      <c r="R723" s="40"/>
      <c r="S723" s="40"/>
      <c r="T723" s="40"/>
    </row>
    <row r="724" spans="1:20">
      <c r="A724" s="40"/>
      <c r="F724" s="38"/>
      <c r="G724" s="38"/>
      <c r="H724" s="38"/>
      <c r="I724" s="38"/>
      <c r="J724" s="38"/>
      <c r="K724" s="38"/>
      <c r="L724" s="38"/>
      <c r="M724" s="38"/>
      <c r="N724" s="40"/>
      <c r="O724" s="40"/>
      <c r="P724" s="40"/>
      <c r="Q724" s="40"/>
      <c r="R724" s="40"/>
      <c r="S724" s="40"/>
      <c r="T724" s="40"/>
    </row>
    <row r="725" spans="1:20">
      <c r="A725" s="40"/>
      <c r="F725" s="38"/>
      <c r="G725" s="38"/>
      <c r="H725" s="38"/>
      <c r="I725" s="38"/>
      <c r="J725" s="38"/>
      <c r="K725" s="38"/>
      <c r="L725" s="38"/>
      <c r="M725" s="38"/>
      <c r="N725" s="40"/>
      <c r="O725" s="40"/>
      <c r="P725" s="40"/>
      <c r="Q725" s="40"/>
      <c r="R725" s="40"/>
      <c r="S725" s="40"/>
      <c r="T725" s="40"/>
    </row>
    <row r="726" spans="1:20">
      <c r="A726" s="40"/>
      <c r="F726" s="38"/>
      <c r="G726" s="38"/>
      <c r="H726" s="38"/>
      <c r="I726" s="38"/>
      <c r="J726" s="38"/>
      <c r="K726" s="38"/>
      <c r="L726" s="38"/>
      <c r="M726" s="38"/>
      <c r="N726" s="40"/>
      <c r="O726" s="40"/>
      <c r="P726" s="40"/>
      <c r="Q726" s="40"/>
      <c r="R726" s="40"/>
      <c r="S726" s="40"/>
      <c r="T726" s="40"/>
    </row>
    <row r="727" spans="1:20">
      <c r="A727" s="40"/>
      <c r="F727" s="38"/>
      <c r="G727" s="38"/>
      <c r="H727" s="38"/>
      <c r="I727" s="38"/>
      <c r="J727" s="38"/>
      <c r="K727" s="38"/>
      <c r="L727" s="38"/>
      <c r="M727" s="38"/>
      <c r="N727" s="40"/>
      <c r="O727" s="40"/>
      <c r="P727" s="40"/>
      <c r="Q727" s="40"/>
      <c r="R727" s="40"/>
      <c r="S727" s="40"/>
      <c r="T727" s="40"/>
    </row>
    <row r="728" spans="1:20">
      <c r="A728" s="40"/>
      <c r="F728" s="38"/>
      <c r="G728" s="38"/>
      <c r="H728" s="38"/>
      <c r="I728" s="38"/>
      <c r="J728" s="38"/>
      <c r="K728" s="38"/>
      <c r="L728" s="38"/>
      <c r="M728" s="38"/>
      <c r="N728" s="40"/>
      <c r="O728" s="40"/>
      <c r="P728" s="40"/>
      <c r="Q728" s="40"/>
      <c r="R728" s="40"/>
      <c r="S728" s="40"/>
      <c r="T728" s="40"/>
    </row>
    <row r="729" spans="1:20">
      <c r="A729" s="40"/>
      <c r="F729" s="38"/>
      <c r="G729" s="38"/>
      <c r="H729" s="38"/>
      <c r="I729" s="38"/>
      <c r="J729" s="38"/>
      <c r="K729" s="38"/>
      <c r="L729" s="38"/>
      <c r="M729" s="38"/>
      <c r="N729" s="40"/>
      <c r="O729" s="40"/>
      <c r="P729" s="40"/>
      <c r="Q729" s="40"/>
      <c r="R729" s="40"/>
      <c r="S729" s="40"/>
      <c r="T729" s="40"/>
    </row>
    <row r="730" spans="1:20">
      <c r="A730" s="40"/>
      <c r="F730" s="38"/>
      <c r="G730" s="38"/>
      <c r="H730" s="38"/>
      <c r="I730" s="38"/>
      <c r="J730" s="38"/>
      <c r="K730" s="38"/>
      <c r="L730" s="38"/>
      <c r="M730" s="38"/>
      <c r="N730" s="40"/>
      <c r="O730" s="40"/>
      <c r="P730" s="40"/>
      <c r="Q730" s="40"/>
      <c r="R730" s="40"/>
      <c r="S730" s="40"/>
      <c r="T730" s="40"/>
    </row>
    <row r="731" spans="1:20">
      <c r="A731" s="40"/>
      <c r="F731" s="38"/>
      <c r="G731" s="38"/>
      <c r="H731" s="38"/>
      <c r="I731" s="38"/>
      <c r="J731" s="38"/>
      <c r="K731" s="38"/>
      <c r="L731" s="38"/>
      <c r="M731" s="38"/>
      <c r="N731" s="40"/>
      <c r="O731" s="40"/>
      <c r="P731" s="40"/>
      <c r="Q731" s="40"/>
      <c r="R731" s="40"/>
      <c r="S731" s="40"/>
      <c r="T731" s="40"/>
    </row>
    <row r="732" spans="1:20">
      <c r="A732" s="40"/>
      <c r="F732" s="38"/>
      <c r="G732" s="38"/>
      <c r="H732" s="38"/>
      <c r="I732" s="38"/>
      <c r="J732" s="38"/>
      <c r="K732" s="38"/>
      <c r="L732" s="38"/>
      <c r="M732" s="38"/>
      <c r="N732" s="40"/>
      <c r="O732" s="40"/>
      <c r="P732" s="40"/>
      <c r="Q732" s="40"/>
      <c r="R732" s="40"/>
      <c r="S732" s="40"/>
      <c r="T732" s="40"/>
    </row>
    <row r="733" spans="1:20">
      <c r="A733" s="40"/>
      <c r="F733" s="38"/>
      <c r="G733" s="38"/>
      <c r="H733" s="38"/>
      <c r="I733" s="38"/>
      <c r="J733" s="38"/>
      <c r="K733" s="38"/>
      <c r="L733" s="38"/>
      <c r="M733" s="38"/>
      <c r="N733" s="40"/>
      <c r="O733" s="40"/>
      <c r="P733" s="40"/>
      <c r="Q733" s="40"/>
      <c r="R733" s="40"/>
      <c r="S733" s="40"/>
      <c r="T733" s="40"/>
    </row>
    <row r="734" spans="1:20">
      <c r="A734" s="40"/>
      <c r="F734" s="38"/>
      <c r="G734" s="38"/>
      <c r="H734" s="38"/>
      <c r="I734" s="38"/>
      <c r="J734" s="38"/>
      <c r="K734" s="38"/>
      <c r="L734" s="38"/>
      <c r="M734" s="38"/>
      <c r="N734" s="40"/>
      <c r="O734" s="40"/>
      <c r="P734" s="40"/>
      <c r="Q734" s="40"/>
      <c r="R734" s="40"/>
      <c r="S734" s="40"/>
      <c r="T734" s="40"/>
    </row>
    <row r="735" spans="1:20">
      <c r="A735" s="40"/>
      <c r="F735" s="38"/>
      <c r="G735" s="38"/>
      <c r="H735" s="38"/>
      <c r="I735" s="38"/>
      <c r="J735" s="38"/>
      <c r="K735" s="38"/>
      <c r="L735" s="38"/>
      <c r="M735" s="38"/>
      <c r="N735" s="40"/>
      <c r="O735" s="40"/>
      <c r="P735" s="40"/>
      <c r="Q735" s="40"/>
      <c r="R735" s="40"/>
      <c r="S735" s="40"/>
      <c r="T735" s="40"/>
    </row>
    <row r="736" spans="1:20">
      <c r="A736" s="40"/>
      <c r="F736" s="38"/>
      <c r="G736" s="38"/>
      <c r="H736" s="38"/>
      <c r="I736" s="38"/>
      <c r="J736" s="38"/>
      <c r="K736" s="38"/>
      <c r="L736" s="38"/>
      <c r="M736" s="38"/>
      <c r="N736" s="40"/>
      <c r="O736" s="40"/>
      <c r="P736" s="40"/>
      <c r="Q736" s="40"/>
      <c r="R736" s="40"/>
      <c r="S736" s="40"/>
      <c r="T736" s="40"/>
    </row>
    <row r="737" spans="1:20">
      <c r="A737" s="40"/>
      <c r="F737" s="38"/>
      <c r="G737" s="38"/>
      <c r="H737" s="38"/>
      <c r="I737" s="38"/>
      <c r="J737" s="38"/>
      <c r="K737" s="38"/>
      <c r="L737" s="38"/>
      <c r="M737" s="38"/>
      <c r="N737" s="40"/>
      <c r="O737" s="40"/>
      <c r="P737" s="40"/>
      <c r="Q737" s="40"/>
      <c r="R737" s="40"/>
      <c r="S737" s="40"/>
      <c r="T737" s="40"/>
    </row>
    <row r="738" spans="1:20">
      <c r="A738" s="40"/>
      <c r="F738" s="38"/>
      <c r="G738" s="38"/>
      <c r="H738" s="38"/>
      <c r="I738" s="38"/>
      <c r="J738" s="38"/>
      <c r="K738" s="38"/>
      <c r="L738" s="38"/>
      <c r="M738" s="38"/>
      <c r="N738" s="40"/>
      <c r="O738" s="40"/>
      <c r="P738" s="40"/>
      <c r="Q738" s="40"/>
      <c r="R738" s="40"/>
      <c r="S738" s="40"/>
      <c r="T738" s="40"/>
    </row>
    <row r="739" spans="1:20">
      <c r="A739" s="40"/>
      <c r="F739" s="38"/>
      <c r="G739" s="38"/>
      <c r="H739" s="38"/>
      <c r="I739" s="38"/>
      <c r="J739" s="38"/>
      <c r="K739" s="38"/>
      <c r="L739" s="38"/>
      <c r="M739" s="38"/>
      <c r="N739" s="40"/>
      <c r="O739" s="40"/>
      <c r="P739" s="40"/>
      <c r="Q739" s="40"/>
      <c r="R739" s="40"/>
      <c r="S739" s="40"/>
      <c r="T739" s="40"/>
    </row>
    <row r="740" spans="1:20">
      <c r="A740" s="40"/>
      <c r="F740" s="38"/>
      <c r="G740" s="38"/>
      <c r="H740" s="38"/>
      <c r="I740" s="38"/>
      <c r="J740" s="38"/>
      <c r="K740" s="38"/>
      <c r="L740" s="38"/>
      <c r="M740" s="38"/>
      <c r="N740" s="40"/>
      <c r="O740" s="40"/>
      <c r="P740" s="40"/>
      <c r="Q740" s="40"/>
      <c r="R740" s="40"/>
      <c r="S740" s="40"/>
      <c r="T740" s="40"/>
    </row>
    <row r="741" spans="1:20">
      <c r="A741" s="40"/>
      <c r="F741" s="38"/>
      <c r="G741" s="38"/>
      <c r="H741" s="38"/>
      <c r="I741" s="38"/>
      <c r="J741" s="38"/>
      <c r="K741" s="38"/>
      <c r="L741" s="38"/>
      <c r="M741" s="38"/>
      <c r="N741" s="40"/>
      <c r="O741" s="40"/>
      <c r="P741" s="40"/>
      <c r="Q741" s="40"/>
      <c r="R741" s="40"/>
      <c r="S741" s="40"/>
      <c r="T741" s="40"/>
    </row>
    <row r="742" spans="1:20">
      <c r="A742" s="40"/>
      <c r="F742" s="38"/>
      <c r="G742" s="38"/>
      <c r="H742" s="38"/>
      <c r="I742" s="38"/>
      <c r="J742" s="38"/>
      <c r="K742" s="38"/>
      <c r="L742" s="38"/>
      <c r="M742" s="38"/>
      <c r="N742" s="40"/>
      <c r="O742" s="40"/>
      <c r="P742" s="40"/>
      <c r="Q742" s="40"/>
      <c r="R742" s="40"/>
      <c r="S742" s="40"/>
      <c r="T742" s="40"/>
    </row>
    <row r="743" spans="1:20">
      <c r="A743" s="40"/>
      <c r="F743" s="38"/>
      <c r="G743" s="38"/>
      <c r="H743" s="38"/>
      <c r="I743" s="38"/>
      <c r="J743" s="38"/>
      <c r="K743" s="38"/>
      <c r="L743" s="38"/>
      <c r="M743" s="38"/>
      <c r="N743" s="40"/>
      <c r="O743" s="40"/>
      <c r="P743" s="40"/>
      <c r="Q743" s="40"/>
      <c r="R743" s="40"/>
      <c r="S743" s="40"/>
      <c r="T743" s="40"/>
    </row>
    <row r="744" spans="1:20">
      <c r="A744" s="40"/>
      <c r="F744" s="38"/>
      <c r="G744" s="38"/>
      <c r="H744" s="38"/>
      <c r="I744" s="38"/>
      <c r="J744" s="38"/>
      <c r="K744" s="38"/>
      <c r="L744" s="38"/>
      <c r="M744" s="38"/>
      <c r="N744" s="40"/>
      <c r="O744" s="40"/>
      <c r="P744" s="40"/>
      <c r="Q744" s="40"/>
      <c r="R744" s="40"/>
      <c r="S744" s="40"/>
      <c r="T744" s="40"/>
    </row>
    <row r="745" spans="1:20">
      <c r="A745" s="40"/>
      <c r="F745" s="38"/>
      <c r="G745" s="38"/>
      <c r="H745" s="38"/>
      <c r="I745" s="38"/>
      <c r="J745" s="38"/>
      <c r="K745" s="38"/>
      <c r="L745" s="38"/>
      <c r="M745" s="38"/>
      <c r="N745" s="40"/>
      <c r="O745" s="40"/>
      <c r="P745" s="40"/>
      <c r="Q745" s="40"/>
      <c r="R745" s="40"/>
      <c r="S745" s="40"/>
      <c r="T745" s="40"/>
    </row>
    <row r="746" spans="1:20">
      <c r="A746" s="40"/>
      <c r="F746" s="38"/>
      <c r="G746" s="38"/>
      <c r="H746" s="38"/>
      <c r="I746" s="38"/>
      <c r="J746" s="38"/>
      <c r="K746" s="38"/>
      <c r="L746" s="38"/>
      <c r="M746" s="38"/>
      <c r="N746" s="40"/>
      <c r="O746" s="40"/>
      <c r="P746" s="40"/>
      <c r="Q746" s="40"/>
      <c r="R746" s="40"/>
      <c r="S746" s="40"/>
      <c r="T746" s="40"/>
    </row>
    <row r="747" spans="1:20">
      <c r="A747" s="40"/>
      <c r="F747" s="38"/>
      <c r="G747" s="38"/>
      <c r="H747" s="38"/>
      <c r="I747" s="38"/>
      <c r="J747" s="38"/>
      <c r="K747" s="38"/>
      <c r="L747" s="38"/>
      <c r="M747" s="38"/>
      <c r="N747" s="40"/>
      <c r="O747" s="40"/>
      <c r="P747" s="40"/>
      <c r="Q747" s="40"/>
      <c r="R747" s="40"/>
      <c r="S747" s="40"/>
      <c r="T747" s="40"/>
    </row>
    <row r="748" spans="1:20">
      <c r="A748" s="40"/>
      <c r="F748" s="38"/>
      <c r="G748" s="38"/>
      <c r="H748" s="38"/>
      <c r="I748" s="38"/>
      <c r="J748" s="38"/>
      <c r="K748" s="38"/>
      <c r="L748" s="38"/>
      <c r="M748" s="38"/>
      <c r="N748" s="40"/>
      <c r="O748" s="40"/>
      <c r="P748" s="40"/>
      <c r="Q748" s="40"/>
      <c r="R748" s="40"/>
      <c r="S748" s="40"/>
      <c r="T748" s="40"/>
    </row>
    <row r="749" spans="1:20">
      <c r="A749" s="40"/>
      <c r="F749" s="38"/>
      <c r="G749" s="38"/>
      <c r="H749" s="38"/>
      <c r="I749" s="38"/>
      <c r="J749" s="38"/>
      <c r="K749" s="38"/>
      <c r="L749" s="38"/>
      <c r="M749" s="38"/>
      <c r="N749" s="40"/>
      <c r="O749" s="40"/>
      <c r="P749" s="40"/>
      <c r="Q749" s="40"/>
      <c r="R749" s="40"/>
      <c r="S749" s="40"/>
      <c r="T749" s="40"/>
    </row>
    <row r="750" spans="1:20">
      <c r="A750" s="40"/>
      <c r="F750" s="38"/>
      <c r="G750" s="38"/>
      <c r="H750" s="38"/>
      <c r="I750" s="38"/>
      <c r="J750" s="38"/>
      <c r="K750" s="38"/>
      <c r="L750" s="38"/>
      <c r="M750" s="38"/>
      <c r="N750" s="40"/>
      <c r="O750" s="40"/>
      <c r="P750" s="40"/>
      <c r="Q750" s="40"/>
      <c r="R750" s="40"/>
      <c r="S750" s="40"/>
      <c r="T750" s="40"/>
    </row>
    <row r="751" spans="1:20">
      <c r="A751" s="40"/>
      <c r="F751" s="38"/>
      <c r="G751" s="38"/>
      <c r="H751" s="38"/>
      <c r="I751" s="38"/>
      <c r="J751" s="38"/>
      <c r="K751" s="38"/>
      <c r="L751" s="38"/>
      <c r="M751" s="38"/>
      <c r="N751" s="40"/>
      <c r="O751" s="40"/>
      <c r="P751" s="40"/>
      <c r="Q751" s="40"/>
      <c r="R751" s="40"/>
      <c r="S751" s="40"/>
      <c r="T751" s="40"/>
    </row>
    <row r="752" spans="1:20">
      <c r="A752" s="40"/>
      <c r="F752" s="38"/>
      <c r="G752" s="38"/>
      <c r="H752" s="38"/>
      <c r="I752" s="38"/>
      <c r="J752" s="38"/>
      <c r="K752" s="38"/>
      <c r="L752" s="38"/>
      <c r="M752" s="38"/>
      <c r="N752" s="40"/>
      <c r="O752" s="40"/>
      <c r="P752" s="40"/>
      <c r="Q752" s="40"/>
      <c r="R752" s="40"/>
      <c r="S752" s="40"/>
      <c r="T752" s="40"/>
    </row>
    <row r="753" spans="1:20">
      <c r="A753" s="40"/>
      <c r="F753" s="38"/>
      <c r="G753" s="38"/>
      <c r="H753" s="38"/>
      <c r="I753" s="38"/>
      <c r="J753" s="38"/>
      <c r="K753" s="38"/>
      <c r="L753" s="38"/>
      <c r="M753" s="38"/>
      <c r="N753" s="40"/>
      <c r="O753" s="40"/>
      <c r="P753" s="40"/>
      <c r="Q753" s="40"/>
      <c r="R753" s="40"/>
      <c r="S753" s="40"/>
      <c r="T753" s="40"/>
    </row>
    <row r="754" spans="1:20">
      <c r="A754" s="40"/>
      <c r="F754" s="38"/>
      <c r="G754" s="38"/>
      <c r="H754" s="38"/>
      <c r="I754" s="38"/>
      <c r="J754" s="38"/>
      <c r="K754" s="38"/>
      <c r="L754" s="38"/>
      <c r="M754" s="38"/>
      <c r="N754" s="40"/>
      <c r="O754" s="40"/>
      <c r="P754" s="40"/>
      <c r="Q754" s="40"/>
      <c r="R754" s="40"/>
      <c r="S754" s="40"/>
      <c r="T754" s="40"/>
    </row>
    <row r="755" spans="1:20">
      <c r="A755" s="40"/>
      <c r="F755" s="38"/>
      <c r="G755" s="38"/>
      <c r="H755" s="38"/>
      <c r="I755" s="38"/>
      <c r="J755" s="38"/>
      <c r="K755" s="38"/>
      <c r="L755" s="38"/>
      <c r="M755" s="38"/>
      <c r="N755" s="40"/>
      <c r="O755" s="40"/>
      <c r="P755" s="40"/>
      <c r="Q755" s="40"/>
      <c r="R755" s="40"/>
      <c r="S755" s="40"/>
      <c r="T755" s="40"/>
    </row>
    <row r="756" spans="1:20">
      <c r="A756" s="40"/>
      <c r="F756" s="38"/>
      <c r="G756" s="38"/>
      <c r="H756" s="38"/>
      <c r="I756" s="38"/>
      <c r="J756" s="38"/>
      <c r="K756" s="38"/>
      <c r="L756" s="38"/>
      <c r="M756" s="38"/>
      <c r="N756" s="40"/>
      <c r="O756" s="40"/>
      <c r="P756" s="40"/>
      <c r="Q756" s="40"/>
      <c r="R756" s="40"/>
      <c r="S756" s="40"/>
      <c r="T756" s="40"/>
    </row>
    <row r="757" spans="1:20">
      <c r="A757" s="40"/>
      <c r="F757" s="38"/>
      <c r="G757" s="38"/>
      <c r="H757" s="38"/>
      <c r="I757" s="38"/>
      <c r="J757" s="38"/>
      <c r="K757" s="38"/>
      <c r="L757" s="38"/>
      <c r="M757" s="38"/>
      <c r="N757" s="40"/>
      <c r="O757" s="40"/>
      <c r="P757" s="40"/>
      <c r="Q757" s="40"/>
      <c r="R757" s="40"/>
      <c r="S757" s="40"/>
      <c r="T757" s="40"/>
    </row>
    <row r="758" spans="1:20">
      <c r="A758" s="40"/>
      <c r="F758" s="38"/>
      <c r="G758" s="38"/>
      <c r="H758" s="38"/>
      <c r="I758" s="38"/>
      <c r="J758" s="38"/>
      <c r="K758" s="38"/>
      <c r="L758" s="38"/>
      <c r="M758" s="38"/>
      <c r="N758" s="40"/>
      <c r="O758" s="40"/>
      <c r="P758" s="40"/>
      <c r="Q758" s="40"/>
      <c r="R758" s="40"/>
      <c r="S758" s="40"/>
      <c r="T758" s="40"/>
    </row>
    <row r="759" spans="1:20">
      <c r="A759" s="40"/>
      <c r="F759" s="38"/>
      <c r="G759" s="38"/>
      <c r="H759" s="38"/>
      <c r="I759" s="38"/>
      <c r="J759" s="38"/>
      <c r="K759" s="38"/>
      <c r="L759" s="38"/>
      <c r="M759" s="38"/>
      <c r="N759" s="40"/>
      <c r="O759" s="40"/>
      <c r="P759" s="40"/>
      <c r="Q759" s="40"/>
      <c r="R759" s="40"/>
      <c r="S759" s="40"/>
      <c r="T759" s="40"/>
    </row>
    <row r="760" spans="1:20">
      <c r="A760" s="40"/>
      <c r="F760" s="38"/>
      <c r="G760" s="38"/>
      <c r="H760" s="38"/>
      <c r="I760" s="38"/>
      <c r="J760" s="38"/>
      <c r="K760" s="38"/>
      <c r="L760" s="38"/>
      <c r="M760" s="38"/>
      <c r="N760" s="40"/>
      <c r="O760" s="40"/>
      <c r="P760" s="40"/>
      <c r="Q760" s="40"/>
      <c r="R760" s="40"/>
      <c r="S760" s="40"/>
      <c r="T760" s="40"/>
    </row>
    <row r="761" spans="1:20">
      <c r="A761" s="40"/>
      <c r="F761" s="38"/>
      <c r="G761" s="38"/>
      <c r="H761" s="38"/>
      <c r="I761" s="38"/>
      <c r="J761" s="38"/>
      <c r="K761" s="38"/>
      <c r="L761" s="38"/>
      <c r="M761" s="38"/>
      <c r="N761" s="40"/>
      <c r="O761" s="40"/>
      <c r="P761" s="40"/>
      <c r="Q761" s="40"/>
      <c r="R761" s="40"/>
      <c r="S761" s="40"/>
      <c r="T761" s="40"/>
    </row>
    <row r="762" spans="1:20">
      <c r="A762" s="40"/>
      <c r="F762" s="38"/>
      <c r="G762" s="38"/>
      <c r="H762" s="38"/>
      <c r="I762" s="38"/>
      <c r="J762" s="38"/>
      <c r="K762" s="38"/>
      <c r="L762" s="38"/>
      <c r="M762" s="38"/>
      <c r="N762" s="40"/>
      <c r="O762" s="40"/>
      <c r="P762" s="40"/>
      <c r="Q762" s="40"/>
      <c r="R762" s="40"/>
      <c r="S762" s="40"/>
      <c r="T762" s="40"/>
    </row>
    <row r="763" spans="1:20">
      <c r="A763" s="40"/>
      <c r="F763" s="38"/>
      <c r="G763" s="38"/>
      <c r="H763" s="38"/>
      <c r="I763" s="38"/>
      <c r="J763" s="38"/>
      <c r="K763" s="38"/>
      <c r="L763" s="38"/>
      <c r="M763" s="38"/>
      <c r="N763" s="40"/>
      <c r="O763" s="40"/>
      <c r="P763" s="40"/>
      <c r="Q763" s="40"/>
      <c r="R763" s="40"/>
      <c r="S763" s="40"/>
      <c r="T763" s="40"/>
    </row>
    <row r="764" spans="1:20">
      <c r="A764" s="40"/>
      <c r="F764" s="38"/>
      <c r="G764" s="38"/>
      <c r="H764" s="38"/>
      <c r="I764" s="38"/>
      <c r="J764" s="38"/>
      <c r="K764" s="38"/>
      <c r="L764" s="38"/>
      <c r="M764" s="38"/>
      <c r="N764" s="40"/>
      <c r="O764" s="40"/>
      <c r="P764" s="40"/>
      <c r="Q764" s="40"/>
      <c r="R764" s="40"/>
      <c r="S764" s="40"/>
      <c r="T764" s="40"/>
    </row>
    <row r="765" spans="1:20">
      <c r="A765" s="40"/>
      <c r="F765" s="38"/>
      <c r="G765" s="38"/>
      <c r="H765" s="38"/>
      <c r="I765" s="38"/>
      <c r="J765" s="38"/>
      <c r="K765" s="38"/>
      <c r="L765" s="38"/>
      <c r="M765" s="38"/>
      <c r="N765" s="40"/>
      <c r="O765" s="40"/>
      <c r="P765" s="40"/>
      <c r="Q765" s="40"/>
      <c r="R765" s="40"/>
      <c r="S765" s="40"/>
      <c r="T765" s="40"/>
    </row>
    <row r="766" spans="1:20">
      <c r="A766" s="40"/>
      <c r="F766" s="38"/>
      <c r="G766" s="38"/>
      <c r="H766" s="38"/>
      <c r="I766" s="38"/>
      <c r="J766" s="38"/>
      <c r="K766" s="38"/>
      <c r="L766" s="38"/>
      <c r="M766" s="38"/>
      <c r="N766" s="40"/>
      <c r="O766" s="40"/>
      <c r="P766" s="40"/>
      <c r="Q766" s="40"/>
      <c r="R766" s="40"/>
      <c r="S766" s="40"/>
      <c r="T766" s="40"/>
    </row>
    <row r="767" spans="1:20">
      <c r="A767" s="40"/>
      <c r="F767" s="38"/>
      <c r="G767" s="38"/>
      <c r="H767" s="38"/>
      <c r="I767" s="38"/>
      <c r="J767" s="38"/>
      <c r="K767" s="38"/>
      <c r="L767" s="38"/>
      <c r="M767" s="38"/>
      <c r="N767" s="40"/>
      <c r="O767" s="40"/>
      <c r="P767" s="40"/>
      <c r="Q767" s="40"/>
      <c r="R767" s="40"/>
      <c r="S767" s="40"/>
      <c r="T767" s="40"/>
    </row>
    <row r="768" spans="1:20">
      <c r="A768" s="40"/>
      <c r="F768" s="38"/>
      <c r="G768" s="38"/>
      <c r="H768" s="38"/>
      <c r="I768" s="38"/>
      <c r="J768" s="38"/>
      <c r="K768" s="38"/>
      <c r="L768" s="38"/>
      <c r="M768" s="38"/>
      <c r="N768" s="40"/>
      <c r="O768" s="40"/>
      <c r="P768" s="40"/>
      <c r="Q768" s="40"/>
      <c r="R768" s="40"/>
      <c r="S768" s="40"/>
      <c r="T768" s="40"/>
    </row>
    <row r="769" spans="1:20">
      <c r="A769" s="40"/>
      <c r="F769" s="38"/>
      <c r="G769" s="38"/>
      <c r="H769" s="38"/>
      <c r="I769" s="38"/>
      <c r="J769" s="38"/>
      <c r="K769" s="38"/>
      <c r="L769" s="38"/>
      <c r="M769" s="38"/>
      <c r="N769" s="40"/>
      <c r="O769" s="40"/>
      <c r="P769" s="40"/>
      <c r="Q769" s="40"/>
      <c r="R769" s="40"/>
      <c r="S769" s="40"/>
      <c r="T769" s="40"/>
    </row>
    <row r="770" spans="1:20">
      <c r="A770" s="40"/>
      <c r="F770" s="38"/>
      <c r="G770" s="38"/>
      <c r="H770" s="38"/>
      <c r="I770" s="38"/>
      <c r="J770" s="38"/>
      <c r="K770" s="38"/>
      <c r="L770" s="38"/>
      <c r="M770" s="38"/>
      <c r="N770" s="40"/>
      <c r="O770" s="40"/>
      <c r="P770" s="40"/>
      <c r="Q770" s="40"/>
      <c r="R770" s="40"/>
      <c r="S770" s="40"/>
      <c r="T770" s="40"/>
    </row>
    <row r="771" spans="1:20">
      <c r="A771" s="40"/>
      <c r="F771" s="38"/>
      <c r="G771" s="38"/>
      <c r="H771" s="38"/>
      <c r="I771" s="38"/>
      <c r="J771" s="38"/>
      <c r="K771" s="38"/>
      <c r="L771" s="38"/>
      <c r="M771" s="38"/>
      <c r="N771" s="40"/>
      <c r="O771" s="40"/>
      <c r="P771" s="40"/>
      <c r="Q771" s="40"/>
      <c r="R771" s="40"/>
      <c r="S771" s="40"/>
      <c r="T771" s="40"/>
    </row>
    <row r="772" spans="1:20">
      <c r="A772" s="40"/>
      <c r="F772" s="38"/>
      <c r="G772" s="38"/>
      <c r="H772" s="38"/>
      <c r="I772" s="38"/>
      <c r="J772" s="38"/>
      <c r="K772" s="38"/>
      <c r="L772" s="38"/>
      <c r="M772" s="38"/>
      <c r="N772" s="40"/>
      <c r="O772" s="40"/>
      <c r="P772" s="40"/>
      <c r="Q772" s="40"/>
      <c r="R772" s="40"/>
      <c r="S772" s="40"/>
      <c r="T772" s="40"/>
    </row>
    <row r="773" spans="1:20">
      <c r="A773" s="40"/>
      <c r="F773" s="38"/>
      <c r="G773" s="38"/>
      <c r="H773" s="38"/>
      <c r="I773" s="38"/>
      <c r="J773" s="38"/>
      <c r="K773" s="38"/>
      <c r="L773" s="38"/>
      <c r="M773" s="38"/>
      <c r="N773" s="40"/>
      <c r="O773" s="40"/>
      <c r="P773" s="40"/>
      <c r="Q773" s="40"/>
      <c r="R773" s="40"/>
      <c r="S773" s="40"/>
      <c r="T773" s="40"/>
    </row>
    <row r="774" spans="1:20">
      <c r="A774" s="40"/>
      <c r="F774" s="38"/>
      <c r="G774" s="38"/>
      <c r="H774" s="38"/>
      <c r="I774" s="38"/>
      <c r="J774" s="38"/>
      <c r="K774" s="38"/>
      <c r="L774" s="38"/>
      <c r="M774" s="38"/>
      <c r="N774" s="40"/>
      <c r="O774" s="40"/>
      <c r="P774" s="40"/>
      <c r="Q774" s="40"/>
      <c r="R774" s="40"/>
      <c r="S774" s="40"/>
      <c r="T774" s="40"/>
    </row>
    <row r="775" spans="1:20">
      <c r="A775" s="40"/>
      <c r="F775" s="38"/>
      <c r="G775" s="38"/>
      <c r="H775" s="38"/>
      <c r="I775" s="38"/>
      <c r="J775" s="38"/>
      <c r="K775" s="38"/>
      <c r="L775" s="38"/>
      <c r="M775" s="38"/>
      <c r="N775" s="40"/>
      <c r="O775" s="40"/>
      <c r="P775" s="40"/>
      <c r="Q775" s="40"/>
      <c r="R775" s="40"/>
      <c r="S775" s="40"/>
      <c r="T775" s="40"/>
    </row>
    <row r="776" spans="1:20">
      <c r="A776" s="40"/>
      <c r="F776" s="38"/>
      <c r="G776" s="38"/>
      <c r="H776" s="38"/>
      <c r="I776" s="38"/>
      <c r="J776" s="38"/>
      <c r="K776" s="38"/>
      <c r="L776" s="38"/>
      <c r="M776" s="38"/>
      <c r="N776" s="40"/>
      <c r="O776" s="40"/>
      <c r="P776" s="40"/>
      <c r="Q776" s="40"/>
      <c r="R776" s="40"/>
      <c r="S776" s="40"/>
      <c r="T776" s="40"/>
    </row>
    <row r="777" spans="1:20">
      <c r="A777" s="40"/>
      <c r="F777" s="38"/>
      <c r="G777" s="38"/>
      <c r="H777" s="38"/>
      <c r="I777" s="38"/>
      <c r="J777" s="38"/>
      <c r="K777" s="38"/>
      <c r="L777" s="38"/>
      <c r="M777" s="38"/>
      <c r="N777" s="40"/>
      <c r="O777" s="40"/>
      <c r="P777" s="40"/>
      <c r="Q777" s="40"/>
      <c r="R777" s="40"/>
      <c r="S777" s="40"/>
      <c r="T777" s="40"/>
    </row>
    <row r="778" spans="1:20">
      <c r="A778" s="40"/>
      <c r="F778" s="38"/>
      <c r="G778" s="38"/>
      <c r="H778" s="38"/>
      <c r="I778" s="38"/>
      <c r="J778" s="38"/>
      <c r="K778" s="38"/>
      <c r="L778" s="38"/>
      <c r="M778" s="38"/>
      <c r="N778" s="40"/>
      <c r="O778" s="40"/>
      <c r="P778" s="40"/>
      <c r="Q778" s="40"/>
      <c r="R778" s="40"/>
      <c r="S778" s="40"/>
      <c r="T778" s="40"/>
    </row>
    <row r="779" spans="1:20">
      <c r="A779" s="40"/>
      <c r="F779" s="38"/>
      <c r="G779" s="38"/>
      <c r="H779" s="38"/>
      <c r="I779" s="38"/>
      <c r="J779" s="38"/>
      <c r="K779" s="38"/>
      <c r="L779" s="38"/>
      <c r="M779" s="38"/>
      <c r="N779" s="40"/>
      <c r="O779" s="40"/>
      <c r="P779" s="40"/>
      <c r="Q779" s="40"/>
      <c r="R779" s="40"/>
      <c r="S779" s="40"/>
      <c r="T779" s="40"/>
    </row>
    <row r="780" spans="1:20">
      <c r="A780" s="40"/>
      <c r="F780" s="38"/>
      <c r="G780" s="38"/>
      <c r="H780" s="38"/>
      <c r="I780" s="38"/>
      <c r="J780" s="38"/>
      <c r="K780" s="38"/>
      <c r="L780" s="38"/>
      <c r="M780" s="38"/>
      <c r="N780" s="40"/>
      <c r="O780" s="40"/>
      <c r="P780" s="40"/>
      <c r="Q780" s="40"/>
      <c r="R780" s="40"/>
      <c r="S780" s="40"/>
      <c r="T780" s="40"/>
    </row>
    <row r="781" spans="1:20">
      <c r="A781" s="40"/>
      <c r="F781" s="38"/>
      <c r="G781" s="38"/>
      <c r="H781" s="38"/>
      <c r="I781" s="38"/>
      <c r="J781" s="38"/>
      <c r="K781" s="38"/>
      <c r="L781" s="38"/>
      <c r="M781" s="38"/>
      <c r="N781" s="40"/>
      <c r="O781" s="40"/>
      <c r="P781" s="40"/>
      <c r="Q781" s="40"/>
      <c r="R781" s="40"/>
      <c r="S781" s="40"/>
      <c r="T781" s="40"/>
    </row>
    <row r="782" spans="1:20">
      <c r="A782" s="40"/>
      <c r="F782" s="38"/>
      <c r="G782" s="38"/>
      <c r="H782" s="38"/>
      <c r="I782" s="38"/>
      <c r="J782" s="38"/>
      <c r="K782" s="38"/>
      <c r="L782" s="38"/>
      <c r="M782" s="38"/>
      <c r="N782" s="40"/>
      <c r="O782" s="40"/>
      <c r="P782" s="40"/>
      <c r="Q782" s="40"/>
      <c r="R782" s="40"/>
      <c r="S782" s="40"/>
      <c r="T782" s="40"/>
    </row>
    <row r="783" spans="1:20">
      <c r="A783" s="40"/>
      <c r="F783" s="38"/>
      <c r="G783" s="38"/>
      <c r="H783" s="38"/>
      <c r="I783" s="38"/>
      <c r="J783" s="38"/>
      <c r="K783" s="38"/>
      <c r="L783" s="38"/>
      <c r="M783" s="38"/>
      <c r="N783" s="40"/>
      <c r="O783" s="40"/>
      <c r="P783" s="40"/>
      <c r="Q783" s="40"/>
      <c r="R783" s="40"/>
      <c r="S783" s="40"/>
      <c r="T783" s="40"/>
    </row>
    <row r="784" spans="1:20">
      <c r="A784" s="40"/>
      <c r="F784" s="38"/>
      <c r="G784" s="38"/>
      <c r="H784" s="38"/>
      <c r="I784" s="38"/>
      <c r="J784" s="38"/>
      <c r="K784" s="38"/>
      <c r="L784" s="38"/>
      <c r="M784" s="38"/>
      <c r="N784" s="40"/>
      <c r="O784" s="40"/>
      <c r="P784" s="40"/>
      <c r="Q784" s="40"/>
      <c r="R784" s="40"/>
      <c r="S784" s="40"/>
      <c r="T784" s="40"/>
    </row>
    <row r="785" spans="1:20">
      <c r="A785" s="40"/>
      <c r="F785" s="38"/>
      <c r="G785" s="38"/>
      <c r="H785" s="38"/>
      <c r="I785" s="38"/>
      <c r="J785" s="38"/>
      <c r="K785" s="38"/>
      <c r="L785" s="38"/>
      <c r="M785" s="38"/>
      <c r="N785" s="40"/>
      <c r="O785" s="40"/>
      <c r="P785" s="40"/>
      <c r="Q785" s="40"/>
      <c r="R785" s="40"/>
      <c r="S785" s="40"/>
      <c r="T785" s="40"/>
    </row>
    <row r="786" spans="1:20">
      <c r="A786" s="40"/>
      <c r="F786" s="38"/>
      <c r="G786" s="38"/>
      <c r="H786" s="38"/>
      <c r="I786" s="38"/>
      <c r="J786" s="38"/>
      <c r="K786" s="38"/>
      <c r="L786" s="38"/>
      <c r="M786" s="38"/>
      <c r="N786" s="40"/>
      <c r="O786" s="40"/>
      <c r="P786" s="40"/>
      <c r="Q786" s="40"/>
      <c r="R786" s="40"/>
      <c r="S786" s="40"/>
      <c r="T786" s="40"/>
    </row>
    <row r="787" spans="1:20">
      <c r="A787" s="40"/>
      <c r="F787" s="38"/>
      <c r="G787" s="38"/>
      <c r="H787" s="38"/>
      <c r="I787" s="38"/>
      <c r="J787" s="38"/>
      <c r="K787" s="38"/>
      <c r="L787" s="38"/>
      <c r="M787" s="38"/>
      <c r="N787" s="40"/>
      <c r="O787" s="40"/>
      <c r="P787" s="40"/>
      <c r="Q787" s="40"/>
      <c r="R787" s="40"/>
      <c r="S787" s="40"/>
      <c r="T787" s="40"/>
    </row>
    <row r="788" spans="1:20">
      <c r="A788" s="40"/>
      <c r="F788" s="38"/>
      <c r="G788" s="38"/>
      <c r="H788" s="38"/>
      <c r="I788" s="38"/>
      <c r="J788" s="38"/>
      <c r="K788" s="38"/>
      <c r="L788" s="38"/>
      <c r="M788" s="38"/>
      <c r="N788" s="40"/>
      <c r="O788" s="40"/>
      <c r="P788" s="40"/>
      <c r="Q788" s="40"/>
      <c r="R788" s="40"/>
      <c r="S788" s="40"/>
      <c r="T788" s="40"/>
    </row>
    <row r="789" spans="1:20">
      <c r="A789" s="40"/>
      <c r="F789" s="38"/>
      <c r="G789" s="38"/>
      <c r="H789" s="38"/>
      <c r="I789" s="38"/>
      <c r="J789" s="38"/>
      <c r="K789" s="38"/>
      <c r="L789" s="38"/>
      <c r="M789" s="38"/>
      <c r="N789" s="40"/>
      <c r="O789" s="40"/>
      <c r="P789" s="40"/>
      <c r="Q789" s="40"/>
      <c r="R789" s="40"/>
      <c r="S789" s="40"/>
      <c r="T789" s="40"/>
    </row>
    <row r="790" spans="1:20">
      <c r="A790" s="40"/>
      <c r="F790" s="38"/>
      <c r="G790" s="38"/>
      <c r="H790" s="38"/>
      <c r="I790" s="38"/>
      <c r="J790" s="38"/>
      <c r="K790" s="38"/>
      <c r="L790" s="38"/>
      <c r="M790" s="38"/>
      <c r="N790" s="40"/>
      <c r="O790" s="40"/>
      <c r="P790" s="40"/>
      <c r="Q790" s="40"/>
      <c r="R790" s="40"/>
      <c r="S790" s="40"/>
      <c r="T790" s="40"/>
    </row>
    <row r="791" spans="1:20">
      <c r="A791" s="40"/>
      <c r="F791" s="38"/>
      <c r="G791" s="38"/>
      <c r="H791" s="38"/>
      <c r="I791" s="38"/>
      <c r="J791" s="38"/>
      <c r="K791" s="38"/>
      <c r="L791" s="38"/>
      <c r="M791" s="38"/>
      <c r="N791" s="40"/>
      <c r="O791" s="40"/>
      <c r="P791" s="40"/>
      <c r="Q791" s="40"/>
      <c r="R791" s="40"/>
      <c r="S791" s="40"/>
      <c r="T791" s="40"/>
    </row>
    <row r="792" spans="1:20">
      <c r="A792" s="40"/>
      <c r="F792" s="38"/>
      <c r="G792" s="38"/>
      <c r="H792" s="38"/>
      <c r="I792" s="38"/>
      <c r="J792" s="38"/>
      <c r="K792" s="38"/>
      <c r="L792" s="38"/>
      <c r="M792" s="38"/>
      <c r="N792" s="40"/>
      <c r="O792" s="40"/>
      <c r="P792" s="40"/>
      <c r="Q792" s="40"/>
      <c r="R792" s="40"/>
      <c r="S792" s="40"/>
      <c r="T792" s="40"/>
    </row>
    <row r="793" spans="1:20">
      <c r="A793" s="40"/>
      <c r="F793" s="38"/>
      <c r="G793" s="38"/>
      <c r="H793" s="38"/>
      <c r="I793" s="38"/>
      <c r="J793" s="38"/>
      <c r="K793" s="38"/>
      <c r="L793" s="38"/>
      <c r="M793" s="38"/>
      <c r="N793" s="40"/>
      <c r="O793" s="40"/>
      <c r="P793" s="40"/>
      <c r="Q793" s="40"/>
      <c r="R793" s="40"/>
      <c r="S793" s="40"/>
      <c r="T793" s="40"/>
    </row>
    <row r="794" spans="1:20">
      <c r="A794" s="40"/>
      <c r="F794" s="38"/>
      <c r="G794" s="38"/>
      <c r="H794" s="38"/>
      <c r="I794" s="38"/>
      <c r="J794" s="38"/>
      <c r="K794" s="38"/>
      <c r="L794" s="38"/>
      <c r="M794" s="38"/>
      <c r="N794" s="40"/>
      <c r="O794" s="40"/>
      <c r="P794" s="40"/>
      <c r="Q794" s="40"/>
      <c r="R794" s="40"/>
      <c r="S794" s="40"/>
      <c r="T794" s="40"/>
    </row>
    <row r="795" spans="1:20">
      <c r="A795" s="40"/>
      <c r="F795" s="38"/>
      <c r="G795" s="38"/>
      <c r="H795" s="38"/>
      <c r="I795" s="38"/>
      <c r="J795" s="38"/>
      <c r="K795" s="38"/>
      <c r="L795" s="38"/>
      <c r="M795" s="38"/>
      <c r="N795" s="40"/>
      <c r="O795" s="40"/>
      <c r="P795" s="40"/>
      <c r="Q795" s="40"/>
      <c r="R795" s="40"/>
      <c r="S795" s="40"/>
      <c r="T795" s="40"/>
    </row>
    <row r="796" spans="1:20">
      <c r="A796" s="40"/>
      <c r="F796" s="38"/>
      <c r="G796" s="38"/>
      <c r="H796" s="38"/>
      <c r="I796" s="38"/>
      <c r="J796" s="38"/>
      <c r="K796" s="38"/>
      <c r="L796" s="38"/>
      <c r="M796" s="38"/>
      <c r="N796" s="40"/>
      <c r="O796" s="40"/>
      <c r="P796" s="40"/>
      <c r="Q796" s="40"/>
      <c r="R796" s="40"/>
      <c r="S796" s="40"/>
      <c r="T796" s="40"/>
    </row>
    <row r="797" spans="1:20">
      <c r="A797" s="40"/>
      <c r="F797" s="38"/>
      <c r="G797" s="38"/>
      <c r="H797" s="38"/>
      <c r="I797" s="38"/>
      <c r="J797" s="38"/>
      <c r="K797" s="38"/>
      <c r="L797" s="38"/>
      <c r="M797" s="38"/>
      <c r="N797" s="40"/>
      <c r="O797" s="40"/>
      <c r="P797" s="40"/>
      <c r="Q797" s="40"/>
      <c r="R797" s="40"/>
      <c r="S797" s="40"/>
      <c r="T797" s="40"/>
    </row>
    <row r="798" spans="1:20">
      <c r="A798" s="40"/>
      <c r="F798" s="38"/>
      <c r="G798" s="38"/>
      <c r="H798" s="38"/>
      <c r="I798" s="38"/>
      <c r="J798" s="38"/>
      <c r="K798" s="38"/>
      <c r="L798" s="38"/>
      <c r="M798" s="38"/>
      <c r="N798" s="40"/>
      <c r="O798" s="40"/>
      <c r="P798" s="40"/>
      <c r="Q798" s="40"/>
      <c r="R798" s="40"/>
      <c r="S798" s="40"/>
      <c r="T798" s="40"/>
    </row>
    <row r="799" spans="1:20">
      <c r="A799" s="40"/>
      <c r="F799" s="38"/>
      <c r="G799" s="38"/>
      <c r="H799" s="38"/>
      <c r="I799" s="38"/>
      <c r="J799" s="38"/>
      <c r="K799" s="38"/>
      <c r="L799" s="38"/>
      <c r="M799" s="38"/>
      <c r="N799" s="40"/>
      <c r="O799" s="40"/>
      <c r="P799" s="40"/>
      <c r="Q799" s="40"/>
      <c r="R799" s="40"/>
      <c r="S799" s="40"/>
      <c r="T799" s="40"/>
    </row>
    <row r="800" spans="1:20">
      <c r="A800" s="40"/>
      <c r="F800" s="38"/>
      <c r="G800" s="38"/>
      <c r="H800" s="38"/>
      <c r="I800" s="38"/>
      <c r="J800" s="38"/>
      <c r="K800" s="38"/>
      <c r="L800" s="38"/>
      <c r="M800" s="38"/>
      <c r="N800" s="40"/>
      <c r="O800" s="40"/>
      <c r="P800" s="40"/>
      <c r="Q800" s="40"/>
      <c r="R800" s="40"/>
      <c r="S800" s="40"/>
      <c r="T800" s="40"/>
    </row>
    <row r="801" spans="1:20">
      <c r="A801" s="40"/>
      <c r="F801" s="38"/>
      <c r="G801" s="38"/>
      <c r="H801" s="38"/>
      <c r="I801" s="38"/>
      <c r="J801" s="38"/>
      <c r="K801" s="38"/>
      <c r="L801" s="38"/>
      <c r="M801" s="38"/>
      <c r="N801" s="40"/>
      <c r="O801" s="40"/>
      <c r="P801" s="40"/>
      <c r="Q801" s="40"/>
      <c r="R801" s="40"/>
      <c r="S801" s="40"/>
      <c r="T801" s="40"/>
    </row>
    <row r="802" spans="1:20">
      <c r="A802" s="40"/>
      <c r="F802" s="38"/>
      <c r="G802" s="38"/>
      <c r="H802" s="38"/>
      <c r="I802" s="38"/>
      <c r="J802" s="38"/>
      <c r="K802" s="38"/>
      <c r="L802" s="38"/>
      <c r="M802" s="38"/>
      <c r="N802" s="40"/>
      <c r="O802" s="40"/>
      <c r="P802" s="40"/>
      <c r="Q802" s="40"/>
      <c r="R802" s="40"/>
      <c r="S802" s="40"/>
      <c r="T802" s="40"/>
    </row>
    <row r="803" spans="1:20">
      <c r="A803" s="40"/>
      <c r="F803" s="38"/>
      <c r="G803" s="38"/>
      <c r="H803" s="38"/>
      <c r="I803" s="38"/>
      <c r="J803" s="38"/>
      <c r="K803" s="38"/>
      <c r="L803" s="38"/>
      <c r="M803" s="38"/>
      <c r="N803" s="40"/>
      <c r="O803" s="40"/>
      <c r="P803" s="40"/>
      <c r="Q803" s="40"/>
      <c r="R803" s="40"/>
      <c r="S803" s="40"/>
      <c r="T803" s="40"/>
    </row>
    <row r="804" spans="1:20">
      <c r="A804" s="40"/>
      <c r="F804" s="38"/>
      <c r="G804" s="38"/>
      <c r="H804" s="38"/>
      <c r="I804" s="38"/>
      <c r="J804" s="38"/>
      <c r="K804" s="38"/>
      <c r="L804" s="38"/>
      <c r="M804" s="38"/>
      <c r="N804" s="40"/>
      <c r="O804" s="40"/>
      <c r="P804" s="40"/>
      <c r="Q804" s="40"/>
      <c r="R804" s="40"/>
      <c r="S804" s="40"/>
      <c r="T804" s="40"/>
    </row>
    <row r="805" spans="1:20">
      <c r="A805" s="40"/>
      <c r="F805" s="38"/>
      <c r="G805" s="38"/>
      <c r="H805" s="38"/>
      <c r="I805" s="38"/>
      <c r="J805" s="38"/>
      <c r="K805" s="38"/>
      <c r="L805" s="38"/>
      <c r="M805" s="38"/>
      <c r="N805" s="40"/>
      <c r="O805" s="40"/>
      <c r="P805" s="40"/>
      <c r="Q805" s="40"/>
      <c r="R805" s="40"/>
      <c r="S805" s="40"/>
      <c r="T805" s="40"/>
    </row>
    <row r="806" spans="1:20">
      <c r="A806" s="40"/>
      <c r="F806" s="38"/>
      <c r="G806" s="38"/>
      <c r="H806" s="38"/>
      <c r="I806" s="38"/>
      <c r="J806" s="38"/>
      <c r="K806" s="38"/>
      <c r="L806" s="38"/>
      <c r="M806" s="38"/>
      <c r="N806" s="40"/>
      <c r="O806" s="40"/>
      <c r="P806" s="40"/>
      <c r="Q806" s="40"/>
      <c r="R806" s="40"/>
      <c r="S806" s="40"/>
      <c r="T806" s="40"/>
    </row>
    <row r="807" spans="1:20">
      <c r="A807" s="40"/>
      <c r="F807" s="38"/>
      <c r="G807" s="38"/>
      <c r="H807" s="38"/>
      <c r="I807" s="38"/>
      <c r="J807" s="38"/>
      <c r="K807" s="38"/>
      <c r="L807" s="38"/>
      <c r="M807" s="38"/>
      <c r="N807" s="40"/>
      <c r="O807" s="40"/>
      <c r="P807" s="40"/>
      <c r="Q807" s="40"/>
      <c r="R807" s="40"/>
      <c r="S807" s="40"/>
      <c r="T807" s="40"/>
    </row>
    <row r="808" spans="1:20">
      <c r="A808" s="40"/>
      <c r="F808" s="38"/>
      <c r="G808" s="38"/>
      <c r="H808" s="38"/>
      <c r="I808" s="38"/>
      <c r="J808" s="38"/>
      <c r="K808" s="38"/>
      <c r="L808" s="38"/>
      <c r="M808" s="38"/>
      <c r="N808" s="40"/>
      <c r="O808" s="40"/>
      <c r="P808" s="40"/>
      <c r="Q808" s="40"/>
      <c r="R808" s="40"/>
      <c r="S808" s="40"/>
      <c r="T808" s="40"/>
    </row>
    <row r="809" spans="1:20">
      <c r="A809" s="40"/>
      <c r="F809" s="38"/>
      <c r="G809" s="38"/>
      <c r="H809" s="38"/>
      <c r="I809" s="38"/>
      <c r="J809" s="38"/>
      <c r="K809" s="38"/>
      <c r="L809" s="38"/>
      <c r="M809" s="38"/>
      <c r="N809" s="40"/>
      <c r="O809" s="40"/>
      <c r="P809" s="40"/>
      <c r="Q809" s="40"/>
      <c r="R809" s="40"/>
      <c r="S809" s="40"/>
      <c r="T809" s="40"/>
    </row>
    <row r="810" spans="1:20">
      <c r="A810" s="40"/>
      <c r="F810" s="38"/>
      <c r="G810" s="38"/>
      <c r="H810" s="38"/>
      <c r="I810" s="38"/>
      <c r="J810" s="38"/>
      <c r="K810" s="38"/>
      <c r="L810" s="38"/>
      <c r="M810" s="38"/>
      <c r="N810" s="40"/>
      <c r="O810" s="40"/>
      <c r="P810" s="40"/>
      <c r="Q810" s="40"/>
      <c r="R810" s="40"/>
      <c r="S810" s="40"/>
      <c r="T810" s="40"/>
    </row>
    <row r="811" spans="1:20">
      <c r="A811" s="40"/>
      <c r="F811" s="38"/>
      <c r="G811" s="38"/>
      <c r="H811" s="38"/>
      <c r="I811" s="38"/>
      <c r="J811" s="38"/>
      <c r="K811" s="38"/>
      <c r="L811" s="38"/>
      <c r="M811" s="38"/>
      <c r="N811" s="40"/>
      <c r="O811" s="40"/>
      <c r="P811" s="40"/>
      <c r="Q811" s="40"/>
      <c r="R811" s="40"/>
      <c r="S811" s="40"/>
      <c r="T811" s="40"/>
    </row>
    <row r="812" spans="1:20">
      <c r="A812" s="40"/>
      <c r="F812" s="38"/>
      <c r="G812" s="38"/>
      <c r="H812" s="38"/>
      <c r="I812" s="38"/>
      <c r="J812" s="38"/>
      <c r="K812" s="38"/>
      <c r="L812" s="38"/>
      <c r="M812" s="38"/>
      <c r="N812" s="40"/>
      <c r="O812" s="40"/>
      <c r="P812" s="40"/>
      <c r="Q812" s="40"/>
      <c r="R812" s="40"/>
      <c r="S812" s="40"/>
      <c r="T812" s="40"/>
    </row>
    <row r="813" spans="1:20">
      <c r="A813" s="40"/>
      <c r="F813" s="38"/>
      <c r="G813" s="38"/>
      <c r="H813" s="38"/>
      <c r="I813" s="38"/>
      <c r="J813" s="38"/>
      <c r="K813" s="38"/>
      <c r="L813" s="38"/>
      <c r="M813" s="38"/>
      <c r="N813" s="40"/>
      <c r="O813" s="40"/>
      <c r="P813" s="40"/>
      <c r="Q813" s="40"/>
      <c r="R813" s="40"/>
      <c r="S813" s="40"/>
      <c r="T813" s="40"/>
    </row>
    <row r="814" spans="1:20">
      <c r="A814" s="40"/>
      <c r="F814" s="38"/>
      <c r="G814" s="38"/>
      <c r="H814" s="38"/>
      <c r="I814" s="38"/>
      <c r="J814" s="38"/>
      <c r="K814" s="38"/>
      <c r="L814" s="38"/>
      <c r="M814" s="38"/>
      <c r="N814" s="40"/>
      <c r="O814" s="40"/>
      <c r="P814" s="40"/>
      <c r="Q814" s="40"/>
      <c r="R814" s="40"/>
      <c r="S814" s="40"/>
      <c r="T814" s="40"/>
    </row>
    <row r="815" spans="1:20">
      <c r="A815" s="40"/>
      <c r="F815" s="38"/>
      <c r="G815" s="38"/>
      <c r="H815" s="38"/>
      <c r="I815" s="38"/>
      <c r="J815" s="38"/>
      <c r="K815" s="38"/>
      <c r="L815" s="38"/>
      <c r="M815" s="38"/>
      <c r="N815" s="40"/>
      <c r="O815" s="40"/>
      <c r="P815" s="40"/>
      <c r="Q815" s="40"/>
      <c r="R815" s="40"/>
      <c r="S815" s="40"/>
      <c r="T815" s="40"/>
    </row>
    <row r="816" spans="1:20">
      <c r="A816" s="40"/>
      <c r="F816" s="38"/>
      <c r="G816" s="38"/>
      <c r="H816" s="38"/>
      <c r="I816" s="38"/>
      <c r="J816" s="38"/>
      <c r="K816" s="38"/>
      <c r="L816" s="38"/>
      <c r="M816" s="38"/>
      <c r="N816" s="40"/>
      <c r="O816" s="40"/>
      <c r="P816" s="40"/>
      <c r="Q816" s="40"/>
      <c r="R816" s="40"/>
      <c r="S816" s="40"/>
      <c r="T816" s="40"/>
    </row>
    <row r="817" spans="1:20">
      <c r="A817" s="40"/>
      <c r="F817" s="38"/>
      <c r="G817" s="38"/>
      <c r="H817" s="38"/>
      <c r="I817" s="38"/>
      <c r="J817" s="38"/>
      <c r="K817" s="38"/>
      <c r="L817" s="38"/>
      <c r="M817" s="38"/>
      <c r="N817" s="40"/>
      <c r="O817" s="40"/>
      <c r="P817" s="40"/>
      <c r="Q817" s="40"/>
      <c r="R817" s="40"/>
      <c r="S817" s="40"/>
      <c r="T817" s="40"/>
    </row>
    <row r="818" spans="1:20">
      <c r="A818" s="40"/>
      <c r="F818" s="38"/>
      <c r="G818" s="38"/>
      <c r="H818" s="38"/>
      <c r="I818" s="38"/>
      <c r="J818" s="38"/>
      <c r="K818" s="38"/>
      <c r="L818" s="38"/>
      <c r="M818" s="38"/>
      <c r="N818" s="40"/>
      <c r="O818" s="40"/>
      <c r="P818" s="40"/>
      <c r="Q818" s="40"/>
      <c r="R818" s="40"/>
      <c r="S818" s="40"/>
      <c r="T818" s="40"/>
    </row>
    <row r="819" spans="1:20">
      <c r="A819" s="40"/>
      <c r="F819" s="38"/>
      <c r="G819" s="38"/>
      <c r="H819" s="38"/>
      <c r="I819" s="38"/>
      <c r="J819" s="38"/>
      <c r="K819" s="38"/>
      <c r="L819" s="38"/>
      <c r="M819" s="38"/>
      <c r="N819" s="40"/>
      <c r="O819" s="40"/>
      <c r="P819" s="40"/>
      <c r="Q819" s="40"/>
      <c r="R819" s="40"/>
      <c r="S819" s="40"/>
      <c r="T819" s="40"/>
    </row>
    <row r="820" spans="1:20">
      <c r="A820" s="40"/>
      <c r="F820" s="38"/>
      <c r="G820" s="38"/>
      <c r="H820" s="38"/>
      <c r="I820" s="38"/>
      <c r="J820" s="38"/>
      <c r="K820" s="38"/>
      <c r="L820" s="38"/>
      <c r="M820" s="38"/>
      <c r="N820" s="40"/>
      <c r="O820" s="40"/>
      <c r="P820" s="40"/>
      <c r="Q820" s="40"/>
      <c r="R820" s="40"/>
      <c r="S820" s="40"/>
      <c r="T820" s="40"/>
    </row>
    <row r="821" spans="1:20">
      <c r="A821" s="40"/>
      <c r="F821" s="38"/>
      <c r="G821" s="38"/>
      <c r="H821" s="38"/>
      <c r="I821" s="38"/>
      <c r="J821" s="38"/>
      <c r="K821" s="38"/>
      <c r="L821" s="38"/>
      <c r="M821" s="38"/>
      <c r="N821" s="40"/>
      <c r="O821" s="40"/>
      <c r="P821" s="40"/>
      <c r="Q821" s="40"/>
      <c r="R821" s="40"/>
      <c r="S821" s="40"/>
      <c r="T821" s="40"/>
    </row>
    <row r="822" spans="1:20">
      <c r="A822" s="40"/>
      <c r="F822" s="38"/>
      <c r="G822" s="38"/>
      <c r="H822" s="38"/>
      <c r="I822" s="38"/>
      <c r="J822" s="38"/>
      <c r="K822" s="38"/>
      <c r="L822" s="38"/>
      <c r="M822" s="38"/>
      <c r="N822" s="40"/>
      <c r="O822" s="40"/>
      <c r="P822" s="40"/>
      <c r="Q822" s="40"/>
      <c r="R822" s="40"/>
      <c r="S822" s="40"/>
      <c r="T822" s="40"/>
    </row>
    <row r="823" spans="1:20">
      <c r="A823" s="40"/>
      <c r="F823" s="38"/>
      <c r="G823" s="38"/>
      <c r="H823" s="38"/>
      <c r="I823" s="38"/>
      <c r="J823" s="38"/>
      <c r="K823" s="38"/>
      <c r="L823" s="38"/>
      <c r="M823" s="38"/>
      <c r="N823" s="40"/>
      <c r="O823" s="40"/>
      <c r="P823" s="40"/>
      <c r="Q823" s="40"/>
      <c r="R823" s="40"/>
      <c r="S823" s="40"/>
      <c r="T823" s="40"/>
    </row>
    <row r="824" spans="1:20">
      <c r="A824" s="40"/>
      <c r="F824" s="38"/>
      <c r="G824" s="38"/>
      <c r="H824" s="38"/>
      <c r="I824" s="38"/>
      <c r="J824" s="38"/>
      <c r="K824" s="38"/>
      <c r="L824" s="38"/>
      <c r="M824" s="38"/>
      <c r="N824" s="40"/>
      <c r="O824" s="40"/>
      <c r="P824" s="40"/>
      <c r="Q824" s="40"/>
      <c r="R824" s="40"/>
      <c r="S824" s="40"/>
      <c r="T824" s="40"/>
    </row>
    <row r="825" spans="1:20">
      <c r="A825" s="40"/>
      <c r="F825" s="38"/>
      <c r="G825" s="38"/>
      <c r="H825" s="38"/>
      <c r="I825" s="38"/>
      <c r="J825" s="38"/>
      <c r="K825" s="38"/>
      <c r="L825" s="38"/>
      <c r="M825" s="38"/>
      <c r="N825" s="40"/>
      <c r="O825" s="40"/>
      <c r="P825" s="40"/>
      <c r="Q825" s="40"/>
      <c r="R825" s="40"/>
      <c r="S825" s="40"/>
      <c r="T825" s="40"/>
    </row>
    <row r="826" spans="1:20">
      <c r="A826" s="40"/>
      <c r="F826" s="38"/>
      <c r="G826" s="38"/>
      <c r="H826" s="38"/>
      <c r="I826" s="38"/>
      <c r="J826" s="38"/>
      <c r="K826" s="38"/>
      <c r="L826" s="38"/>
      <c r="M826" s="38"/>
      <c r="N826" s="40"/>
      <c r="O826" s="40"/>
      <c r="P826" s="40"/>
      <c r="Q826" s="40"/>
      <c r="R826" s="40"/>
      <c r="S826" s="40"/>
      <c r="T826" s="40"/>
    </row>
    <row r="827" spans="1:20">
      <c r="A827" s="40"/>
      <c r="F827" s="38"/>
      <c r="G827" s="38"/>
      <c r="H827" s="38"/>
      <c r="I827" s="38"/>
      <c r="J827" s="38"/>
      <c r="K827" s="38"/>
      <c r="L827" s="38"/>
      <c r="M827" s="38"/>
      <c r="N827" s="40"/>
      <c r="O827" s="40"/>
      <c r="P827" s="40"/>
      <c r="Q827" s="40"/>
      <c r="R827" s="40"/>
      <c r="S827" s="40"/>
      <c r="T827" s="40"/>
    </row>
    <row r="828" spans="1:20">
      <c r="A828" s="40"/>
      <c r="F828" s="38"/>
      <c r="G828" s="38"/>
      <c r="H828" s="38"/>
      <c r="I828" s="38"/>
      <c r="J828" s="38"/>
      <c r="K828" s="38"/>
      <c r="L828" s="38"/>
      <c r="M828" s="38"/>
      <c r="N828" s="40"/>
      <c r="O828" s="40"/>
      <c r="P828" s="40"/>
      <c r="Q828" s="40"/>
      <c r="R828" s="40"/>
      <c r="S828" s="40"/>
      <c r="T828" s="40"/>
    </row>
    <row r="829" spans="1:20">
      <c r="A829" s="40"/>
      <c r="F829" s="38"/>
      <c r="G829" s="38"/>
      <c r="H829" s="38"/>
      <c r="I829" s="38"/>
      <c r="J829" s="38"/>
      <c r="K829" s="38"/>
      <c r="L829" s="38"/>
      <c r="M829" s="38"/>
      <c r="N829" s="40"/>
      <c r="O829" s="40"/>
      <c r="P829" s="40"/>
      <c r="Q829" s="40"/>
      <c r="R829" s="40"/>
      <c r="S829" s="40"/>
      <c r="T829" s="40"/>
    </row>
    <row r="830" spans="1:20">
      <c r="A830" s="40"/>
      <c r="F830" s="38"/>
      <c r="G830" s="38"/>
      <c r="H830" s="38"/>
      <c r="I830" s="38"/>
      <c r="J830" s="38"/>
      <c r="K830" s="38"/>
      <c r="L830" s="38"/>
      <c r="M830" s="38"/>
      <c r="N830" s="40"/>
      <c r="O830" s="40"/>
      <c r="P830" s="40"/>
      <c r="Q830" s="40"/>
      <c r="R830" s="40"/>
      <c r="S830" s="40"/>
      <c r="T830" s="40"/>
    </row>
    <row r="831" spans="1:20">
      <c r="A831" s="40"/>
      <c r="F831" s="38"/>
      <c r="G831" s="38"/>
      <c r="H831" s="38"/>
      <c r="I831" s="38"/>
      <c r="J831" s="38"/>
      <c r="K831" s="38"/>
      <c r="L831" s="38"/>
      <c r="M831" s="38"/>
      <c r="N831" s="40"/>
      <c r="O831" s="40"/>
      <c r="P831" s="40"/>
      <c r="Q831" s="40"/>
      <c r="R831" s="40"/>
      <c r="S831" s="40"/>
      <c r="T831" s="40"/>
    </row>
    <row r="832" spans="1:20">
      <c r="A832" s="40"/>
      <c r="F832" s="38"/>
      <c r="G832" s="38"/>
      <c r="H832" s="38"/>
      <c r="I832" s="38"/>
      <c r="J832" s="38"/>
      <c r="K832" s="38"/>
      <c r="L832" s="38"/>
      <c r="M832" s="38"/>
      <c r="N832" s="40"/>
      <c r="O832" s="40"/>
      <c r="P832" s="40"/>
      <c r="Q832" s="40"/>
      <c r="R832" s="40"/>
      <c r="S832" s="40"/>
      <c r="T832" s="40"/>
    </row>
    <row r="833" spans="1:20">
      <c r="A833" s="40"/>
      <c r="F833" s="38"/>
      <c r="G833" s="38"/>
      <c r="H833" s="38"/>
      <c r="I833" s="38"/>
      <c r="J833" s="38"/>
      <c r="K833" s="38"/>
      <c r="L833" s="38"/>
      <c r="M833" s="38"/>
      <c r="N833" s="40"/>
      <c r="O833" s="40"/>
      <c r="P833" s="40"/>
      <c r="Q833" s="40"/>
      <c r="R833" s="40"/>
      <c r="S833" s="40"/>
      <c r="T833" s="40"/>
    </row>
    <row r="834" spans="1:20">
      <c r="A834" s="40"/>
      <c r="F834" s="38"/>
      <c r="G834" s="38"/>
      <c r="H834" s="38"/>
      <c r="I834" s="38"/>
      <c r="J834" s="38"/>
      <c r="K834" s="38"/>
      <c r="L834" s="38"/>
      <c r="M834" s="38"/>
      <c r="N834" s="40"/>
      <c r="O834" s="40"/>
      <c r="P834" s="40"/>
      <c r="Q834" s="40"/>
      <c r="R834" s="40"/>
      <c r="S834" s="40"/>
      <c r="T834" s="40"/>
    </row>
    <row r="835" spans="1:20">
      <c r="A835" s="40"/>
      <c r="F835" s="38"/>
      <c r="G835" s="38"/>
      <c r="H835" s="38"/>
      <c r="I835" s="38"/>
      <c r="J835" s="38"/>
      <c r="K835" s="38"/>
      <c r="L835" s="38"/>
      <c r="M835" s="38"/>
      <c r="N835" s="40"/>
      <c r="O835" s="40"/>
      <c r="P835" s="40"/>
      <c r="Q835" s="40"/>
      <c r="R835" s="40"/>
      <c r="S835" s="40"/>
      <c r="T835" s="40"/>
    </row>
    <row r="836" spans="1:20">
      <c r="A836" s="40"/>
      <c r="F836" s="38"/>
      <c r="G836" s="38"/>
      <c r="H836" s="38"/>
      <c r="I836" s="38"/>
      <c r="J836" s="38"/>
      <c r="K836" s="38"/>
      <c r="L836" s="38"/>
      <c r="M836" s="38"/>
      <c r="N836" s="40"/>
      <c r="O836" s="40"/>
      <c r="P836" s="40"/>
      <c r="Q836" s="40"/>
      <c r="R836" s="40"/>
      <c r="S836" s="40"/>
      <c r="T836" s="40"/>
    </row>
    <row r="837" spans="1:20">
      <c r="A837" s="40"/>
      <c r="F837" s="38"/>
      <c r="G837" s="38"/>
      <c r="H837" s="38"/>
      <c r="I837" s="38"/>
      <c r="J837" s="38"/>
      <c r="K837" s="38"/>
      <c r="L837" s="38"/>
      <c r="M837" s="38"/>
      <c r="N837" s="40"/>
      <c r="O837" s="40"/>
      <c r="P837" s="40"/>
      <c r="Q837" s="40"/>
      <c r="R837" s="40"/>
      <c r="S837" s="40"/>
      <c r="T837" s="40"/>
    </row>
    <row r="838" spans="1:20">
      <c r="A838" s="40"/>
      <c r="F838" s="38"/>
      <c r="G838" s="38"/>
      <c r="H838" s="38"/>
      <c r="I838" s="38"/>
      <c r="J838" s="38"/>
      <c r="K838" s="38"/>
      <c r="L838" s="38"/>
      <c r="M838" s="38"/>
      <c r="N838" s="40"/>
      <c r="O838" s="40"/>
      <c r="P838" s="40"/>
      <c r="Q838" s="40"/>
      <c r="R838" s="40"/>
      <c r="S838" s="40"/>
      <c r="T838" s="40"/>
    </row>
    <row r="839" spans="1:20">
      <c r="A839" s="40"/>
      <c r="F839" s="38"/>
      <c r="G839" s="38"/>
      <c r="H839" s="38"/>
      <c r="I839" s="38"/>
      <c r="J839" s="38"/>
      <c r="K839" s="38"/>
      <c r="L839" s="38"/>
      <c r="M839" s="38"/>
      <c r="N839" s="40"/>
      <c r="O839" s="40"/>
      <c r="P839" s="40"/>
      <c r="Q839" s="40"/>
      <c r="R839" s="40"/>
      <c r="S839" s="40"/>
      <c r="T839" s="40"/>
    </row>
    <row r="840" spans="1:20">
      <c r="A840" s="40"/>
      <c r="F840" s="38"/>
      <c r="G840" s="38"/>
      <c r="H840" s="38"/>
      <c r="I840" s="38"/>
      <c r="J840" s="38"/>
      <c r="K840" s="38"/>
      <c r="L840" s="38"/>
      <c r="M840" s="38"/>
      <c r="N840" s="40"/>
      <c r="O840" s="40"/>
      <c r="P840" s="40"/>
      <c r="Q840" s="40"/>
      <c r="R840" s="40"/>
      <c r="S840" s="40"/>
      <c r="T840" s="40"/>
    </row>
    <row r="841" spans="1:20">
      <c r="A841" s="40"/>
      <c r="F841" s="38"/>
      <c r="G841" s="38"/>
      <c r="H841" s="38"/>
      <c r="I841" s="38"/>
      <c r="J841" s="38"/>
      <c r="K841" s="38"/>
      <c r="L841" s="38"/>
      <c r="M841" s="38"/>
      <c r="N841" s="40"/>
      <c r="O841" s="40"/>
      <c r="P841" s="40"/>
      <c r="Q841" s="40"/>
      <c r="R841" s="40"/>
      <c r="S841" s="40"/>
      <c r="T841" s="40"/>
    </row>
    <row r="842" spans="1:20">
      <c r="A842" s="40"/>
      <c r="F842" s="38"/>
      <c r="G842" s="38"/>
      <c r="H842" s="38"/>
      <c r="I842" s="38"/>
      <c r="J842" s="38"/>
      <c r="K842" s="38"/>
      <c r="L842" s="38"/>
      <c r="M842" s="38"/>
      <c r="N842" s="40"/>
      <c r="O842" s="40"/>
      <c r="P842" s="40"/>
      <c r="Q842" s="40"/>
      <c r="R842" s="40"/>
      <c r="S842" s="40"/>
      <c r="T842" s="40"/>
    </row>
    <row r="843" spans="1:20">
      <c r="A843" s="40"/>
      <c r="F843" s="38"/>
      <c r="G843" s="38"/>
      <c r="H843" s="38"/>
      <c r="I843" s="38"/>
      <c r="J843" s="38"/>
      <c r="K843" s="38"/>
      <c r="L843" s="38"/>
      <c r="M843" s="38"/>
      <c r="N843" s="40"/>
      <c r="O843" s="40"/>
      <c r="P843" s="40"/>
      <c r="Q843" s="40"/>
      <c r="R843" s="40"/>
      <c r="S843" s="40"/>
      <c r="T843" s="40"/>
    </row>
    <row r="844" spans="1:20">
      <c r="A844" s="40"/>
      <c r="F844" s="38"/>
      <c r="G844" s="38"/>
      <c r="H844" s="38"/>
      <c r="I844" s="38"/>
      <c r="J844" s="38"/>
      <c r="K844" s="38"/>
      <c r="L844" s="38"/>
      <c r="M844" s="38"/>
      <c r="N844" s="40"/>
      <c r="O844" s="40"/>
      <c r="P844" s="40"/>
      <c r="Q844" s="40"/>
      <c r="R844" s="40"/>
      <c r="S844" s="40"/>
      <c r="T844" s="40"/>
    </row>
    <row r="845" spans="1:20">
      <c r="A845" s="40"/>
      <c r="F845" s="38"/>
      <c r="G845" s="38"/>
      <c r="H845" s="38"/>
      <c r="I845" s="38"/>
      <c r="J845" s="38"/>
      <c r="K845" s="38"/>
      <c r="L845" s="38"/>
      <c r="M845" s="38"/>
      <c r="N845" s="40"/>
      <c r="O845" s="40"/>
      <c r="P845" s="40"/>
      <c r="Q845" s="40"/>
      <c r="R845" s="40"/>
      <c r="S845" s="40"/>
      <c r="T845" s="40"/>
    </row>
    <row r="846" spans="1:20">
      <c r="A846" s="40"/>
      <c r="F846" s="38"/>
      <c r="G846" s="38"/>
      <c r="H846" s="38"/>
      <c r="I846" s="38"/>
      <c r="J846" s="38"/>
      <c r="K846" s="38"/>
      <c r="L846" s="38"/>
      <c r="M846" s="38"/>
      <c r="N846" s="40"/>
      <c r="O846" s="40"/>
      <c r="P846" s="40"/>
      <c r="Q846" s="40"/>
      <c r="R846" s="40"/>
      <c r="S846" s="40"/>
      <c r="T846" s="40"/>
    </row>
    <row r="847" spans="1:20">
      <c r="A847" s="40"/>
      <c r="F847" s="38"/>
      <c r="G847" s="38"/>
      <c r="H847" s="38"/>
      <c r="I847" s="38"/>
      <c r="J847" s="38"/>
      <c r="K847" s="38"/>
      <c r="L847" s="38"/>
      <c r="M847" s="38"/>
      <c r="N847" s="40"/>
      <c r="O847" s="40"/>
      <c r="P847" s="40"/>
      <c r="Q847" s="40"/>
      <c r="R847" s="40"/>
      <c r="S847" s="40"/>
      <c r="T847" s="40"/>
    </row>
    <row r="848" spans="1:20">
      <c r="A848" s="40"/>
      <c r="F848" s="38"/>
      <c r="G848" s="38"/>
      <c r="H848" s="38"/>
      <c r="I848" s="38"/>
      <c r="J848" s="38"/>
      <c r="K848" s="38"/>
      <c r="L848" s="38"/>
      <c r="M848" s="38"/>
      <c r="N848" s="40"/>
      <c r="O848" s="40"/>
      <c r="P848" s="40"/>
      <c r="Q848" s="40"/>
      <c r="R848" s="40"/>
      <c r="S848" s="40"/>
      <c r="T848" s="40"/>
    </row>
    <row r="849" spans="1:20">
      <c r="A849" s="40"/>
      <c r="F849" s="38"/>
      <c r="G849" s="38"/>
      <c r="H849" s="38"/>
      <c r="I849" s="38"/>
      <c r="J849" s="38"/>
      <c r="K849" s="38"/>
      <c r="L849" s="38"/>
      <c r="M849" s="38"/>
      <c r="N849" s="40"/>
      <c r="O849" s="40"/>
      <c r="P849" s="40"/>
      <c r="Q849" s="40"/>
      <c r="R849" s="40"/>
      <c r="S849" s="40"/>
      <c r="T849" s="40"/>
    </row>
    <row r="850" spans="1:20">
      <c r="A850" s="40"/>
      <c r="F850" s="38"/>
      <c r="G850" s="38"/>
      <c r="H850" s="38"/>
      <c r="I850" s="38"/>
      <c r="J850" s="38"/>
      <c r="K850" s="38"/>
      <c r="L850" s="38"/>
      <c r="M850" s="38"/>
      <c r="N850" s="40"/>
      <c r="O850" s="40"/>
      <c r="P850" s="40"/>
      <c r="Q850" s="40"/>
      <c r="R850" s="40"/>
      <c r="S850" s="40"/>
      <c r="T850" s="40"/>
    </row>
    <row r="851" spans="1:20">
      <c r="A851" s="40"/>
      <c r="F851" s="38"/>
      <c r="G851" s="38"/>
      <c r="H851" s="38"/>
      <c r="I851" s="38"/>
      <c r="J851" s="38"/>
      <c r="K851" s="38"/>
      <c r="L851" s="38"/>
      <c r="M851" s="38"/>
      <c r="N851" s="40"/>
      <c r="O851" s="40"/>
      <c r="P851" s="40"/>
      <c r="Q851" s="40"/>
      <c r="R851" s="40"/>
      <c r="S851" s="40"/>
      <c r="T851" s="40"/>
    </row>
    <row r="852" spans="1:20">
      <c r="A852" s="40"/>
      <c r="F852" s="38"/>
      <c r="G852" s="38"/>
      <c r="H852" s="38"/>
      <c r="I852" s="38"/>
      <c r="J852" s="38"/>
      <c r="K852" s="38"/>
      <c r="L852" s="38"/>
      <c r="M852" s="38"/>
      <c r="N852" s="40"/>
      <c r="O852" s="40"/>
      <c r="P852" s="40"/>
      <c r="Q852" s="40"/>
      <c r="R852" s="40"/>
      <c r="S852" s="40"/>
      <c r="T852" s="40"/>
    </row>
    <row r="853" spans="1:20">
      <c r="A853" s="40"/>
      <c r="F853" s="38"/>
      <c r="G853" s="38"/>
      <c r="H853" s="38"/>
      <c r="I853" s="38"/>
      <c r="J853" s="38"/>
      <c r="K853" s="38"/>
      <c r="L853" s="38"/>
      <c r="M853" s="38"/>
      <c r="N853" s="40"/>
      <c r="O853" s="40"/>
      <c r="P853" s="40"/>
      <c r="Q853" s="40"/>
      <c r="R853" s="40"/>
      <c r="S853" s="40"/>
      <c r="T853" s="40"/>
    </row>
    <row r="854" spans="1:20">
      <c r="A854" s="40"/>
      <c r="F854" s="38"/>
      <c r="G854" s="38"/>
      <c r="H854" s="38"/>
      <c r="I854" s="38"/>
      <c r="J854" s="38"/>
      <c r="K854" s="38"/>
      <c r="L854" s="38"/>
      <c r="M854" s="38"/>
      <c r="N854" s="40"/>
      <c r="O854" s="40"/>
      <c r="P854" s="40"/>
      <c r="Q854" s="40"/>
      <c r="R854" s="40"/>
      <c r="S854" s="40"/>
      <c r="T854" s="40"/>
    </row>
    <row r="855" spans="1:20">
      <c r="A855" s="40"/>
      <c r="F855" s="38"/>
      <c r="G855" s="38"/>
      <c r="H855" s="38"/>
      <c r="I855" s="38"/>
      <c r="J855" s="38"/>
      <c r="K855" s="38"/>
      <c r="L855" s="38"/>
      <c r="M855" s="38"/>
      <c r="N855" s="40"/>
      <c r="O855" s="40"/>
      <c r="P855" s="40"/>
      <c r="Q855" s="40"/>
      <c r="R855" s="40"/>
      <c r="S855" s="40"/>
      <c r="T855" s="40"/>
    </row>
    <row r="856" spans="1:20">
      <c r="A856" s="40"/>
      <c r="F856" s="38"/>
      <c r="G856" s="38"/>
      <c r="H856" s="38"/>
      <c r="I856" s="38"/>
      <c r="J856" s="38"/>
      <c r="K856" s="38"/>
      <c r="L856" s="38"/>
      <c r="M856" s="38"/>
      <c r="N856" s="40"/>
      <c r="O856" s="40"/>
      <c r="P856" s="40"/>
      <c r="Q856" s="40"/>
      <c r="R856" s="40"/>
      <c r="S856" s="40"/>
      <c r="T856" s="40"/>
    </row>
    <row r="857" spans="1:20">
      <c r="A857" s="40"/>
      <c r="F857" s="38"/>
      <c r="G857" s="38"/>
      <c r="H857" s="38"/>
      <c r="I857" s="38"/>
      <c r="J857" s="38"/>
      <c r="K857" s="38"/>
      <c r="L857" s="38"/>
      <c r="M857" s="38"/>
      <c r="N857" s="40"/>
      <c r="O857" s="40"/>
      <c r="P857" s="40"/>
      <c r="Q857" s="40"/>
      <c r="R857" s="40"/>
      <c r="S857" s="40"/>
      <c r="T857" s="40"/>
    </row>
    <row r="858" spans="1:20">
      <c r="A858" s="40"/>
      <c r="F858" s="38"/>
      <c r="G858" s="38"/>
      <c r="H858" s="38"/>
      <c r="I858" s="38"/>
      <c r="J858" s="38"/>
      <c r="K858" s="38"/>
      <c r="L858" s="38"/>
      <c r="M858" s="38"/>
      <c r="N858" s="40"/>
      <c r="O858" s="40"/>
      <c r="P858" s="40"/>
      <c r="Q858" s="40"/>
      <c r="R858" s="40"/>
      <c r="S858" s="40"/>
      <c r="T858" s="40"/>
    </row>
    <row r="859" spans="1:20">
      <c r="A859" s="40"/>
      <c r="F859" s="38"/>
      <c r="G859" s="38"/>
      <c r="H859" s="38"/>
      <c r="I859" s="38"/>
      <c r="J859" s="38"/>
      <c r="K859" s="38"/>
      <c r="L859" s="38"/>
      <c r="M859" s="38"/>
      <c r="N859" s="40"/>
      <c r="O859" s="40"/>
      <c r="P859" s="40"/>
      <c r="Q859" s="40"/>
      <c r="R859" s="40"/>
      <c r="S859" s="40"/>
      <c r="T859" s="40"/>
    </row>
    <row r="860" spans="1:20">
      <c r="A860" s="40"/>
      <c r="F860" s="38"/>
      <c r="G860" s="38"/>
      <c r="H860" s="38"/>
      <c r="I860" s="38"/>
      <c r="J860" s="38"/>
      <c r="K860" s="38"/>
      <c r="L860" s="38"/>
      <c r="M860" s="38"/>
      <c r="N860" s="40"/>
      <c r="O860" s="40"/>
      <c r="P860" s="40"/>
      <c r="Q860" s="40"/>
      <c r="R860" s="40"/>
      <c r="S860" s="40"/>
      <c r="T860" s="40"/>
    </row>
    <row r="861" spans="1:20">
      <c r="A861" s="40"/>
      <c r="F861" s="38"/>
      <c r="G861" s="38"/>
      <c r="H861" s="38"/>
      <c r="I861" s="38"/>
      <c r="J861" s="38"/>
      <c r="K861" s="38"/>
      <c r="L861" s="38"/>
      <c r="M861" s="38"/>
      <c r="N861" s="40"/>
      <c r="O861" s="40"/>
      <c r="P861" s="40"/>
      <c r="Q861" s="40"/>
      <c r="R861" s="40"/>
      <c r="S861" s="40"/>
      <c r="T861" s="40"/>
    </row>
    <row r="862" spans="1:20">
      <c r="A862" s="40"/>
      <c r="F862" s="38"/>
      <c r="G862" s="38"/>
      <c r="H862" s="38"/>
      <c r="I862" s="38"/>
      <c r="J862" s="38"/>
      <c r="K862" s="38"/>
      <c r="L862" s="38"/>
      <c r="M862" s="38"/>
      <c r="N862" s="40"/>
      <c r="O862" s="40"/>
      <c r="P862" s="40"/>
      <c r="Q862" s="40"/>
      <c r="R862" s="40"/>
      <c r="S862" s="40"/>
      <c r="T862" s="40"/>
    </row>
    <row r="863" spans="1:20">
      <c r="A863" s="40"/>
      <c r="F863" s="38"/>
      <c r="G863" s="38"/>
      <c r="H863" s="38"/>
      <c r="I863" s="38"/>
      <c r="J863" s="38"/>
      <c r="K863" s="38"/>
      <c r="L863" s="38"/>
      <c r="M863" s="38"/>
      <c r="N863" s="40"/>
      <c r="O863" s="40"/>
      <c r="P863" s="40"/>
      <c r="Q863" s="40"/>
      <c r="R863" s="40"/>
      <c r="S863" s="40"/>
      <c r="T863" s="40"/>
    </row>
    <row r="864" spans="1:20">
      <c r="A864" s="40"/>
      <c r="F864" s="38"/>
      <c r="G864" s="38"/>
      <c r="H864" s="38"/>
      <c r="I864" s="38"/>
      <c r="J864" s="38"/>
      <c r="K864" s="38"/>
      <c r="L864" s="38"/>
      <c r="M864" s="38"/>
      <c r="N864" s="40"/>
      <c r="O864" s="40"/>
      <c r="P864" s="40"/>
      <c r="Q864" s="40"/>
      <c r="R864" s="40"/>
      <c r="S864" s="40"/>
      <c r="T864" s="40"/>
    </row>
    <row r="865" spans="1:20">
      <c r="A865" s="40"/>
      <c r="F865" s="38"/>
      <c r="G865" s="38"/>
      <c r="H865" s="38"/>
      <c r="I865" s="38"/>
      <c r="J865" s="38"/>
      <c r="K865" s="38"/>
      <c r="L865" s="38"/>
      <c r="M865" s="38"/>
      <c r="N865" s="40"/>
      <c r="O865" s="40"/>
      <c r="P865" s="40"/>
      <c r="Q865" s="40"/>
      <c r="R865" s="40"/>
      <c r="S865" s="40"/>
      <c r="T865" s="40"/>
    </row>
    <row r="866" spans="1:20">
      <c r="A866" s="40"/>
      <c r="F866" s="38"/>
      <c r="G866" s="38"/>
      <c r="H866" s="38"/>
      <c r="I866" s="38"/>
      <c r="J866" s="38"/>
      <c r="K866" s="38"/>
      <c r="L866" s="38"/>
      <c r="M866" s="38"/>
      <c r="N866" s="40"/>
      <c r="O866" s="40"/>
      <c r="P866" s="40"/>
      <c r="Q866" s="40"/>
      <c r="R866" s="40"/>
      <c r="S866" s="40"/>
      <c r="T866" s="40"/>
    </row>
    <row r="867" spans="1:20">
      <c r="A867" s="40"/>
      <c r="F867" s="38"/>
      <c r="G867" s="38"/>
      <c r="H867" s="38"/>
      <c r="I867" s="38"/>
      <c r="J867" s="38"/>
      <c r="K867" s="38"/>
      <c r="L867" s="38"/>
      <c r="M867" s="38"/>
      <c r="N867" s="40"/>
      <c r="O867" s="40"/>
      <c r="P867" s="40"/>
      <c r="Q867" s="40"/>
      <c r="R867" s="40"/>
      <c r="S867" s="40"/>
      <c r="T867" s="40"/>
    </row>
    <row r="868" spans="1:20">
      <c r="A868" s="40"/>
      <c r="F868" s="38"/>
      <c r="G868" s="38"/>
      <c r="H868" s="38"/>
      <c r="I868" s="38"/>
      <c r="J868" s="38"/>
      <c r="K868" s="38"/>
      <c r="L868" s="38"/>
      <c r="M868" s="38"/>
      <c r="N868" s="40"/>
      <c r="O868" s="40"/>
      <c r="P868" s="40"/>
      <c r="Q868" s="40"/>
      <c r="R868" s="40"/>
      <c r="S868" s="40"/>
      <c r="T868" s="40"/>
    </row>
    <row r="869" spans="1:20">
      <c r="A869" s="40"/>
      <c r="F869" s="38"/>
      <c r="G869" s="38"/>
      <c r="H869" s="38"/>
      <c r="I869" s="38"/>
      <c r="J869" s="38"/>
      <c r="K869" s="38"/>
      <c r="L869" s="38"/>
      <c r="M869" s="38"/>
      <c r="N869" s="40"/>
      <c r="O869" s="40"/>
      <c r="P869" s="40"/>
      <c r="Q869" s="40"/>
      <c r="R869" s="40"/>
      <c r="S869" s="40"/>
      <c r="T869" s="40"/>
    </row>
    <row r="870" spans="1:20">
      <c r="A870" s="40"/>
      <c r="F870" s="38"/>
      <c r="G870" s="38"/>
      <c r="H870" s="38"/>
      <c r="I870" s="38"/>
      <c r="J870" s="38"/>
      <c r="K870" s="38"/>
      <c r="L870" s="38"/>
      <c r="M870" s="38"/>
      <c r="N870" s="40"/>
      <c r="O870" s="40"/>
      <c r="P870" s="40"/>
      <c r="Q870" s="40"/>
      <c r="R870" s="40"/>
      <c r="S870" s="40"/>
      <c r="T870" s="40"/>
    </row>
    <row r="871" spans="1:20">
      <c r="A871" s="40"/>
      <c r="F871" s="38"/>
      <c r="G871" s="38"/>
      <c r="H871" s="38"/>
      <c r="I871" s="38"/>
      <c r="J871" s="38"/>
      <c r="K871" s="38"/>
      <c r="L871" s="38"/>
      <c r="M871" s="38"/>
      <c r="N871" s="40"/>
      <c r="O871" s="40"/>
      <c r="P871" s="40"/>
      <c r="Q871" s="40"/>
      <c r="R871" s="40"/>
      <c r="S871" s="40"/>
      <c r="T871" s="40"/>
    </row>
    <row r="872" spans="1:20">
      <c r="A872" s="40"/>
      <c r="F872" s="38"/>
      <c r="G872" s="38"/>
      <c r="H872" s="38"/>
      <c r="I872" s="38"/>
      <c r="J872" s="38"/>
      <c r="K872" s="38"/>
      <c r="L872" s="38"/>
      <c r="M872" s="38"/>
      <c r="N872" s="40"/>
      <c r="O872" s="40"/>
      <c r="P872" s="40"/>
      <c r="Q872" s="40"/>
      <c r="R872" s="40"/>
      <c r="S872" s="40"/>
      <c r="T872" s="40"/>
    </row>
    <row r="873" spans="1:20">
      <c r="A873" s="40"/>
      <c r="F873" s="38"/>
      <c r="G873" s="38"/>
      <c r="H873" s="38"/>
      <c r="I873" s="38"/>
      <c r="J873" s="38"/>
      <c r="K873" s="38"/>
      <c r="L873" s="38"/>
      <c r="M873" s="38"/>
      <c r="N873" s="40"/>
      <c r="O873" s="40"/>
      <c r="P873" s="40"/>
      <c r="Q873" s="40"/>
      <c r="R873" s="40"/>
      <c r="S873" s="40"/>
      <c r="T873" s="40"/>
    </row>
    <row r="874" spans="1:20">
      <c r="A874" s="40"/>
      <c r="F874" s="38"/>
      <c r="G874" s="38"/>
      <c r="H874" s="38"/>
      <c r="I874" s="38"/>
      <c r="J874" s="38"/>
      <c r="K874" s="38"/>
      <c r="L874" s="38"/>
      <c r="M874" s="38"/>
      <c r="N874" s="40"/>
      <c r="O874" s="40"/>
      <c r="P874" s="40"/>
      <c r="Q874" s="40"/>
      <c r="R874" s="40"/>
      <c r="S874" s="40"/>
      <c r="T874" s="40"/>
    </row>
    <row r="875" spans="1:20">
      <c r="A875" s="40"/>
      <c r="F875" s="38"/>
      <c r="G875" s="38"/>
      <c r="H875" s="38"/>
      <c r="I875" s="38"/>
      <c r="J875" s="38"/>
      <c r="K875" s="38"/>
      <c r="L875" s="38"/>
      <c r="M875" s="38"/>
      <c r="N875" s="40"/>
      <c r="O875" s="40"/>
      <c r="P875" s="40"/>
      <c r="Q875" s="40"/>
      <c r="R875" s="40"/>
      <c r="S875" s="40"/>
      <c r="T875" s="40"/>
    </row>
    <row r="876" spans="1:20">
      <c r="A876" s="40"/>
      <c r="F876" s="38"/>
      <c r="G876" s="38"/>
      <c r="H876" s="38"/>
      <c r="I876" s="38"/>
      <c r="J876" s="38"/>
      <c r="K876" s="38"/>
      <c r="L876" s="38"/>
      <c r="M876" s="38"/>
      <c r="N876" s="40"/>
      <c r="O876" s="40"/>
      <c r="P876" s="40"/>
      <c r="Q876" s="40"/>
      <c r="R876" s="40"/>
      <c r="S876" s="40"/>
      <c r="T876" s="40"/>
    </row>
    <row r="877" spans="1:20">
      <c r="A877" s="40"/>
      <c r="F877" s="38"/>
      <c r="G877" s="38"/>
      <c r="H877" s="38"/>
      <c r="I877" s="38"/>
      <c r="J877" s="38"/>
      <c r="K877" s="38"/>
      <c r="L877" s="38"/>
      <c r="M877" s="38"/>
      <c r="N877" s="40"/>
      <c r="O877" s="40"/>
      <c r="P877" s="40"/>
      <c r="Q877" s="40"/>
      <c r="R877" s="40"/>
      <c r="S877" s="40"/>
      <c r="T877" s="40"/>
    </row>
    <row r="878" spans="1:20">
      <c r="A878" s="40"/>
      <c r="F878" s="38"/>
      <c r="G878" s="38"/>
      <c r="H878" s="38"/>
      <c r="I878" s="38"/>
      <c r="J878" s="38"/>
      <c r="K878" s="38"/>
      <c r="L878" s="38"/>
      <c r="M878" s="38"/>
      <c r="N878" s="40"/>
      <c r="O878" s="40"/>
      <c r="P878" s="40"/>
      <c r="Q878" s="40"/>
      <c r="R878" s="40"/>
      <c r="S878" s="40"/>
      <c r="T878" s="40"/>
    </row>
    <row r="879" spans="1:20">
      <c r="A879" s="40"/>
      <c r="F879" s="38"/>
      <c r="G879" s="38"/>
      <c r="H879" s="38"/>
      <c r="I879" s="38"/>
      <c r="J879" s="38"/>
      <c r="K879" s="38"/>
      <c r="L879" s="38"/>
      <c r="M879" s="38"/>
      <c r="N879" s="40"/>
      <c r="O879" s="40"/>
      <c r="P879" s="40"/>
      <c r="Q879" s="40"/>
      <c r="R879" s="40"/>
      <c r="S879" s="40"/>
      <c r="T879" s="40"/>
    </row>
    <row r="880" spans="1:20">
      <c r="A880" s="40"/>
      <c r="F880" s="38"/>
      <c r="G880" s="38"/>
      <c r="H880" s="38"/>
      <c r="I880" s="38"/>
      <c r="J880" s="38"/>
      <c r="K880" s="38"/>
      <c r="L880" s="38"/>
      <c r="M880" s="38"/>
      <c r="N880" s="40"/>
      <c r="O880" s="40"/>
      <c r="P880" s="40"/>
      <c r="Q880" s="40"/>
      <c r="R880" s="40"/>
      <c r="S880" s="40"/>
      <c r="T880" s="40"/>
    </row>
    <row r="881" spans="1:20">
      <c r="A881" s="40"/>
      <c r="F881" s="38"/>
      <c r="G881" s="38"/>
      <c r="H881" s="38"/>
      <c r="I881" s="38"/>
      <c r="J881" s="38"/>
      <c r="K881" s="38"/>
      <c r="L881" s="38"/>
      <c r="M881" s="38"/>
      <c r="N881" s="40"/>
      <c r="O881" s="40"/>
      <c r="P881" s="40"/>
      <c r="Q881" s="40"/>
      <c r="R881" s="40"/>
      <c r="S881" s="40"/>
      <c r="T881" s="40"/>
    </row>
    <row r="882" spans="1:20">
      <c r="A882" s="40"/>
      <c r="F882" s="38"/>
      <c r="G882" s="38"/>
      <c r="H882" s="38"/>
      <c r="I882" s="38"/>
      <c r="J882" s="38"/>
      <c r="K882" s="38"/>
      <c r="L882" s="38"/>
      <c r="M882" s="38"/>
      <c r="N882" s="40"/>
      <c r="O882" s="40"/>
      <c r="P882" s="40"/>
      <c r="Q882" s="40"/>
      <c r="R882" s="40"/>
      <c r="S882" s="40"/>
      <c r="T882" s="40"/>
    </row>
    <row r="883" spans="1:20">
      <c r="A883" s="40"/>
      <c r="F883" s="38"/>
      <c r="G883" s="38"/>
      <c r="H883" s="38"/>
      <c r="I883" s="38"/>
      <c r="J883" s="38"/>
      <c r="K883" s="38"/>
      <c r="L883" s="38"/>
      <c r="M883" s="38"/>
      <c r="N883" s="40"/>
      <c r="O883" s="40"/>
      <c r="P883" s="40"/>
      <c r="Q883" s="40"/>
      <c r="R883" s="40"/>
      <c r="S883" s="40"/>
      <c r="T883" s="40"/>
    </row>
    <row r="884" spans="1:20">
      <c r="A884" s="40"/>
      <c r="F884" s="38"/>
      <c r="G884" s="38"/>
      <c r="H884" s="38"/>
      <c r="I884" s="38"/>
      <c r="J884" s="38"/>
      <c r="K884" s="38"/>
      <c r="L884" s="38"/>
      <c r="M884" s="38"/>
      <c r="N884" s="40"/>
      <c r="O884" s="40"/>
      <c r="P884" s="40"/>
      <c r="Q884" s="40"/>
      <c r="R884" s="40"/>
      <c r="S884" s="40"/>
      <c r="T884" s="40"/>
    </row>
    <row r="885" spans="1:20">
      <c r="A885" s="40"/>
      <c r="F885" s="38"/>
      <c r="G885" s="38"/>
      <c r="H885" s="38"/>
      <c r="I885" s="38"/>
      <c r="J885" s="38"/>
      <c r="K885" s="38"/>
      <c r="L885" s="38"/>
      <c r="M885" s="38"/>
      <c r="N885" s="40"/>
      <c r="O885" s="40"/>
      <c r="P885" s="40"/>
      <c r="Q885" s="40"/>
      <c r="R885" s="40"/>
      <c r="S885" s="40"/>
      <c r="T885" s="40"/>
    </row>
    <row r="886" spans="1:20">
      <c r="A886" s="40"/>
      <c r="F886" s="38"/>
      <c r="G886" s="38"/>
      <c r="H886" s="38"/>
      <c r="I886" s="38"/>
      <c r="J886" s="38"/>
      <c r="K886" s="38"/>
      <c r="L886" s="38"/>
      <c r="M886" s="38"/>
      <c r="N886" s="40"/>
      <c r="O886" s="40"/>
      <c r="P886" s="40"/>
      <c r="Q886" s="40"/>
      <c r="R886" s="40"/>
      <c r="S886" s="40"/>
      <c r="T886" s="40"/>
    </row>
    <row r="887" spans="1:20">
      <c r="A887" s="40"/>
      <c r="F887" s="38"/>
      <c r="G887" s="38"/>
      <c r="H887" s="38"/>
      <c r="I887" s="38"/>
      <c r="J887" s="38"/>
      <c r="K887" s="38"/>
      <c r="L887" s="38"/>
      <c r="M887" s="38"/>
      <c r="N887" s="40"/>
      <c r="O887" s="40"/>
      <c r="P887" s="40"/>
      <c r="Q887" s="40"/>
      <c r="R887" s="40"/>
      <c r="S887" s="40"/>
      <c r="T887" s="40"/>
    </row>
    <row r="888" spans="1:20">
      <c r="A888" s="40"/>
      <c r="F888" s="38"/>
      <c r="G888" s="38"/>
      <c r="H888" s="38"/>
      <c r="I888" s="38"/>
      <c r="J888" s="38"/>
      <c r="K888" s="38"/>
      <c r="L888" s="38"/>
      <c r="M888" s="38"/>
      <c r="N888" s="40"/>
      <c r="O888" s="40"/>
      <c r="P888" s="40"/>
      <c r="Q888" s="40"/>
      <c r="R888" s="40"/>
      <c r="S888" s="40"/>
      <c r="T888" s="40"/>
    </row>
    <row r="889" spans="1:20">
      <c r="A889" s="40"/>
      <c r="F889" s="38"/>
      <c r="G889" s="38"/>
      <c r="H889" s="38"/>
      <c r="I889" s="38"/>
      <c r="J889" s="38"/>
      <c r="K889" s="38"/>
      <c r="L889" s="38"/>
      <c r="M889" s="38"/>
      <c r="N889" s="40"/>
      <c r="O889" s="40"/>
      <c r="P889" s="40"/>
      <c r="Q889" s="40"/>
      <c r="R889" s="40"/>
      <c r="S889" s="40"/>
      <c r="T889" s="40"/>
    </row>
    <row r="890" spans="1:20">
      <c r="A890" s="40"/>
      <c r="F890" s="38"/>
      <c r="G890" s="38"/>
      <c r="H890" s="38"/>
      <c r="I890" s="38"/>
      <c r="J890" s="38"/>
      <c r="K890" s="38"/>
      <c r="L890" s="38"/>
      <c r="M890" s="38"/>
      <c r="N890" s="40"/>
      <c r="O890" s="40"/>
      <c r="P890" s="40"/>
      <c r="Q890" s="40"/>
      <c r="R890" s="40"/>
      <c r="S890" s="40"/>
      <c r="T890" s="40"/>
    </row>
    <row r="891" spans="1:20">
      <c r="A891" s="40"/>
      <c r="F891" s="38"/>
      <c r="G891" s="38"/>
      <c r="H891" s="38"/>
      <c r="I891" s="38"/>
      <c r="J891" s="38"/>
      <c r="K891" s="38"/>
      <c r="L891" s="38"/>
      <c r="M891" s="38"/>
      <c r="N891" s="40"/>
      <c r="O891" s="40"/>
      <c r="P891" s="40"/>
      <c r="Q891" s="40"/>
      <c r="R891" s="40"/>
      <c r="S891" s="40"/>
      <c r="T891" s="40"/>
    </row>
    <row r="892" spans="1:20">
      <c r="A892" s="40"/>
      <c r="F892" s="38"/>
      <c r="G892" s="38"/>
      <c r="H892" s="38"/>
      <c r="I892" s="38"/>
      <c r="J892" s="38"/>
      <c r="K892" s="38"/>
      <c r="L892" s="38"/>
      <c r="M892" s="38"/>
      <c r="N892" s="40"/>
      <c r="O892" s="40"/>
      <c r="P892" s="40"/>
      <c r="Q892" s="40"/>
      <c r="R892" s="40"/>
      <c r="S892" s="40"/>
      <c r="T892" s="40"/>
    </row>
    <row r="893" spans="1:20">
      <c r="A893" s="40"/>
      <c r="F893" s="38"/>
      <c r="G893" s="38"/>
      <c r="H893" s="38"/>
      <c r="I893" s="38"/>
      <c r="J893" s="38"/>
      <c r="K893" s="38"/>
      <c r="L893" s="38"/>
      <c r="M893" s="38"/>
      <c r="N893" s="40"/>
      <c r="O893" s="40"/>
      <c r="P893" s="40"/>
      <c r="Q893" s="40"/>
      <c r="R893" s="40"/>
      <c r="S893" s="40"/>
      <c r="T893" s="40"/>
    </row>
    <row r="894" spans="1:20">
      <c r="A894" s="40"/>
      <c r="F894" s="38"/>
      <c r="G894" s="38"/>
      <c r="H894" s="38"/>
      <c r="I894" s="38"/>
      <c r="J894" s="38"/>
      <c r="K894" s="38"/>
      <c r="L894" s="38"/>
      <c r="M894" s="38"/>
      <c r="N894" s="40"/>
      <c r="O894" s="40"/>
      <c r="P894" s="40"/>
      <c r="Q894" s="40"/>
      <c r="R894" s="40"/>
      <c r="S894" s="40"/>
      <c r="T894" s="40"/>
    </row>
    <row r="895" spans="1:20">
      <c r="A895" s="40"/>
      <c r="F895" s="38"/>
      <c r="G895" s="38"/>
      <c r="H895" s="38"/>
      <c r="I895" s="38"/>
      <c r="J895" s="38"/>
      <c r="K895" s="38"/>
      <c r="L895" s="38"/>
      <c r="M895" s="38"/>
      <c r="N895" s="40"/>
      <c r="O895" s="40"/>
      <c r="P895" s="40"/>
      <c r="Q895" s="40"/>
      <c r="R895" s="40"/>
      <c r="S895" s="40"/>
      <c r="T895" s="40"/>
    </row>
    <row r="896" spans="1:20">
      <c r="A896" s="40"/>
      <c r="F896" s="38"/>
      <c r="G896" s="38"/>
      <c r="H896" s="38"/>
      <c r="I896" s="38"/>
      <c r="J896" s="38"/>
      <c r="K896" s="38"/>
      <c r="L896" s="38"/>
      <c r="M896" s="38"/>
      <c r="N896" s="40"/>
      <c r="O896" s="40"/>
      <c r="P896" s="40"/>
      <c r="Q896" s="40"/>
      <c r="R896" s="40"/>
      <c r="S896" s="40"/>
      <c r="T896" s="40"/>
    </row>
    <row r="897" spans="1:20">
      <c r="A897" s="40"/>
      <c r="F897" s="38"/>
      <c r="G897" s="38"/>
      <c r="H897" s="38"/>
      <c r="I897" s="38"/>
      <c r="J897" s="38"/>
      <c r="K897" s="38"/>
      <c r="L897" s="38"/>
      <c r="M897" s="38"/>
      <c r="N897" s="40"/>
      <c r="O897" s="40"/>
      <c r="P897" s="40"/>
      <c r="Q897" s="40"/>
      <c r="R897" s="40"/>
      <c r="S897" s="40"/>
      <c r="T897" s="40"/>
    </row>
    <row r="898" spans="1:20">
      <c r="A898" s="40"/>
      <c r="F898" s="38"/>
      <c r="G898" s="38"/>
      <c r="H898" s="38"/>
      <c r="I898" s="38"/>
      <c r="J898" s="38"/>
      <c r="K898" s="38"/>
      <c r="L898" s="38"/>
      <c r="M898" s="38"/>
      <c r="N898" s="40"/>
      <c r="O898" s="40"/>
      <c r="P898" s="40"/>
      <c r="Q898" s="40"/>
      <c r="R898" s="40"/>
      <c r="S898" s="40"/>
      <c r="T898" s="40"/>
    </row>
    <row r="899" spans="1:20">
      <c r="A899" s="40"/>
      <c r="F899" s="38"/>
      <c r="G899" s="38"/>
      <c r="H899" s="38"/>
      <c r="I899" s="38"/>
      <c r="J899" s="38"/>
      <c r="K899" s="38"/>
      <c r="L899" s="38"/>
      <c r="M899" s="38"/>
      <c r="N899" s="40"/>
      <c r="O899" s="40"/>
      <c r="P899" s="40"/>
      <c r="Q899" s="40"/>
      <c r="R899" s="40"/>
      <c r="S899" s="40"/>
      <c r="T899" s="40"/>
    </row>
    <row r="900" spans="1:20">
      <c r="A900" s="40"/>
      <c r="F900" s="38"/>
      <c r="G900" s="38"/>
      <c r="H900" s="38"/>
      <c r="I900" s="38"/>
      <c r="J900" s="38"/>
      <c r="K900" s="38"/>
      <c r="L900" s="38"/>
      <c r="M900" s="38"/>
      <c r="N900" s="40"/>
      <c r="O900" s="40"/>
      <c r="P900" s="40"/>
      <c r="Q900" s="40"/>
      <c r="R900" s="40"/>
      <c r="S900" s="40"/>
      <c r="T900" s="40"/>
    </row>
    <row r="901" spans="1:20">
      <c r="A901" s="40"/>
      <c r="F901" s="38"/>
      <c r="G901" s="38"/>
      <c r="H901" s="38"/>
      <c r="I901" s="38"/>
      <c r="J901" s="38"/>
      <c r="K901" s="38"/>
      <c r="L901" s="38"/>
      <c r="M901" s="38"/>
      <c r="N901" s="40"/>
      <c r="O901" s="40"/>
      <c r="P901" s="40"/>
      <c r="Q901" s="40"/>
      <c r="R901" s="40"/>
      <c r="S901" s="40"/>
      <c r="T901" s="40"/>
    </row>
    <row r="902" spans="1:20">
      <c r="A902" s="40"/>
      <c r="F902" s="38"/>
      <c r="G902" s="38"/>
      <c r="H902" s="38"/>
      <c r="I902" s="38"/>
      <c r="J902" s="38"/>
      <c r="K902" s="38"/>
      <c r="L902" s="38"/>
      <c r="M902" s="38"/>
      <c r="N902" s="40"/>
      <c r="O902" s="40"/>
      <c r="P902" s="40"/>
      <c r="Q902" s="40"/>
      <c r="R902" s="40"/>
      <c r="S902" s="40"/>
      <c r="T902" s="40"/>
    </row>
    <row r="903" spans="1:20">
      <c r="A903" s="40"/>
      <c r="F903" s="38"/>
      <c r="G903" s="38"/>
      <c r="H903" s="38"/>
      <c r="I903" s="38"/>
      <c r="J903" s="38"/>
      <c r="K903" s="38"/>
      <c r="L903" s="38"/>
      <c r="M903" s="38"/>
      <c r="N903" s="40"/>
      <c r="O903" s="40"/>
      <c r="P903" s="40"/>
      <c r="Q903" s="40"/>
      <c r="R903" s="40"/>
      <c r="S903" s="40"/>
      <c r="T903" s="40"/>
    </row>
    <row r="904" spans="1:20">
      <c r="A904" s="40"/>
      <c r="F904" s="38"/>
      <c r="G904" s="38"/>
      <c r="H904" s="38"/>
      <c r="I904" s="38"/>
      <c r="J904" s="38"/>
      <c r="K904" s="38"/>
      <c r="L904" s="38"/>
      <c r="M904" s="38"/>
      <c r="N904" s="40"/>
      <c r="O904" s="40"/>
      <c r="P904" s="40"/>
      <c r="Q904" s="40"/>
      <c r="R904" s="40"/>
      <c r="S904" s="40"/>
      <c r="T904" s="40"/>
    </row>
    <row r="905" spans="1:20">
      <c r="A905" s="40"/>
      <c r="F905" s="38"/>
      <c r="G905" s="38"/>
      <c r="H905" s="38"/>
      <c r="I905" s="38"/>
      <c r="J905" s="38"/>
      <c r="K905" s="38"/>
      <c r="L905" s="38"/>
      <c r="M905" s="38"/>
      <c r="N905" s="40"/>
      <c r="O905" s="40"/>
      <c r="P905" s="40"/>
      <c r="Q905" s="40"/>
      <c r="R905" s="40"/>
      <c r="S905" s="40"/>
      <c r="T905" s="40"/>
    </row>
    <row r="906" spans="1:20">
      <c r="A906" s="40"/>
      <c r="F906" s="38"/>
      <c r="G906" s="38"/>
      <c r="H906" s="38"/>
      <c r="I906" s="38"/>
      <c r="J906" s="38"/>
      <c r="K906" s="38"/>
      <c r="L906" s="38"/>
      <c r="M906" s="38"/>
      <c r="N906" s="40"/>
      <c r="O906" s="40"/>
      <c r="P906" s="40"/>
      <c r="Q906" s="40"/>
      <c r="R906" s="40"/>
      <c r="S906" s="40"/>
      <c r="T906" s="40"/>
    </row>
    <row r="907" spans="1:20">
      <c r="A907" s="40"/>
      <c r="F907" s="38"/>
      <c r="G907" s="38"/>
      <c r="H907" s="38"/>
      <c r="I907" s="38"/>
      <c r="J907" s="38"/>
      <c r="K907" s="38"/>
      <c r="L907" s="38"/>
      <c r="M907" s="38"/>
      <c r="N907" s="40"/>
      <c r="O907" s="40"/>
      <c r="P907" s="40"/>
      <c r="Q907" s="40"/>
      <c r="R907" s="40"/>
      <c r="S907" s="40"/>
      <c r="T907" s="40"/>
    </row>
    <row r="908" spans="1:20">
      <c r="A908" s="40"/>
      <c r="F908" s="38"/>
      <c r="G908" s="38"/>
      <c r="H908" s="38"/>
      <c r="I908" s="38"/>
      <c r="J908" s="38"/>
      <c r="K908" s="38"/>
      <c r="L908" s="38"/>
      <c r="M908" s="38"/>
      <c r="N908" s="40"/>
      <c r="O908" s="40"/>
      <c r="P908" s="40"/>
      <c r="Q908" s="40"/>
      <c r="R908" s="40"/>
      <c r="S908" s="40"/>
      <c r="T908" s="40"/>
    </row>
    <row r="909" spans="1:20">
      <c r="A909" s="40"/>
      <c r="F909" s="38"/>
      <c r="G909" s="38"/>
      <c r="H909" s="38"/>
      <c r="I909" s="38"/>
      <c r="J909" s="38"/>
      <c r="K909" s="38"/>
      <c r="L909" s="38"/>
      <c r="M909" s="38"/>
      <c r="N909" s="40"/>
      <c r="O909" s="40"/>
      <c r="P909" s="40"/>
      <c r="Q909" s="40"/>
      <c r="R909" s="40"/>
      <c r="S909" s="40"/>
      <c r="T909" s="40"/>
    </row>
    <row r="910" spans="1:20">
      <c r="A910" s="40"/>
      <c r="F910" s="38"/>
      <c r="G910" s="38"/>
      <c r="H910" s="38"/>
      <c r="I910" s="38"/>
      <c r="J910" s="38"/>
      <c r="K910" s="38"/>
      <c r="L910" s="38"/>
      <c r="M910" s="38"/>
      <c r="N910" s="40"/>
      <c r="O910" s="40"/>
      <c r="P910" s="40"/>
      <c r="Q910" s="40"/>
      <c r="R910" s="40"/>
      <c r="S910" s="40"/>
      <c r="T910" s="40"/>
    </row>
    <row r="911" spans="1:20">
      <c r="A911" s="40"/>
      <c r="F911" s="38"/>
      <c r="G911" s="38"/>
      <c r="H911" s="38"/>
      <c r="I911" s="38"/>
      <c r="J911" s="38"/>
      <c r="K911" s="38"/>
      <c r="L911" s="38"/>
      <c r="M911" s="38"/>
      <c r="N911" s="40"/>
      <c r="O911" s="40"/>
      <c r="P911" s="40"/>
      <c r="Q911" s="40"/>
      <c r="R911" s="40"/>
      <c r="S911" s="40"/>
      <c r="T911" s="40"/>
    </row>
    <row r="912" spans="1:20">
      <c r="A912" s="40"/>
      <c r="F912" s="38"/>
      <c r="G912" s="38"/>
      <c r="H912" s="38"/>
      <c r="I912" s="38"/>
      <c r="J912" s="38"/>
      <c r="K912" s="38"/>
      <c r="L912" s="38"/>
      <c r="M912" s="38"/>
      <c r="N912" s="40"/>
      <c r="O912" s="40"/>
      <c r="P912" s="40"/>
      <c r="Q912" s="40"/>
      <c r="R912" s="40"/>
      <c r="S912" s="40"/>
      <c r="T912" s="40"/>
    </row>
    <row r="913" spans="1:20">
      <c r="A913" s="40"/>
      <c r="F913" s="38"/>
      <c r="G913" s="38"/>
      <c r="H913" s="38"/>
      <c r="I913" s="38"/>
      <c r="J913" s="38"/>
      <c r="K913" s="38"/>
      <c r="L913" s="38"/>
      <c r="M913" s="38"/>
      <c r="N913" s="40"/>
      <c r="O913" s="40"/>
      <c r="P913" s="40"/>
      <c r="Q913" s="40"/>
      <c r="R913" s="40"/>
      <c r="S913" s="40"/>
      <c r="T913" s="40"/>
    </row>
    <row r="914" spans="1:20">
      <c r="A914" s="40"/>
      <c r="F914" s="38"/>
      <c r="G914" s="38"/>
      <c r="H914" s="38"/>
      <c r="I914" s="38"/>
      <c r="J914" s="38"/>
      <c r="K914" s="38"/>
      <c r="L914" s="38"/>
      <c r="M914" s="38"/>
      <c r="N914" s="40"/>
      <c r="O914" s="40"/>
      <c r="P914" s="40"/>
      <c r="Q914" s="40"/>
      <c r="R914" s="40"/>
      <c r="S914" s="40"/>
      <c r="T914" s="40"/>
    </row>
    <row r="915" spans="1:20">
      <c r="A915" s="40"/>
      <c r="F915" s="38"/>
      <c r="G915" s="38"/>
      <c r="H915" s="38"/>
      <c r="I915" s="38"/>
      <c r="J915" s="38"/>
      <c r="K915" s="38"/>
      <c r="L915" s="38"/>
      <c r="M915" s="38"/>
      <c r="N915" s="40"/>
      <c r="O915" s="40"/>
      <c r="P915" s="40"/>
      <c r="Q915" s="40"/>
      <c r="R915" s="40"/>
      <c r="S915" s="40"/>
      <c r="T915" s="40"/>
    </row>
    <row r="916" spans="1:20">
      <c r="A916" s="40"/>
      <c r="F916" s="38"/>
      <c r="G916" s="38"/>
      <c r="H916" s="38"/>
      <c r="I916" s="38"/>
      <c r="J916" s="38"/>
      <c r="K916" s="38"/>
      <c r="L916" s="38"/>
      <c r="M916" s="38"/>
      <c r="N916" s="40"/>
      <c r="O916" s="40"/>
      <c r="P916" s="40"/>
      <c r="Q916" s="40"/>
      <c r="R916" s="40"/>
      <c r="S916" s="40"/>
      <c r="T916" s="40"/>
    </row>
    <row r="917" spans="1:20">
      <c r="A917" s="40"/>
      <c r="F917" s="38"/>
      <c r="G917" s="38"/>
      <c r="H917" s="38"/>
      <c r="I917" s="38"/>
      <c r="J917" s="38"/>
      <c r="K917" s="38"/>
      <c r="L917" s="38"/>
      <c r="M917" s="38"/>
      <c r="N917" s="40"/>
      <c r="O917" s="40"/>
      <c r="P917" s="40"/>
      <c r="Q917" s="40"/>
      <c r="R917" s="40"/>
      <c r="S917" s="40"/>
      <c r="T917" s="40"/>
    </row>
    <row r="918" spans="1:20">
      <c r="A918" s="40"/>
      <c r="F918" s="38"/>
      <c r="G918" s="38"/>
      <c r="H918" s="38"/>
      <c r="I918" s="38"/>
      <c r="J918" s="38"/>
      <c r="K918" s="38"/>
      <c r="L918" s="38"/>
      <c r="M918" s="38"/>
      <c r="N918" s="40"/>
      <c r="O918" s="40"/>
      <c r="P918" s="40"/>
      <c r="Q918" s="40"/>
      <c r="R918" s="40"/>
      <c r="S918" s="40"/>
      <c r="T918" s="40"/>
    </row>
    <row r="919" spans="1:20">
      <c r="A919" s="40"/>
      <c r="F919" s="38"/>
      <c r="G919" s="38"/>
      <c r="H919" s="38"/>
      <c r="I919" s="38"/>
      <c r="J919" s="38"/>
      <c r="K919" s="38"/>
      <c r="L919" s="38"/>
      <c r="M919" s="38"/>
      <c r="N919" s="40"/>
      <c r="O919" s="40"/>
      <c r="P919" s="40"/>
      <c r="Q919" s="40"/>
      <c r="R919" s="40"/>
      <c r="S919" s="40"/>
      <c r="T919" s="40"/>
    </row>
    <row r="920" spans="1:20">
      <c r="A920" s="40"/>
      <c r="F920" s="38"/>
      <c r="G920" s="38"/>
      <c r="H920" s="38"/>
      <c r="I920" s="38"/>
      <c r="J920" s="38"/>
      <c r="K920" s="38"/>
      <c r="L920" s="38"/>
      <c r="M920" s="38"/>
      <c r="N920" s="40"/>
      <c r="O920" s="40"/>
      <c r="P920" s="40"/>
      <c r="Q920" s="40"/>
      <c r="R920" s="40"/>
      <c r="S920" s="40"/>
      <c r="T920" s="40"/>
    </row>
    <row r="921" spans="1:20">
      <c r="A921" s="40"/>
      <c r="F921" s="38"/>
      <c r="G921" s="38"/>
      <c r="H921" s="38"/>
      <c r="I921" s="38"/>
      <c r="J921" s="38"/>
      <c r="K921" s="38"/>
      <c r="L921" s="38"/>
      <c r="M921" s="38"/>
      <c r="N921" s="40"/>
      <c r="O921" s="40"/>
      <c r="P921" s="40"/>
      <c r="Q921" s="40"/>
      <c r="R921" s="40"/>
      <c r="S921" s="40"/>
      <c r="T921" s="40"/>
    </row>
    <row r="922" spans="1:20">
      <c r="A922" s="40"/>
      <c r="F922" s="38"/>
      <c r="G922" s="38"/>
      <c r="H922" s="38"/>
      <c r="I922" s="38"/>
      <c r="J922" s="38"/>
      <c r="K922" s="38"/>
      <c r="L922" s="38"/>
      <c r="M922" s="38"/>
      <c r="N922" s="40"/>
      <c r="O922" s="40"/>
      <c r="P922" s="40"/>
      <c r="Q922" s="40"/>
      <c r="R922" s="40"/>
      <c r="S922" s="40"/>
      <c r="T922" s="40"/>
    </row>
    <row r="923" spans="1:20">
      <c r="A923" s="40"/>
      <c r="F923" s="38"/>
      <c r="G923" s="38"/>
      <c r="H923" s="38"/>
      <c r="I923" s="38"/>
      <c r="J923" s="38"/>
      <c r="K923" s="38"/>
      <c r="L923" s="38"/>
      <c r="M923" s="38"/>
      <c r="N923" s="40"/>
      <c r="O923" s="40"/>
      <c r="P923" s="40"/>
      <c r="Q923" s="40"/>
      <c r="R923" s="40"/>
      <c r="S923" s="40"/>
      <c r="T923" s="40"/>
    </row>
    <row r="924" spans="1:20">
      <c r="A924" s="40"/>
      <c r="F924" s="38"/>
      <c r="G924" s="38"/>
      <c r="H924" s="38"/>
      <c r="I924" s="38"/>
      <c r="J924" s="38"/>
      <c r="K924" s="38"/>
      <c r="L924" s="38"/>
      <c r="M924" s="38"/>
      <c r="N924" s="40"/>
      <c r="O924" s="40"/>
      <c r="P924" s="40"/>
      <c r="Q924" s="40"/>
      <c r="R924" s="40"/>
      <c r="S924" s="40"/>
      <c r="T924" s="40"/>
    </row>
    <row r="925" spans="1:20">
      <c r="A925" s="40"/>
      <c r="F925" s="38"/>
      <c r="G925" s="38"/>
      <c r="H925" s="38"/>
      <c r="I925" s="38"/>
      <c r="J925" s="38"/>
      <c r="K925" s="38"/>
      <c r="L925" s="38"/>
      <c r="M925" s="38"/>
      <c r="N925" s="40"/>
      <c r="O925" s="40"/>
      <c r="P925" s="40"/>
      <c r="Q925" s="40"/>
      <c r="R925" s="40"/>
      <c r="S925" s="40"/>
      <c r="T925" s="40"/>
    </row>
    <row r="926" spans="1:20">
      <c r="A926" s="40"/>
      <c r="F926" s="38"/>
      <c r="G926" s="38"/>
      <c r="H926" s="38"/>
      <c r="I926" s="38"/>
      <c r="J926" s="38"/>
      <c r="K926" s="38"/>
      <c r="L926" s="38"/>
      <c r="M926" s="38"/>
      <c r="N926" s="40"/>
      <c r="O926" s="40"/>
      <c r="P926" s="40"/>
      <c r="Q926" s="40"/>
      <c r="R926" s="40"/>
      <c r="S926" s="40"/>
      <c r="T926" s="40"/>
    </row>
    <row r="927" spans="1:20">
      <c r="A927" s="40"/>
      <c r="F927" s="38"/>
      <c r="G927" s="38"/>
      <c r="H927" s="38"/>
      <c r="I927" s="38"/>
      <c r="J927" s="38"/>
      <c r="K927" s="38"/>
      <c r="L927" s="38"/>
      <c r="M927" s="38"/>
      <c r="N927" s="40"/>
      <c r="O927" s="40"/>
      <c r="P927" s="40"/>
      <c r="Q927" s="40"/>
      <c r="R927" s="40"/>
      <c r="S927" s="40"/>
      <c r="T927" s="40"/>
    </row>
    <row r="928" spans="1:20">
      <c r="A928" s="40"/>
      <c r="F928" s="38"/>
      <c r="G928" s="38"/>
      <c r="H928" s="38"/>
      <c r="I928" s="38"/>
      <c r="J928" s="38"/>
      <c r="K928" s="38"/>
      <c r="L928" s="38"/>
      <c r="M928" s="38"/>
      <c r="N928" s="40"/>
      <c r="O928" s="40"/>
      <c r="P928" s="40"/>
      <c r="Q928" s="40"/>
      <c r="R928" s="40"/>
      <c r="S928" s="40"/>
      <c r="T928" s="40"/>
    </row>
    <row r="929" spans="1:20">
      <c r="A929" s="40"/>
      <c r="F929" s="38"/>
      <c r="G929" s="38"/>
      <c r="H929" s="38"/>
      <c r="I929" s="38"/>
      <c r="J929" s="38"/>
      <c r="K929" s="38"/>
      <c r="L929" s="38"/>
      <c r="M929" s="38"/>
      <c r="N929" s="40"/>
      <c r="O929" s="40"/>
      <c r="P929" s="40"/>
      <c r="Q929" s="40"/>
      <c r="R929" s="40"/>
      <c r="S929" s="40"/>
      <c r="T929" s="40"/>
    </row>
    <row r="930" spans="1:20">
      <c r="A930" s="40"/>
      <c r="F930" s="38"/>
      <c r="G930" s="38"/>
      <c r="H930" s="38"/>
      <c r="I930" s="38"/>
      <c r="J930" s="38"/>
      <c r="K930" s="38"/>
      <c r="L930" s="38"/>
      <c r="M930" s="38"/>
      <c r="N930" s="40"/>
      <c r="O930" s="40"/>
      <c r="P930" s="40"/>
      <c r="Q930" s="40"/>
      <c r="R930" s="40"/>
      <c r="S930" s="40"/>
      <c r="T930" s="40"/>
    </row>
    <row r="931" spans="1:20">
      <c r="A931" s="40"/>
      <c r="F931" s="38"/>
      <c r="G931" s="38"/>
      <c r="H931" s="38"/>
      <c r="I931" s="38"/>
      <c r="J931" s="38"/>
      <c r="K931" s="38"/>
      <c r="L931" s="38"/>
      <c r="M931" s="38"/>
      <c r="N931" s="40"/>
      <c r="O931" s="40"/>
      <c r="P931" s="40"/>
      <c r="Q931" s="40"/>
      <c r="R931" s="40"/>
      <c r="S931" s="40"/>
      <c r="T931" s="40"/>
    </row>
    <row r="932" spans="1:20">
      <c r="A932" s="40"/>
      <c r="F932" s="38"/>
      <c r="G932" s="38"/>
      <c r="H932" s="38"/>
      <c r="I932" s="38"/>
      <c r="J932" s="38"/>
      <c r="K932" s="38"/>
      <c r="L932" s="38"/>
      <c r="M932" s="38"/>
      <c r="N932" s="40"/>
      <c r="O932" s="40"/>
      <c r="P932" s="40"/>
      <c r="Q932" s="40"/>
      <c r="R932" s="40"/>
      <c r="S932" s="40"/>
      <c r="T932" s="40"/>
    </row>
    <row r="933" spans="1:20">
      <c r="A933" s="40"/>
      <c r="F933" s="38"/>
      <c r="G933" s="38"/>
      <c r="H933" s="38"/>
      <c r="I933" s="38"/>
      <c r="J933" s="38"/>
      <c r="K933" s="38"/>
      <c r="L933" s="38"/>
      <c r="M933" s="38"/>
      <c r="N933" s="40"/>
      <c r="O933" s="40"/>
      <c r="P933" s="40"/>
      <c r="Q933" s="40"/>
      <c r="R933" s="40"/>
      <c r="S933" s="40"/>
      <c r="T933" s="40"/>
    </row>
    <row r="934" spans="1:20">
      <c r="A934" s="40"/>
      <c r="F934" s="38"/>
      <c r="G934" s="38"/>
      <c r="H934" s="38"/>
      <c r="I934" s="38"/>
      <c r="J934" s="38"/>
      <c r="K934" s="38"/>
      <c r="L934" s="38"/>
      <c r="M934" s="38"/>
      <c r="N934" s="40"/>
      <c r="O934" s="40"/>
      <c r="P934" s="40"/>
      <c r="Q934" s="40"/>
      <c r="R934" s="40"/>
      <c r="S934" s="40"/>
      <c r="T934" s="40"/>
    </row>
    <row r="935" spans="1:20">
      <c r="A935" s="40"/>
      <c r="F935" s="38"/>
      <c r="G935" s="38"/>
      <c r="H935" s="38"/>
      <c r="I935" s="38"/>
      <c r="J935" s="38"/>
      <c r="K935" s="38"/>
      <c r="L935" s="38"/>
      <c r="M935" s="38"/>
      <c r="N935" s="40"/>
      <c r="O935" s="40"/>
      <c r="P935" s="40"/>
      <c r="Q935" s="40"/>
      <c r="R935" s="40"/>
      <c r="S935" s="40"/>
      <c r="T935" s="40"/>
    </row>
    <row r="936" spans="1:20">
      <c r="A936" s="40"/>
      <c r="F936" s="38"/>
      <c r="G936" s="38"/>
      <c r="H936" s="38"/>
      <c r="I936" s="38"/>
      <c r="J936" s="38"/>
      <c r="K936" s="38"/>
      <c r="L936" s="38"/>
      <c r="M936" s="38"/>
      <c r="N936" s="40"/>
      <c r="O936" s="40"/>
      <c r="P936" s="40"/>
      <c r="Q936" s="40"/>
      <c r="R936" s="40"/>
      <c r="S936" s="40"/>
      <c r="T936" s="40"/>
    </row>
    <row r="937" spans="1:20">
      <c r="A937" s="40"/>
      <c r="F937" s="38"/>
      <c r="G937" s="38"/>
      <c r="H937" s="38"/>
      <c r="I937" s="38"/>
      <c r="J937" s="38"/>
      <c r="K937" s="38"/>
      <c r="L937" s="38"/>
      <c r="M937" s="38"/>
      <c r="N937" s="40"/>
      <c r="O937" s="40"/>
      <c r="P937" s="40"/>
      <c r="Q937" s="40"/>
      <c r="R937" s="40"/>
      <c r="S937" s="40"/>
      <c r="T937" s="40"/>
    </row>
    <row r="938" spans="1:20">
      <c r="A938" s="40"/>
      <c r="F938" s="38"/>
      <c r="G938" s="38"/>
      <c r="H938" s="38"/>
      <c r="I938" s="38"/>
      <c r="J938" s="38"/>
      <c r="K938" s="38"/>
      <c r="L938" s="38"/>
      <c r="M938" s="38"/>
      <c r="N938" s="40"/>
      <c r="O938" s="40"/>
      <c r="P938" s="40"/>
      <c r="Q938" s="40"/>
      <c r="R938" s="40"/>
      <c r="S938" s="40"/>
      <c r="T938" s="40"/>
    </row>
    <row r="939" spans="1:20">
      <c r="A939" s="40"/>
      <c r="F939" s="38"/>
      <c r="G939" s="38"/>
      <c r="H939" s="38"/>
      <c r="I939" s="38"/>
      <c r="J939" s="38"/>
      <c r="K939" s="38"/>
      <c r="L939" s="38"/>
      <c r="M939" s="38"/>
      <c r="N939" s="40"/>
      <c r="O939" s="40"/>
      <c r="P939" s="40"/>
      <c r="Q939" s="40"/>
      <c r="R939" s="40"/>
      <c r="S939" s="40"/>
      <c r="T939" s="40"/>
    </row>
    <row r="940" spans="1:20">
      <c r="A940" s="40"/>
      <c r="F940" s="38"/>
      <c r="G940" s="38"/>
      <c r="H940" s="38"/>
      <c r="I940" s="38"/>
      <c r="J940" s="38"/>
      <c r="K940" s="38"/>
      <c r="L940" s="38"/>
      <c r="M940" s="38"/>
      <c r="N940" s="40"/>
      <c r="O940" s="40"/>
      <c r="P940" s="40"/>
      <c r="Q940" s="40"/>
      <c r="R940" s="40"/>
      <c r="S940" s="40"/>
      <c r="T940" s="40"/>
    </row>
    <row r="941" spans="1:20">
      <c r="A941" s="40"/>
      <c r="F941" s="38"/>
      <c r="G941" s="38"/>
      <c r="H941" s="38"/>
      <c r="I941" s="38"/>
      <c r="J941" s="38"/>
      <c r="K941" s="38"/>
      <c r="L941" s="38"/>
      <c r="M941" s="38"/>
      <c r="N941" s="40"/>
      <c r="O941" s="40"/>
      <c r="P941" s="40"/>
      <c r="Q941" s="40"/>
      <c r="R941" s="40"/>
      <c r="S941" s="40"/>
      <c r="T941" s="40"/>
    </row>
    <row r="942" spans="1:20">
      <c r="A942" s="40"/>
      <c r="F942" s="38"/>
      <c r="G942" s="38"/>
      <c r="H942" s="38"/>
      <c r="I942" s="38"/>
      <c r="J942" s="38"/>
      <c r="K942" s="38"/>
      <c r="L942" s="38"/>
      <c r="M942" s="38"/>
      <c r="N942" s="40"/>
      <c r="O942" s="40"/>
      <c r="P942" s="40"/>
      <c r="Q942" s="40"/>
      <c r="R942" s="40"/>
      <c r="S942" s="40"/>
      <c r="T942" s="40"/>
    </row>
    <row r="943" spans="1:20">
      <c r="A943" s="40"/>
      <c r="F943" s="38"/>
      <c r="G943" s="38"/>
      <c r="H943" s="38"/>
      <c r="I943" s="38"/>
      <c r="J943" s="38"/>
      <c r="K943" s="38"/>
      <c r="L943" s="38"/>
      <c r="M943" s="38"/>
      <c r="N943" s="40"/>
      <c r="O943" s="40"/>
      <c r="P943" s="40"/>
      <c r="Q943" s="40"/>
      <c r="R943" s="40"/>
      <c r="S943" s="40"/>
      <c r="T943" s="40"/>
    </row>
    <row r="944" spans="1:20">
      <c r="A944" s="40"/>
      <c r="F944" s="38"/>
      <c r="G944" s="38"/>
      <c r="H944" s="38"/>
      <c r="I944" s="38"/>
      <c r="J944" s="38"/>
      <c r="K944" s="38"/>
      <c r="L944" s="38"/>
      <c r="M944" s="38"/>
      <c r="N944" s="40"/>
      <c r="O944" s="40"/>
      <c r="P944" s="40"/>
      <c r="Q944" s="40"/>
      <c r="R944" s="40"/>
      <c r="S944" s="40"/>
      <c r="T944" s="40"/>
    </row>
    <row r="945" spans="1:20">
      <c r="A945" s="40"/>
      <c r="F945" s="38"/>
      <c r="G945" s="38"/>
      <c r="H945" s="38"/>
      <c r="I945" s="38"/>
      <c r="J945" s="38"/>
      <c r="K945" s="38"/>
      <c r="L945" s="38"/>
      <c r="M945" s="38"/>
      <c r="N945" s="40"/>
      <c r="O945" s="40"/>
      <c r="P945" s="40"/>
      <c r="Q945" s="40"/>
      <c r="R945" s="40"/>
      <c r="S945" s="40"/>
      <c r="T945" s="40"/>
    </row>
    <row r="946" spans="1:20">
      <c r="A946" s="40"/>
      <c r="F946" s="38"/>
      <c r="G946" s="38"/>
      <c r="H946" s="38"/>
      <c r="I946" s="38"/>
      <c r="J946" s="38"/>
      <c r="K946" s="38"/>
      <c r="L946" s="38"/>
      <c r="M946" s="38"/>
      <c r="N946" s="40"/>
      <c r="O946" s="40"/>
      <c r="P946" s="40"/>
      <c r="Q946" s="40"/>
      <c r="R946" s="40"/>
      <c r="S946" s="40"/>
      <c r="T946" s="40"/>
    </row>
    <row r="947" spans="1:20">
      <c r="A947" s="40"/>
      <c r="F947" s="38"/>
      <c r="G947" s="38"/>
      <c r="H947" s="38"/>
      <c r="I947" s="38"/>
      <c r="J947" s="38"/>
      <c r="K947" s="38"/>
      <c r="L947" s="38"/>
      <c r="M947" s="38"/>
      <c r="N947" s="40"/>
      <c r="O947" s="40"/>
      <c r="P947" s="40"/>
      <c r="Q947" s="40"/>
      <c r="R947" s="40"/>
      <c r="S947" s="40"/>
      <c r="T947" s="40"/>
    </row>
    <row r="948" spans="1:20">
      <c r="A948" s="40"/>
      <c r="F948" s="38"/>
      <c r="G948" s="38"/>
      <c r="H948" s="38"/>
      <c r="I948" s="38"/>
      <c r="J948" s="38"/>
      <c r="K948" s="38"/>
      <c r="L948" s="38"/>
      <c r="M948" s="38"/>
      <c r="N948" s="40"/>
      <c r="O948" s="40"/>
      <c r="P948" s="40"/>
      <c r="Q948" s="40"/>
      <c r="R948" s="40"/>
      <c r="S948" s="40"/>
      <c r="T948" s="40"/>
    </row>
    <row r="949" spans="1:20">
      <c r="A949" s="40"/>
      <c r="F949" s="38"/>
      <c r="G949" s="38"/>
      <c r="H949" s="38"/>
      <c r="I949" s="38"/>
      <c r="J949" s="38"/>
      <c r="K949" s="38"/>
      <c r="L949" s="38"/>
      <c r="M949" s="38"/>
      <c r="N949" s="40"/>
      <c r="O949" s="40"/>
      <c r="P949" s="40"/>
      <c r="Q949" s="40"/>
      <c r="R949" s="40"/>
      <c r="S949" s="40"/>
      <c r="T949" s="40"/>
    </row>
    <row r="950" spans="1:20">
      <c r="A950" s="40"/>
      <c r="F950" s="38"/>
      <c r="G950" s="38"/>
      <c r="H950" s="38"/>
      <c r="I950" s="38"/>
      <c r="J950" s="38"/>
      <c r="K950" s="38"/>
      <c r="L950" s="38"/>
      <c r="M950" s="38"/>
      <c r="N950" s="40"/>
      <c r="O950" s="40"/>
      <c r="P950" s="40"/>
      <c r="Q950" s="40"/>
      <c r="R950" s="40"/>
      <c r="S950" s="40"/>
      <c r="T950" s="40"/>
    </row>
    <row r="951" spans="1:20">
      <c r="A951" s="40"/>
      <c r="F951" s="38"/>
      <c r="G951" s="38"/>
      <c r="H951" s="38"/>
      <c r="I951" s="38"/>
      <c r="J951" s="38"/>
      <c r="K951" s="38"/>
      <c r="L951" s="38"/>
      <c r="M951" s="38"/>
      <c r="N951" s="40"/>
      <c r="O951" s="40"/>
      <c r="P951" s="40"/>
      <c r="Q951" s="40"/>
      <c r="R951" s="40"/>
      <c r="S951" s="40"/>
      <c r="T951" s="40"/>
    </row>
    <row r="952" spans="1:20">
      <c r="A952" s="40"/>
      <c r="F952" s="38"/>
      <c r="G952" s="38"/>
      <c r="H952" s="38"/>
      <c r="I952" s="38"/>
      <c r="J952" s="38"/>
      <c r="K952" s="38"/>
      <c r="L952" s="38"/>
      <c r="M952" s="38"/>
      <c r="N952" s="40"/>
      <c r="O952" s="40"/>
      <c r="P952" s="40"/>
      <c r="Q952" s="40"/>
      <c r="R952" s="40"/>
      <c r="S952" s="40"/>
      <c r="T952" s="40"/>
    </row>
    <row r="953" spans="1:20">
      <c r="A953" s="40"/>
      <c r="F953" s="38"/>
      <c r="G953" s="38"/>
      <c r="H953" s="38"/>
      <c r="I953" s="38"/>
      <c r="J953" s="38"/>
      <c r="K953" s="38"/>
      <c r="L953" s="38"/>
      <c r="M953" s="38"/>
      <c r="N953" s="40"/>
      <c r="O953" s="40"/>
      <c r="P953" s="40"/>
      <c r="Q953" s="40"/>
      <c r="R953" s="40"/>
      <c r="S953" s="40"/>
      <c r="T953" s="40"/>
    </row>
    <row r="954" spans="1:20">
      <c r="A954" s="40"/>
      <c r="F954" s="38"/>
      <c r="G954" s="38"/>
      <c r="H954" s="38"/>
      <c r="I954" s="38"/>
      <c r="J954" s="38"/>
      <c r="K954" s="38"/>
      <c r="L954" s="38"/>
      <c r="M954" s="38"/>
      <c r="N954" s="40"/>
      <c r="O954" s="40"/>
      <c r="P954" s="40"/>
      <c r="Q954" s="40"/>
      <c r="R954" s="40"/>
      <c r="S954" s="40"/>
      <c r="T954" s="40"/>
    </row>
    <row r="955" spans="1:20">
      <c r="A955" s="40"/>
      <c r="F955" s="38"/>
      <c r="G955" s="38"/>
      <c r="H955" s="38"/>
      <c r="I955" s="38"/>
      <c r="J955" s="38"/>
      <c r="K955" s="38"/>
      <c r="L955" s="38"/>
      <c r="M955" s="38"/>
      <c r="N955" s="40"/>
      <c r="O955" s="40"/>
      <c r="P955" s="40"/>
      <c r="Q955" s="40"/>
      <c r="R955" s="40"/>
      <c r="S955" s="40"/>
      <c r="T955" s="40"/>
    </row>
    <row r="956" spans="1:20">
      <c r="A956" s="40"/>
      <c r="F956" s="38"/>
      <c r="G956" s="38"/>
      <c r="H956" s="38"/>
      <c r="I956" s="38"/>
      <c r="J956" s="38"/>
      <c r="K956" s="38"/>
      <c r="L956" s="38"/>
      <c r="M956" s="38"/>
      <c r="N956" s="40"/>
      <c r="O956" s="40"/>
      <c r="P956" s="40"/>
      <c r="Q956" s="40"/>
      <c r="R956" s="40"/>
      <c r="S956" s="40"/>
      <c r="T956" s="40"/>
    </row>
    <row r="957" spans="1:20">
      <c r="A957" s="40"/>
      <c r="F957" s="38"/>
      <c r="G957" s="38"/>
      <c r="H957" s="38"/>
      <c r="I957" s="38"/>
      <c r="J957" s="38"/>
      <c r="K957" s="38"/>
      <c r="L957" s="38"/>
      <c r="M957" s="38"/>
      <c r="N957" s="40"/>
      <c r="O957" s="40"/>
      <c r="P957" s="40"/>
      <c r="Q957" s="40"/>
      <c r="R957" s="40"/>
      <c r="S957" s="40"/>
      <c r="T957" s="40"/>
    </row>
    <row r="958" spans="1:20">
      <c r="A958" s="40"/>
      <c r="F958" s="38"/>
      <c r="G958" s="38"/>
      <c r="H958" s="38"/>
      <c r="I958" s="38"/>
      <c r="J958" s="38"/>
      <c r="K958" s="38"/>
      <c r="L958" s="38"/>
      <c r="M958" s="38"/>
      <c r="N958" s="40"/>
      <c r="O958" s="40"/>
      <c r="P958" s="40"/>
      <c r="Q958" s="40"/>
      <c r="R958" s="40"/>
      <c r="S958" s="40"/>
      <c r="T958" s="40"/>
    </row>
    <row r="959" spans="1:20">
      <c r="A959" s="40"/>
      <c r="F959" s="38"/>
      <c r="G959" s="38"/>
      <c r="H959" s="38"/>
      <c r="I959" s="38"/>
      <c r="J959" s="38"/>
      <c r="K959" s="38"/>
      <c r="L959" s="38"/>
      <c r="M959" s="38"/>
      <c r="N959" s="40"/>
      <c r="O959" s="40"/>
      <c r="P959" s="40"/>
      <c r="Q959" s="40"/>
      <c r="R959" s="40"/>
      <c r="S959" s="40"/>
      <c r="T959" s="40"/>
    </row>
    <row r="960" spans="1:20">
      <c r="A960" s="40"/>
      <c r="F960" s="38"/>
      <c r="G960" s="38"/>
      <c r="H960" s="38"/>
      <c r="I960" s="38"/>
      <c r="J960" s="38"/>
      <c r="K960" s="38"/>
      <c r="L960" s="38"/>
      <c r="M960" s="38"/>
      <c r="N960" s="40"/>
      <c r="O960" s="40"/>
      <c r="P960" s="40"/>
      <c r="Q960" s="40"/>
      <c r="R960" s="40"/>
      <c r="S960" s="40"/>
      <c r="T960" s="40"/>
    </row>
    <row r="961" spans="1:20">
      <c r="A961" s="40"/>
      <c r="F961" s="38"/>
      <c r="G961" s="38"/>
      <c r="H961" s="38"/>
      <c r="I961" s="38"/>
      <c r="J961" s="38"/>
      <c r="K961" s="38"/>
      <c r="L961" s="38"/>
      <c r="M961" s="38"/>
      <c r="N961" s="40"/>
      <c r="O961" s="40"/>
      <c r="P961" s="40"/>
      <c r="Q961" s="40"/>
      <c r="R961" s="40"/>
      <c r="S961" s="40"/>
      <c r="T961" s="40"/>
    </row>
    <row r="962" spans="1:20">
      <c r="A962" s="40"/>
      <c r="F962" s="38"/>
      <c r="G962" s="38"/>
      <c r="H962" s="38"/>
      <c r="I962" s="38"/>
      <c r="J962" s="38"/>
      <c r="K962" s="38"/>
      <c r="L962" s="38"/>
      <c r="M962" s="38"/>
      <c r="N962" s="40"/>
      <c r="O962" s="40"/>
      <c r="P962" s="40"/>
      <c r="Q962" s="40"/>
      <c r="R962" s="40"/>
      <c r="S962" s="40"/>
      <c r="T962" s="40"/>
    </row>
    <row r="963" spans="1:20">
      <c r="A963" s="40"/>
      <c r="F963" s="38"/>
      <c r="G963" s="38"/>
      <c r="H963" s="38"/>
      <c r="I963" s="38"/>
      <c r="J963" s="38"/>
      <c r="K963" s="38"/>
      <c r="L963" s="38"/>
      <c r="M963" s="38"/>
      <c r="N963" s="40"/>
      <c r="O963" s="40"/>
      <c r="P963" s="40"/>
      <c r="Q963" s="40"/>
      <c r="R963" s="40"/>
      <c r="S963" s="40"/>
      <c r="T963" s="40"/>
    </row>
    <row r="964" spans="1:20">
      <c r="A964" s="40"/>
      <c r="F964" s="38"/>
      <c r="G964" s="38"/>
      <c r="H964" s="38"/>
      <c r="I964" s="38"/>
      <c r="J964" s="38"/>
      <c r="K964" s="38"/>
      <c r="L964" s="38"/>
      <c r="M964" s="38"/>
      <c r="N964" s="40"/>
      <c r="O964" s="40"/>
      <c r="P964" s="40"/>
      <c r="Q964" s="40"/>
      <c r="R964" s="40"/>
      <c r="S964" s="40"/>
      <c r="T964" s="40"/>
    </row>
    <row r="965" spans="1:20">
      <c r="A965" s="40"/>
      <c r="F965" s="38"/>
      <c r="G965" s="38"/>
      <c r="H965" s="38"/>
      <c r="I965" s="38"/>
      <c r="J965" s="38"/>
      <c r="K965" s="38"/>
      <c r="L965" s="38"/>
      <c r="M965" s="38"/>
      <c r="N965" s="40"/>
      <c r="O965" s="40"/>
      <c r="P965" s="40"/>
      <c r="Q965" s="40"/>
      <c r="R965" s="40"/>
      <c r="S965" s="40"/>
      <c r="T965" s="40"/>
    </row>
    <row r="966" spans="1:20">
      <c r="A966" s="40"/>
      <c r="F966" s="38"/>
      <c r="G966" s="38"/>
      <c r="H966" s="38"/>
      <c r="I966" s="38"/>
      <c r="J966" s="38"/>
      <c r="K966" s="38"/>
      <c r="L966" s="38"/>
      <c r="M966" s="38"/>
      <c r="N966" s="40"/>
      <c r="O966" s="40"/>
      <c r="P966" s="40"/>
      <c r="Q966" s="40"/>
      <c r="R966" s="40"/>
      <c r="S966" s="40"/>
      <c r="T966" s="40"/>
    </row>
    <row r="967" spans="1:20">
      <c r="A967" s="40"/>
      <c r="F967" s="38"/>
      <c r="G967" s="38"/>
      <c r="H967" s="38"/>
      <c r="I967" s="38"/>
      <c r="J967" s="38"/>
      <c r="K967" s="38"/>
      <c r="L967" s="38"/>
      <c r="M967" s="38"/>
      <c r="N967" s="40"/>
      <c r="O967" s="40"/>
      <c r="P967" s="40"/>
      <c r="Q967" s="40"/>
      <c r="R967" s="40"/>
      <c r="S967" s="40"/>
      <c r="T967" s="40"/>
    </row>
    <row r="968" spans="1:20">
      <c r="A968" s="40"/>
      <c r="F968" s="38"/>
      <c r="G968" s="38"/>
      <c r="H968" s="38"/>
      <c r="I968" s="38"/>
      <c r="J968" s="38"/>
      <c r="K968" s="38"/>
      <c r="L968" s="38"/>
      <c r="M968" s="38"/>
      <c r="N968" s="40"/>
      <c r="O968" s="40"/>
      <c r="P968" s="40"/>
      <c r="Q968" s="40"/>
      <c r="R968" s="40"/>
      <c r="S968" s="40"/>
      <c r="T968" s="40"/>
    </row>
    <row r="969" spans="1:20">
      <c r="A969" s="40"/>
      <c r="F969" s="38"/>
      <c r="G969" s="38"/>
      <c r="H969" s="38"/>
      <c r="I969" s="38"/>
      <c r="J969" s="38"/>
      <c r="K969" s="38"/>
      <c r="L969" s="38"/>
      <c r="M969" s="38"/>
      <c r="N969" s="40"/>
      <c r="O969" s="40"/>
      <c r="P969" s="40"/>
      <c r="Q969" s="40"/>
      <c r="R969" s="40"/>
      <c r="S969" s="40"/>
      <c r="T969" s="40"/>
    </row>
    <row r="970" spans="1:20">
      <c r="A970" s="40"/>
      <c r="F970" s="38"/>
      <c r="G970" s="38"/>
      <c r="H970" s="38"/>
      <c r="I970" s="38"/>
      <c r="J970" s="38"/>
      <c r="K970" s="38"/>
      <c r="L970" s="38"/>
      <c r="M970" s="38"/>
      <c r="N970" s="40"/>
      <c r="O970" s="40"/>
      <c r="P970" s="40"/>
      <c r="Q970" s="40"/>
      <c r="R970" s="40"/>
      <c r="S970" s="40"/>
      <c r="T970" s="40"/>
    </row>
    <row r="971" spans="1:20">
      <c r="A971" s="40"/>
      <c r="F971" s="38"/>
      <c r="G971" s="38"/>
      <c r="H971" s="38"/>
      <c r="I971" s="38"/>
      <c r="J971" s="38"/>
      <c r="K971" s="38"/>
      <c r="L971" s="38"/>
      <c r="M971" s="38"/>
      <c r="N971" s="40"/>
      <c r="O971" s="40"/>
      <c r="P971" s="40"/>
      <c r="Q971" s="40"/>
      <c r="R971" s="40"/>
      <c r="S971" s="40"/>
      <c r="T971" s="40"/>
    </row>
    <row r="972" spans="1:20">
      <c r="A972" s="40"/>
      <c r="F972" s="38"/>
      <c r="G972" s="38"/>
      <c r="H972" s="38"/>
      <c r="I972" s="38"/>
      <c r="J972" s="38"/>
      <c r="K972" s="38"/>
      <c r="L972" s="38"/>
      <c r="M972" s="38"/>
      <c r="N972" s="40"/>
      <c r="O972" s="40"/>
      <c r="P972" s="40"/>
      <c r="Q972" s="40"/>
      <c r="R972" s="40"/>
      <c r="S972" s="40"/>
      <c r="T972" s="40"/>
    </row>
    <row r="973" spans="1:20">
      <c r="A973" s="40"/>
      <c r="F973" s="38"/>
      <c r="G973" s="38"/>
      <c r="H973" s="38"/>
      <c r="I973" s="38"/>
      <c r="J973" s="38"/>
      <c r="K973" s="38"/>
      <c r="L973" s="38"/>
      <c r="M973" s="38"/>
      <c r="N973" s="40"/>
      <c r="O973" s="40"/>
      <c r="P973" s="40"/>
      <c r="Q973" s="40"/>
      <c r="R973" s="40"/>
      <c r="S973" s="40"/>
      <c r="T973" s="40"/>
    </row>
    <row r="974" spans="1:20">
      <c r="A974" s="40"/>
      <c r="F974" s="38"/>
      <c r="G974" s="38"/>
      <c r="H974" s="38"/>
      <c r="I974" s="38"/>
      <c r="J974" s="38"/>
      <c r="K974" s="38"/>
      <c r="L974" s="38"/>
      <c r="M974" s="38"/>
      <c r="N974" s="40"/>
      <c r="O974" s="40"/>
      <c r="P974" s="40"/>
      <c r="Q974" s="40"/>
      <c r="R974" s="40"/>
      <c r="S974" s="40"/>
      <c r="T974" s="40"/>
    </row>
    <row r="975" spans="1:20">
      <c r="A975" s="40"/>
      <c r="F975" s="38"/>
      <c r="G975" s="38"/>
      <c r="H975" s="38"/>
      <c r="I975" s="38"/>
      <c r="J975" s="38"/>
      <c r="K975" s="38"/>
      <c r="L975" s="38"/>
      <c r="M975" s="38"/>
      <c r="N975" s="40"/>
      <c r="O975" s="40"/>
      <c r="P975" s="40"/>
      <c r="Q975" s="40"/>
      <c r="R975" s="40"/>
      <c r="S975" s="40"/>
      <c r="T975" s="40"/>
    </row>
    <row r="976" spans="1:20">
      <c r="A976" s="40"/>
      <c r="F976" s="38"/>
      <c r="G976" s="38"/>
      <c r="H976" s="38"/>
      <c r="I976" s="38"/>
      <c r="J976" s="38"/>
      <c r="K976" s="38"/>
      <c r="L976" s="38"/>
      <c r="M976" s="38"/>
      <c r="N976" s="40"/>
      <c r="O976" s="40"/>
      <c r="P976" s="40"/>
      <c r="Q976" s="40"/>
      <c r="R976" s="40"/>
      <c r="S976" s="40"/>
      <c r="T976" s="40"/>
    </row>
    <row r="977" spans="1:20">
      <c r="A977" s="40"/>
      <c r="F977" s="38"/>
      <c r="G977" s="38"/>
      <c r="H977" s="38"/>
      <c r="I977" s="38"/>
      <c r="J977" s="38"/>
      <c r="K977" s="38"/>
      <c r="L977" s="38"/>
      <c r="M977" s="38"/>
      <c r="N977" s="40"/>
      <c r="O977" s="40"/>
      <c r="P977" s="40"/>
      <c r="Q977" s="40"/>
      <c r="R977" s="40"/>
      <c r="S977" s="40"/>
      <c r="T977" s="40"/>
    </row>
    <row r="978" spans="1:20">
      <c r="A978" s="40"/>
      <c r="F978" s="38"/>
      <c r="G978" s="38"/>
      <c r="H978" s="38"/>
      <c r="I978" s="38"/>
      <c r="J978" s="38"/>
      <c r="K978" s="38"/>
      <c r="L978" s="38"/>
      <c r="M978" s="38"/>
      <c r="N978" s="40"/>
      <c r="O978" s="40"/>
      <c r="P978" s="40"/>
      <c r="Q978" s="40"/>
      <c r="R978" s="40"/>
      <c r="S978" s="40"/>
      <c r="T978" s="40"/>
    </row>
    <row r="979" spans="1:20">
      <c r="A979" s="40"/>
      <c r="F979" s="38"/>
      <c r="G979" s="38"/>
      <c r="H979" s="38"/>
      <c r="I979" s="38"/>
      <c r="J979" s="38"/>
      <c r="K979" s="38"/>
      <c r="L979" s="38"/>
      <c r="M979" s="38"/>
      <c r="N979" s="40"/>
      <c r="O979" s="40"/>
      <c r="P979" s="40"/>
      <c r="Q979" s="40"/>
      <c r="R979" s="40"/>
      <c r="S979" s="40"/>
      <c r="T979" s="40"/>
    </row>
    <row r="980" spans="1:20">
      <c r="A980" s="40"/>
      <c r="F980" s="38"/>
      <c r="G980" s="38"/>
      <c r="H980" s="38"/>
      <c r="I980" s="38"/>
      <c r="J980" s="38"/>
      <c r="K980" s="38"/>
      <c r="L980" s="38"/>
      <c r="M980" s="38"/>
      <c r="N980" s="40"/>
      <c r="O980" s="40"/>
      <c r="P980" s="40"/>
      <c r="Q980" s="40"/>
      <c r="R980" s="40"/>
      <c r="S980" s="40"/>
      <c r="T980" s="40"/>
    </row>
    <row r="981" spans="1:20">
      <c r="A981" s="40"/>
      <c r="F981" s="38"/>
      <c r="G981" s="38"/>
      <c r="H981" s="38"/>
      <c r="I981" s="38"/>
      <c r="J981" s="38"/>
      <c r="K981" s="38"/>
      <c r="L981" s="38"/>
      <c r="M981" s="38"/>
      <c r="N981" s="40"/>
      <c r="O981" s="40"/>
      <c r="P981" s="40"/>
      <c r="Q981" s="40"/>
      <c r="R981" s="40"/>
      <c r="S981" s="40"/>
      <c r="T981" s="40"/>
    </row>
    <row r="982" spans="1:20">
      <c r="A982" s="40"/>
      <c r="F982" s="38"/>
      <c r="G982" s="38"/>
      <c r="H982" s="38"/>
      <c r="I982" s="38"/>
      <c r="J982" s="38"/>
      <c r="K982" s="38"/>
      <c r="L982" s="38"/>
      <c r="M982" s="38"/>
      <c r="N982" s="40"/>
      <c r="O982" s="40"/>
      <c r="P982" s="40"/>
      <c r="Q982" s="40"/>
      <c r="R982" s="40"/>
      <c r="S982" s="40"/>
      <c r="T982" s="40"/>
    </row>
    <row r="983" spans="1:20">
      <c r="A983" s="40"/>
      <c r="F983" s="38"/>
      <c r="G983" s="38"/>
      <c r="H983" s="38"/>
      <c r="I983" s="38"/>
      <c r="J983" s="38"/>
      <c r="K983" s="38"/>
      <c r="L983" s="38"/>
      <c r="M983" s="38"/>
      <c r="N983" s="40"/>
      <c r="O983" s="40"/>
      <c r="P983" s="40"/>
      <c r="Q983" s="40"/>
      <c r="R983" s="40"/>
      <c r="S983" s="40"/>
      <c r="T983" s="40"/>
    </row>
    <row r="984" spans="1:20">
      <c r="A984" s="40"/>
      <c r="F984" s="38"/>
      <c r="G984" s="38"/>
      <c r="H984" s="38"/>
      <c r="I984" s="38"/>
      <c r="J984" s="38"/>
      <c r="K984" s="38"/>
      <c r="L984" s="38"/>
      <c r="M984" s="38"/>
      <c r="N984" s="40"/>
      <c r="O984" s="40"/>
      <c r="P984" s="40"/>
      <c r="Q984" s="40"/>
      <c r="R984" s="40"/>
      <c r="S984" s="40"/>
      <c r="T984" s="40"/>
    </row>
    <row r="985" spans="1:20">
      <c r="A985" s="40"/>
      <c r="F985" s="38"/>
      <c r="G985" s="38"/>
      <c r="H985" s="38"/>
      <c r="I985" s="38"/>
      <c r="J985" s="38"/>
      <c r="K985" s="38"/>
      <c r="L985" s="38"/>
      <c r="M985" s="38"/>
      <c r="N985" s="40"/>
      <c r="O985" s="40"/>
      <c r="P985" s="40"/>
      <c r="Q985" s="40"/>
      <c r="R985" s="40"/>
      <c r="S985" s="40"/>
      <c r="T985" s="40"/>
    </row>
    <row r="986" spans="1:20">
      <c r="A986" s="40"/>
      <c r="F986" s="38"/>
      <c r="G986" s="38"/>
      <c r="H986" s="38"/>
      <c r="I986" s="38"/>
      <c r="J986" s="38"/>
      <c r="K986" s="38"/>
      <c r="L986" s="38"/>
      <c r="M986" s="38"/>
      <c r="N986" s="40"/>
      <c r="O986" s="40"/>
      <c r="P986" s="40"/>
      <c r="Q986" s="40"/>
      <c r="R986" s="40"/>
      <c r="S986" s="40"/>
      <c r="T986" s="40"/>
    </row>
    <row r="987" spans="1:20">
      <c r="A987" s="40"/>
      <c r="F987" s="38"/>
      <c r="G987" s="38"/>
      <c r="H987" s="38"/>
      <c r="I987" s="38"/>
      <c r="J987" s="38"/>
      <c r="K987" s="38"/>
      <c r="L987" s="38"/>
      <c r="M987" s="38"/>
      <c r="N987" s="40"/>
      <c r="O987" s="40"/>
      <c r="P987" s="40"/>
      <c r="Q987" s="40"/>
      <c r="R987" s="40"/>
      <c r="S987" s="40"/>
      <c r="T987" s="40"/>
    </row>
    <row r="988" spans="1:20">
      <c r="A988" s="40"/>
      <c r="F988" s="38"/>
      <c r="G988" s="38"/>
      <c r="H988" s="38"/>
      <c r="I988" s="38"/>
      <c r="J988" s="38"/>
      <c r="K988" s="38"/>
      <c r="L988" s="38"/>
      <c r="M988" s="38"/>
      <c r="N988" s="40"/>
      <c r="O988" s="40"/>
      <c r="P988" s="40"/>
      <c r="Q988" s="40"/>
      <c r="R988" s="40"/>
      <c r="S988" s="40"/>
      <c r="T988" s="40"/>
    </row>
    <row r="989" spans="1:20">
      <c r="A989" s="40"/>
      <c r="F989" s="38"/>
      <c r="G989" s="38"/>
      <c r="H989" s="38"/>
      <c r="I989" s="38"/>
      <c r="J989" s="38"/>
      <c r="K989" s="38"/>
      <c r="L989" s="38"/>
      <c r="M989" s="38"/>
      <c r="N989" s="40"/>
      <c r="O989" s="40"/>
      <c r="P989" s="40"/>
      <c r="Q989" s="40"/>
      <c r="R989" s="40"/>
      <c r="S989" s="40"/>
      <c r="T989" s="40"/>
    </row>
    <row r="990" spans="1:20">
      <c r="A990" s="40"/>
      <c r="F990" s="38"/>
      <c r="G990" s="38"/>
      <c r="H990" s="38"/>
      <c r="I990" s="38"/>
      <c r="J990" s="38"/>
      <c r="K990" s="38"/>
      <c r="L990" s="38"/>
      <c r="M990" s="38"/>
      <c r="N990" s="40"/>
      <c r="O990" s="40"/>
      <c r="P990" s="40"/>
      <c r="Q990" s="40"/>
      <c r="R990" s="40"/>
      <c r="S990" s="40"/>
      <c r="T990" s="40"/>
    </row>
    <row r="991" spans="1:20">
      <c r="A991" s="40"/>
      <c r="F991" s="38"/>
      <c r="G991" s="38"/>
      <c r="H991" s="38"/>
      <c r="I991" s="38"/>
      <c r="J991" s="38"/>
      <c r="K991" s="38"/>
      <c r="L991" s="38"/>
      <c r="M991" s="38"/>
      <c r="N991" s="40"/>
      <c r="O991" s="40"/>
      <c r="P991" s="40"/>
      <c r="Q991" s="40"/>
      <c r="R991" s="40"/>
      <c r="S991" s="40"/>
      <c r="T991" s="40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703125" defaultRowHeight="15.75" customHeight="1"/>
  <cols>
    <col min="1" max="1" width="9.7109375" customWidth="1"/>
    <col min="2" max="2" width="16" customWidth="1"/>
  </cols>
  <sheetData>
    <row r="1" spans="1:14">
      <c r="A1" s="21"/>
      <c r="B1" s="22"/>
      <c r="C1" s="22"/>
      <c r="D1" s="22"/>
      <c r="E1" s="22"/>
      <c r="F1" s="23"/>
      <c r="G1" s="23"/>
      <c r="H1" s="23"/>
      <c r="I1" s="24" t="s">
        <v>54</v>
      </c>
      <c r="J1" s="24" t="s">
        <v>55</v>
      </c>
      <c r="K1" s="24" t="s">
        <v>57</v>
      </c>
      <c r="L1" s="24" t="s">
        <v>58</v>
      </c>
      <c r="M1" s="25" t="s">
        <v>59</v>
      </c>
      <c r="N1" t="s">
        <v>487</v>
      </c>
    </row>
    <row r="2" spans="1:14">
      <c r="A2" s="21"/>
      <c r="B2" s="22"/>
      <c r="C2" s="22"/>
      <c r="D2" s="22"/>
      <c r="E2" s="22"/>
      <c r="F2" s="23"/>
      <c r="G2" s="23"/>
      <c r="H2" s="23"/>
      <c r="I2" s="24" t="s">
        <v>98</v>
      </c>
      <c r="J2" s="24" t="s">
        <v>98</v>
      </c>
      <c r="K2" s="24" t="s">
        <v>98</v>
      </c>
      <c r="L2" s="24" t="s">
        <v>98</v>
      </c>
      <c r="M2" s="24" t="s">
        <v>98</v>
      </c>
      <c r="N2" t="s">
        <v>93</v>
      </c>
    </row>
    <row r="3" spans="1:14">
      <c r="A3" s="26"/>
      <c r="B3" s="26"/>
      <c r="C3" s="27"/>
      <c r="D3" s="27"/>
      <c r="E3" s="27"/>
      <c r="F3" s="28"/>
      <c r="G3" s="28"/>
      <c r="H3" s="28"/>
      <c r="I3" s="29">
        <f ca="1">DATEDIF(I4,NOW(),"M")</f>
        <v>7</v>
      </c>
      <c r="J3" s="29">
        <f ca="1">DATEDIF(J4,NOW(),"M")</f>
        <v>5</v>
      </c>
      <c r="K3" s="29">
        <f ca="1">DATEDIF(K4,NOW(),"M")</f>
        <v>4</v>
      </c>
      <c r="L3" s="29">
        <f ca="1">DATEDIF(L4,NOW(),"M")</f>
        <v>2</v>
      </c>
      <c r="M3" s="30">
        <f ca="1">DATEDIF(M4,NOW(),"M")</f>
        <v>1</v>
      </c>
    </row>
    <row r="4" spans="1:14">
      <c r="A4" s="26"/>
      <c r="B4" s="26"/>
      <c r="C4" s="60" t="s">
        <v>101</v>
      </c>
      <c r="D4" s="61"/>
      <c r="E4" s="62"/>
      <c r="F4" s="31"/>
      <c r="G4" s="31"/>
      <c r="H4" s="31"/>
      <c r="I4" s="32">
        <v>45689</v>
      </c>
      <c r="J4" s="32">
        <v>45748</v>
      </c>
      <c r="K4" s="32">
        <v>45778</v>
      </c>
      <c r="L4" s="32">
        <v>45839</v>
      </c>
      <c r="M4" s="33">
        <v>45870</v>
      </c>
    </row>
    <row r="5" spans="1:14">
      <c r="A5" s="26"/>
      <c r="B5" s="26"/>
      <c r="C5" s="63"/>
      <c r="D5" s="64"/>
      <c r="E5" s="65"/>
      <c r="F5" s="34"/>
      <c r="G5" s="34"/>
      <c r="H5" s="34"/>
      <c r="I5" s="29">
        <v>2025</v>
      </c>
      <c r="J5" s="29">
        <v>2025</v>
      </c>
      <c r="K5" s="29">
        <v>2025</v>
      </c>
      <c r="L5" s="29">
        <v>2025</v>
      </c>
      <c r="M5" s="30">
        <v>2025</v>
      </c>
    </row>
    <row r="6" spans="1:14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42"/>
      <c r="G6" s="42"/>
      <c r="H6" s="42"/>
      <c r="I6" s="37" t="s">
        <v>15</v>
      </c>
      <c r="J6" s="37" t="s">
        <v>15</v>
      </c>
      <c r="K6" s="37" t="s">
        <v>107</v>
      </c>
      <c r="L6" s="37" t="s">
        <v>15</v>
      </c>
      <c r="M6" s="30" t="s">
        <v>107</v>
      </c>
      <c r="N6" t="s">
        <v>18</v>
      </c>
    </row>
    <row r="7" spans="1:14">
      <c r="A7" s="38">
        <v>1</v>
      </c>
      <c r="B7" s="41" t="s">
        <v>26</v>
      </c>
      <c r="C7" s="38">
        <f ca="1">COUNTIFS(G7:M7,"&gt;0",$G$3:M$3,"&lt;13")</f>
        <v>1</v>
      </c>
      <c r="D7" s="38">
        <f ca="1">SUMIF($G$3:M$3,"&lt;13",G7:M7)</f>
        <v>250</v>
      </c>
      <c r="E7" s="38">
        <f ca="1">IFERROR(__xludf.DUMMYFUNCTION("ARRAY_CONSTRAIN(ARRAYFORMULA(SUMPRODUCT(LARGE(FILTER(G7:M7, G$3:M$3 &lt; 13),{1,2,3,4,5,6,7}))), 1, 1)"),250)</f>
        <v>250</v>
      </c>
      <c r="F7" s="43">
        <v>0</v>
      </c>
      <c r="G7" s="43">
        <v>0</v>
      </c>
      <c r="H7" s="43">
        <v>0</v>
      </c>
      <c r="I7" s="40">
        <v>0</v>
      </c>
      <c r="J7" s="40">
        <v>0</v>
      </c>
      <c r="K7" s="40">
        <v>0</v>
      </c>
      <c r="L7" s="40">
        <v>250</v>
      </c>
      <c r="M7" s="40">
        <v>0</v>
      </c>
      <c r="N7">
        <v>80</v>
      </c>
    </row>
    <row r="8" spans="1:14">
      <c r="A8" s="38">
        <v>2</v>
      </c>
      <c r="B8" s="39" t="s">
        <v>112</v>
      </c>
      <c r="C8" s="38">
        <f ca="1">COUNTIFS(G8:M8,"&gt;0",$G$3:M$3,"&lt;13")</f>
        <v>1</v>
      </c>
      <c r="D8" s="38">
        <f ca="1">SUMIF($G$3:M$3,"&lt;13",G8:M8)</f>
        <v>240</v>
      </c>
      <c r="E8" s="38">
        <f ca="1">IFERROR(__xludf.DUMMYFUNCTION("ARRAY_CONSTRAIN(ARRAYFORMULA(SUMPRODUCT(LARGE(FILTER(G8:M8, G$3:M$3 &lt; 13),{1,2,3,4,5,6,7}))), 1, 1)"),240)</f>
        <v>240</v>
      </c>
      <c r="F8" s="43">
        <v>0</v>
      </c>
      <c r="G8" s="43">
        <v>0</v>
      </c>
      <c r="H8" s="43">
        <v>0</v>
      </c>
      <c r="I8" s="40">
        <v>240</v>
      </c>
      <c r="J8" s="40">
        <v>0</v>
      </c>
      <c r="K8" s="40">
        <v>0</v>
      </c>
      <c r="L8" s="40">
        <v>0</v>
      </c>
      <c r="M8" s="40">
        <v>0</v>
      </c>
      <c r="N8">
        <v>0</v>
      </c>
    </row>
    <row r="9" spans="1:14">
      <c r="A9" s="38">
        <v>3</v>
      </c>
      <c r="B9" s="39" t="s">
        <v>120</v>
      </c>
      <c r="C9" s="38">
        <f ca="1">COUNTIFS(G9:M9,"&gt;0",$G$3:M$3,"&lt;13")</f>
        <v>1</v>
      </c>
      <c r="D9" s="38">
        <f ca="1">SUMIF($G$3:M$3,"&lt;13",G9:M9)</f>
        <v>240</v>
      </c>
      <c r="E9" s="38">
        <f ca="1">IFERROR(__xludf.DUMMYFUNCTION("ARRAY_CONSTRAIN(ARRAYFORMULA(SUMPRODUCT(LARGE(FILTER(G9:M9, G$3:M$3 &lt; 13),{1,2,3,4,5,6,7}))), 1, 1)"),240)</f>
        <v>240</v>
      </c>
      <c r="F9" s="43">
        <v>0</v>
      </c>
      <c r="G9" s="43">
        <v>0</v>
      </c>
      <c r="H9" s="43">
        <v>0</v>
      </c>
      <c r="I9" s="40">
        <v>240</v>
      </c>
      <c r="J9" s="40">
        <v>0</v>
      </c>
      <c r="K9" s="40">
        <v>0</v>
      </c>
      <c r="L9" s="40">
        <v>0</v>
      </c>
      <c r="M9" s="40">
        <v>0</v>
      </c>
      <c r="N9">
        <v>0</v>
      </c>
    </row>
    <row r="10" spans="1:14">
      <c r="A10" s="38">
        <v>4</v>
      </c>
      <c r="B10" s="39" t="s">
        <v>22</v>
      </c>
      <c r="C10" s="38">
        <f ca="1">COUNTIFS(G10:M10,"&gt;0",$G$3:M$3,"&lt;13")</f>
        <v>1</v>
      </c>
      <c r="D10" s="38">
        <f ca="1">SUMIF($G$3:M$3,"&lt;13",G10:M10)</f>
        <v>240</v>
      </c>
      <c r="E10" s="38">
        <f ca="1">IFERROR(__xludf.DUMMYFUNCTION("ARRAY_CONSTRAIN(ARRAYFORMULA(SUMPRODUCT(LARGE(FILTER(G10:M10, G$3:M$3 &lt; 13),{1,2,3,4,5,6,7}))), 1, 1)"),240)</f>
        <v>240</v>
      </c>
      <c r="F10" s="43">
        <v>0</v>
      </c>
      <c r="G10" s="43">
        <v>0</v>
      </c>
      <c r="H10" s="43">
        <v>0</v>
      </c>
      <c r="I10" s="40">
        <v>0</v>
      </c>
      <c r="J10" s="40">
        <v>240</v>
      </c>
      <c r="K10" s="40">
        <v>0</v>
      </c>
      <c r="L10" s="40">
        <v>0</v>
      </c>
      <c r="M10" s="40">
        <v>0</v>
      </c>
      <c r="N10">
        <v>0</v>
      </c>
    </row>
    <row r="11" spans="1:14">
      <c r="A11" s="38">
        <v>5</v>
      </c>
      <c r="B11" s="39" t="s">
        <v>115</v>
      </c>
      <c r="C11" s="38">
        <f ca="1">COUNTIFS(G11:M11,"&gt;0",$G$3:M$3,"&lt;13")</f>
        <v>1</v>
      </c>
      <c r="D11" s="38">
        <f ca="1">SUMIF($G$3:M$3,"&lt;13",G11:M11)</f>
        <v>200</v>
      </c>
      <c r="E11" s="38">
        <f ca="1">IFERROR(__xludf.DUMMYFUNCTION("ARRAY_CONSTRAIN(ARRAYFORMULA(SUMPRODUCT(LARGE(FILTER(G11:M11, G$3:M$3 &lt; 13),{1,2,3,4,5,6,7}))), 1, 1)"),200)</f>
        <v>200</v>
      </c>
      <c r="F11" s="43">
        <v>0</v>
      </c>
      <c r="G11" s="43">
        <v>0</v>
      </c>
      <c r="H11" s="43">
        <v>0</v>
      </c>
      <c r="I11" s="40">
        <v>0</v>
      </c>
      <c r="J11" s="40">
        <v>0</v>
      </c>
      <c r="K11" s="40">
        <v>0</v>
      </c>
      <c r="L11" s="40">
        <v>200</v>
      </c>
      <c r="M11" s="40">
        <v>0</v>
      </c>
      <c r="N11">
        <v>0</v>
      </c>
    </row>
    <row r="12" spans="1:14">
      <c r="A12" s="38">
        <v>6</v>
      </c>
      <c r="B12" s="39" t="s">
        <v>174</v>
      </c>
      <c r="C12" s="38">
        <f ca="1">COUNTIFS(G12:M12,"&gt;0",$G$3:M$3,"&lt;13")</f>
        <v>1</v>
      </c>
      <c r="D12" s="38">
        <f ca="1">SUMIF($G$3:M$3,"&lt;13",G12:M12)</f>
        <v>180</v>
      </c>
      <c r="E12" s="38">
        <f ca="1">IFERROR(__xludf.DUMMYFUNCTION("ARRAY_CONSTRAIN(ARRAYFORMULA(SUMPRODUCT(LARGE(FILTER(G12:M12, G$3:M$3 &lt; 13),{1,2,3,4,5,6,7}))), 1, 1)"),180)</f>
        <v>180</v>
      </c>
      <c r="F12" s="43">
        <v>0</v>
      </c>
      <c r="G12" s="43">
        <v>0</v>
      </c>
      <c r="H12" s="43">
        <v>0</v>
      </c>
      <c r="I12" s="40">
        <v>180</v>
      </c>
      <c r="J12" s="40">
        <v>0</v>
      </c>
      <c r="K12" s="40">
        <v>0</v>
      </c>
      <c r="L12" s="40">
        <v>0</v>
      </c>
      <c r="M12" s="40">
        <v>0</v>
      </c>
      <c r="N12">
        <v>0</v>
      </c>
    </row>
    <row r="13" spans="1:14">
      <c r="A13" s="38">
        <v>7</v>
      </c>
      <c r="B13" s="41" t="s">
        <v>110</v>
      </c>
      <c r="C13" s="38">
        <f>COUNTIFS(G13:M13,"&gt;0",$G$3:M$3,"&lt;13")</f>
        <v>0</v>
      </c>
      <c r="D13" s="38">
        <f ca="1">SUMIF($G$3:M$3,"&lt;13",G13:M13)</f>
        <v>0</v>
      </c>
      <c r="E13" s="38">
        <f ca="1">IFERROR(__xludf.DUMMYFUNCTION("ARRAY_CONSTRAIN(ARRAYFORMULA(SUMPRODUCT(LARGE(FILTER(G13:M13, G$3:M$3 &lt; 13),{1,2,3,4,5,6,7}))), 1, 1)"),0)</f>
        <v>0</v>
      </c>
      <c r="F13" s="43">
        <v>0</v>
      </c>
      <c r="G13" s="43">
        <v>0</v>
      </c>
      <c r="H13" s="43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>
        <v>0</v>
      </c>
    </row>
    <row r="14" spans="1:14">
      <c r="A14" s="38">
        <v>8</v>
      </c>
      <c r="B14" s="39" t="s">
        <v>168</v>
      </c>
      <c r="C14" s="38">
        <f>COUNTIFS(G14:M14,"&gt;0",$G$3:M$3,"&lt;13")</f>
        <v>0</v>
      </c>
      <c r="D14" s="38">
        <f ca="1">SUMIF($G$3:M$3,"&lt;13",G14:M14)</f>
        <v>0</v>
      </c>
      <c r="E14" s="38">
        <f ca="1">IFERROR(__xludf.DUMMYFUNCTION("ARRAY_CONSTRAIN(ARRAYFORMULA(SUMPRODUCT(LARGE(FILTER(G14:M14, G$3:M$3 &lt; 13),{1,2,3,4,5,6,7}))), 1, 1)"),0)</f>
        <v>0</v>
      </c>
      <c r="F14" s="43">
        <v>0</v>
      </c>
      <c r="G14" s="43">
        <v>0</v>
      </c>
      <c r="H14" s="43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>
        <v>0</v>
      </c>
    </row>
    <row r="15" spans="1:14">
      <c r="A15" s="38">
        <v>9</v>
      </c>
      <c r="B15" s="39" t="s">
        <v>23</v>
      </c>
      <c r="C15" s="38">
        <f>COUNTIFS(G15:M15,"&gt;0",$G$3:M$3,"&lt;13")</f>
        <v>0</v>
      </c>
      <c r="D15" s="38">
        <f ca="1">SUMIF($G$3:M$3,"&lt;13",G15:M15)</f>
        <v>0</v>
      </c>
      <c r="E15" s="38">
        <f ca="1">IFERROR(__xludf.DUMMYFUNCTION("ARRAY_CONSTRAIN(ARRAYFORMULA(SUMPRODUCT(LARGE(FILTER(G15:M15, G$3:M$3 &lt; 13),{1,2,3,4,5,6,7}))), 1, 1)"),0)</f>
        <v>0</v>
      </c>
      <c r="F15" s="43">
        <v>0</v>
      </c>
      <c r="G15" s="43">
        <v>0</v>
      </c>
      <c r="H15" s="43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>
        <v>90</v>
      </c>
    </row>
    <row r="16" spans="1:14">
      <c r="A16" s="38">
        <v>10</v>
      </c>
      <c r="B16" s="39" t="s">
        <v>121</v>
      </c>
      <c r="C16" s="38">
        <f>COUNTIFS(G16:M16,"&gt;0",$G$3:M$3,"&lt;13")</f>
        <v>0</v>
      </c>
      <c r="D16" s="38">
        <f ca="1">SUMIF($G$3:M$3,"&lt;13",G16:M16)</f>
        <v>0</v>
      </c>
      <c r="E16" s="38">
        <f ca="1">IFERROR(__xludf.DUMMYFUNCTION("ARRAY_CONSTRAIN(ARRAYFORMULA(SUMPRODUCT(LARGE(FILTER(G16:M16, G$3:M$3 &lt; 13),{1,2,3,4,5,6,7}))), 1, 1)"),0)</f>
        <v>0</v>
      </c>
      <c r="F16" s="43">
        <v>0</v>
      </c>
      <c r="G16" s="43">
        <v>0</v>
      </c>
      <c r="H16" s="43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>
        <v>0</v>
      </c>
    </row>
    <row r="17" spans="1:14">
      <c r="A17" s="38">
        <v>11</v>
      </c>
      <c r="B17" s="39" t="s">
        <v>111</v>
      </c>
      <c r="C17" s="38">
        <f>COUNTIFS(G17:M17,"&gt;0",$G$3:M$3,"&lt;13")</f>
        <v>0</v>
      </c>
      <c r="D17" s="38">
        <f ca="1">SUMIF($G$3:M$3,"&lt;13",G17:M17)</f>
        <v>0</v>
      </c>
      <c r="E17" s="38">
        <f ca="1">IFERROR(__xludf.DUMMYFUNCTION("ARRAY_CONSTRAIN(ARRAYFORMULA(SUMPRODUCT(LARGE(FILTER(G17:M17, G$3:M$3 &lt; 13),{1,2,3,4,5,6,7}))), 1, 1)"),0)</f>
        <v>0</v>
      </c>
      <c r="F17" s="43">
        <v>0</v>
      </c>
      <c r="G17" s="43">
        <v>0</v>
      </c>
      <c r="H17" s="43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>
        <v>100</v>
      </c>
    </row>
    <row r="18" spans="1:14">
      <c r="A18" s="38">
        <v>12</v>
      </c>
      <c r="B18" s="41" t="s">
        <v>169</v>
      </c>
      <c r="C18" s="38">
        <f>COUNTIFS(G18:M18,"&gt;0",$G$3:M$3,"&lt;13")</f>
        <v>0</v>
      </c>
      <c r="D18" s="38">
        <f ca="1">SUMIF($G$3:M$3,"&lt;13",G18:M18)</f>
        <v>0</v>
      </c>
      <c r="E18" s="38">
        <f ca="1">IFERROR(__xludf.DUMMYFUNCTION("ARRAY_CONSTRAIN(ARRAYFORMULA(SUMPRODUCT(LARGE(FILTER(G18:M18, G$3:M$3 &lt; 13),{1,2,3,4,5,6,7}))), 1, 1)"),0)</f>
        <v>0</v>
      </c>
      <c r="F18" s="43">
        <v>0</v>
      </c>
      <c r="G18" s="43">
        <v>0</v>
      </c>
      <c r="H18" s="43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>
        <v>0</v>
      </c>
    </row>
    <row r="19" spans="1:14">
      <c r="A19" s="38">
        <v>13</v>
      </c>
      <c r="B19" s="41" t="s">
        <v>488</v>
      </c>
      <c r="C19" s="38">
        <f>COUNTIFS(G19:M19,"&gt;0",$G$3:M$3,"&lt;13")</f>
        <v>0</v>
      </c>
      <c r="D19" s="38">
        <f ca="1">SUMIF($G$3:M$3,"&lt;13",G19:M19)</f>
        <v>0</v>
      </c>
      <c r="E19" s="38">
        <f ca="1">IFERROR(__xludf.DUMMYFUNCTION("ARRAY_CONSTRAIN(ARRAYFORMULA(SUMPRODUCT(LARGE(FILTER(G19:M19, G$3:M$3 &lt; 13),{1,2,3,4,5,6,7}))), 1, 1)"),0)</f>
        <v>0</v>
      </c>
      <c r="F19" s="43">
        <v>0</v>
      </c>
      <c r="G19" s="43">
        <v>0</v>
      </c>
      <c r="H19" s="43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>
        <v>0</v>
      </c>
    </row>
    <row r="20" spans="1:14">
      <c r="A20" s="38">
        <v>14</v>
      </c>
      <c r="B20" s="39" t="s">
        <v>113</v>
      </c>
      <c r="C20" s="38">
        <f>COUNTIFS(G20:M20,"&gt;0",$G$3:M$3,"&lt;13")</f>
        <v>0</v>
      </c>
      <c r="D20" s="38">
        <f ca="1">SUMIF($G$3:M$3,"&lt;13",G20:M20)</f>
        <v>0</v>
      </c>
      <c r="E20" s="38">
        <f ca="1">IFERROR(__xludf.DUMMYFUNCTION("ARRAY_CONSTRAIN(ARRAYFORMULA(SUMPRODUCT(LARGE(FILTER(G20:M20, G$3:M$3 &lt; 13),{1,2,3,4,5,6,7}))), 1, 1)"),0)</f>
        <v>0</v>
      </c>
      <c r="F20" s="43">
        <v>0</v>
      </c>
      <c r="G20" s="43">
        <v>0</v>
      </c>
      <c r="H20" s="43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>
        <v>0</v>
      </c>
    </row>
    <row r="21" spans="1:14">
      <c r="A21" s="38">
        <v>15</v>
      </c>
      <c r="B21" s="39" t="s">
        <v>298</v>
      </c>
      <c r="C21" s="38">
        <f>COUNTIFS(G21:M21,"&gt;0",$G$3:M$3,"&lt;13")</f>
        <v>0</v>
      </c>
      <c r="D21" s="38">
        <f ca="1">SUMIF($G$3:M$3,"&lt;13",G21:M21)</f>
        <v>0</v>
      </c>
      <c r="E21" s="38">
        <f ca="1">IFERROR(__xludf.DUMMYFUNCTION("ARRAY_CONSTRAIN(ARRAYFORMULA(SUMPRODUCT(LARGE(FILTER(G21:M21, G$3:M$3 &lt; 13),{1,2,3,4,5,6,7}))), 1, 1)"),0)</f>
        <v>0</v>
      </c>
      <c r="F21" s="43">
        <v>0</v>
      </c>
      <c r="G21" s="43">
        <v>0</v>
      </c>
      <c r="H21" s="43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>
        <v>0</v>
      </c>
    </row>
    <row r="22" spans="1:14">
      <c r="A22" s="38">
        <v>16</v>
      </c>
      <c r="B22" s="39" t="s">
        <v>489</v>
      </c>
      <c r="C22" s="38">
        <f>COUNTIFS(G22:M22,"&gt;0",$G$3:M$3,"&lt;13")</f>
        <v>0</v>
      </c>
      <c r="D22" s="38">
        <f ca="1">SUMIF($G$3:M$3,"&lt;13",G22:M22)</f>
        <v>0</v>
      </c>
      <c r="E22" s="38">
        <f ca="1">IFERROR(__xludf.DUMMYFUNCTION("ARRAY_CONSTRAIN(ARRAYFORMULA(SUMPRODUCT(LARGE(FILTER(G22:M22, G$3:M$3 &lt; 13),{1,2,3,4,5,6,7}))), 1, 1)"),0)</f>
        <v>0</v>
      </c>
      <c r="F22" s="43">
        <v>0</v>
      </c>
      <c r="G22" s="43">
        <v>0</v>
      </c>
      <c r="H22" s="43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>
        <v>0</v>
      </c>
    </row>
    <row r="23" spans="1:14">
      <c r="A23" s="38">
        <v>17</v>
      </c>
      <c r="B23" s="39" t="s">
        <v>108</v>
      </c>
      <c r="C23" s="38">
        <f>COUNTIFS(G23:M23,"&gt;0",$G$3:M$3,"&lt;13")</f>
        <v>0</v>
      </c>
      <c r="D23" s="38">
        <f ca="1">SUMIF($G$3:M$3,"&lt;13",G23:M23)</f>
        <v>0</v>
      </c>
      <c r="E23" s="38">
        <f ca="1">IFERROR(__xludf.DUMMYFUNCTION("ARRAY_CONSTRAIN(ARRAYFORMULA(SUMPRODUCT(LARGE(FILTER(G23:M23, G$3:M$3 &lt; 13),{1,2,3,4,5,6,7}))), 1, 1)"),0)</f>
        <v>0</v>
      </c>
      <c r="F23" s="43">
        <v>0</v>
      </c>
      <c r="G23" s="43">
        <v>0</v>
      </c>
      <c r="H23" s="43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>
        <v>100</v>
      </c>
    </row>
    <row r="24" spans="1:14">
      <c r="A24" s="38">
        <v>18</v>
      </c>
      <c r="B24" s="41" t="s">
        <v>171</v>
      </c>
      <c r="C24" s="38">
        <f>COUNTIFS(G24:M24,"&gt;0",$G$3:M$3,"&lt;13")</f>
        <v>0</v>
      </c>
      <c r="D24" s="38">
        <f ca="1">SUMIF($G$3:M$3,"&lt;13",G24:M24)</f>
        <v>0</v>
      </c>
      <c r="E24" s="38">
        <f ca="1">IFERROR(__xludf.DUMMYFUNCTION("ARRAY_CONSTRAIN(ARRAYFORMULA(SUMPRODUCT(LARGE(FILTER(G24:M24, G$3:M$3 &lt; 13),{1,2,3,4,5,6,7}))), 1, 1)"),0)</f>
        <v>0</v>
      </c>
      <c r="F24" s="43">
        <v>0</v>
      </c>
      <c r="G24" s="43">
        <v>0</v>
      </c>
      <c r="H24" s="43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>
        <v>0</v>
      </c>
    </row>
    <row r="25" spans="1:14">
      <c r="A25" s="38">
        <v>19</v>
      </c>
      <c r="B25" s="41" t="s">
        <v>180</v>
      </c>
      <c r="C25" s="38">
        <f>COUNTIFS(G25:M25,"&gt;0",$G$3:M$3,"&lt;13")</f>
        <v>0</v>
      </c>
      <c r="D25" s="38">
        <f ca="1">SUMIF($G$3:M$3,"&lt;13",G25:M25)</f>
        <v>0</v>
      </c>
      <c r="E25" s="38">
        <f ca="1">IFERROR(__xludf.DUMMYFUNCTION("ARRAY_CONSTRAIN(ARRAYFORMULA(SUMPRODUCT(LARGE(FILTER(G25:M25, G$3:M$3 &lt; 13),{1,2,3,4,5,6,7}))), 1, 1)"),0)</f>
        <v>0</v>
      </c>
      <c r="F25" s="43">
        <v>0</v>
      </c>
      <c r="G25" s="43">
        <v>0</v>
      </c>
      <c r="H25" s="43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>
        <v>0</v>
      </c>
    </row>
    <row r="26" spans="1:14">
      <c r="A26" s="38">
        <v>20</v>
      </c>
      <c r="B26" s="41" t="s">
        <v>117</v>
      </c>
      <c r="C26" s="38">
        <f>COUNTIFS(G26:M26,"&gt;0",$G$3:M$3,"&lt;13")</f>
        <v>0</v>
      </c>
      <c r="D26" s="38">
        <f ca="1">SUMIF($G$3:M$3,"&lt;13",G26:M26)</f>
        <v>0</v>
      </c>
      <c r="E26" s="38">
        <f ca="1">IFERROR(__xludf.DUMMYFUNCTION("ARRAY_CONSTRAIN(ARRAYFORMULA(SUMPRODUCT(LARGE(FILTER(G26:M26, G$3:M$3 &lt; 13),{1,2,3,4,5,6,7}))), 1, 1)"),0)</f>
        <v>0</v>
      </c>
      <c r="F26" s="43">
        <v>0</v>
      </c>
      <c r="G26" s="43">
        <v>0</v>
      </c>
      <c r="H26" s="43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>
        <v>50</v>
      </c>
    </row>
    <row r="27" spans="1:14">
      <c r="A27" s="38">
        <v>21</v>
      </c>
      <c r="B27" s="39" t="s">
        <v>158</v>
      </c>
      <c r="C27" s="38">
        <f>COUNTIFS(G27:M27,"&gt;0",$G$3:M$3,"&lt;13")</f>
        <v>0</v>
      </c>
      <c r="D27" s="38">
        <f ca="1">SUMIF($G$3:M$3,"&lt;13",G27:M27)</f>
        <v>0</v>
      </c>
      <c r="E27" s="38">
        <f ca="1">IFERROR(__xludf.DUMMYFUNCTION("ARRAY_CONSTRAIN(ARRAYFORMULA(SUMPRODUCT(LARGE(FILTER(G27:M27, G$3:M$3 &lt; 13),{1,2,3,4,5,6,7}))), 1, 1)"),0)</f>
        <v>0</v>
      </c>
      <c r="F27" s="43">
        <v>0</v>
      </c>
      <c r="G27" s="43">
        <v>0</v>
      </c>
      <c r="H27" s="43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>
        <v>0</v>
      </c>
    </row>
    <row r="28" spans="1:14">
      <c r="A28" s="38">
        <v>22</v>
      </c>
      <c r="B28" s="39" t="s">
        <v>137</v>
      </c>
      <c r="C28" s="38">
        <f>COUNTIFS(G28:M28,"&gt;0",$G$3:M$3,"&lt;13")</f>
        <v>0</v>
      </c>
      <c r="D28" s="38">
        <f ca="1">SUMIF($G$3:M$3,"&lt;13",G28:M28)</f>
        <v>0</v>
      </c>
      <c r="E28" s="38">
        <f ca="1">IFERROR(__xludf.DUMMYFUNCTION("ARRAY_CONSTRAIN(ARRAYFORMULA(SUMPRODUCT(LARGE(FILTER(G28:M28, G$3:M$3 &lt; 13),{1,2,3,4,5,6,7}))), 1, 1)"),0)</f>
        <v>0</v>
      </c>
      <c r="F28" s="43">
        <v>0</v>
      </c>
      <c r="G28" s="43">
        <v>0</v>
      </c>
      <c r="H28" s="43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>
        <v>0</v>
      </c>
    </row>
    <row r="29" spans="1:14">
      <c r="A29" s="38">
        <v>23</v>
      </c>
      <c r="B29" s="41" t="s">
        <v>490</v>
      </c>
      <c r="C29" s="38">
        <f>COUNTIFS(G29:M29,"&gt;0",$G$3:M$3,"&lt;13")</f>
        <v>0</v>
      </c>
      <c r="D29" s="38">
        <f ca="1">SUMIF($G$3:M$3,"&lt;13",G29:M29)</f>
        <v>0</v>
      </c>
      <c r="E29" s="38">
        <f ca="1">IFERROR(__xludf.DUMMYFUNCTION("ARRAY_CONSTRAIN(ARRAYFORMULA(SUMPRODUCT(LARGE(FILTER(G29:M29, G$3:M$3 &lt; 13),{1,2,3,4,5,6,7}))), 1, 1)"),0)</f>
        <v>0</v>
      </c>
      <c r="F29" s="43">
        <v>0</v>
      </c>
      <c r="G29" s="43">
        <v>0</v>
      </c>
      <c r="H29" s="43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>
        <v>0</v>
      </c>
    </row>
    <row r="30" spans="1:14">
      <c r="A30" s="38">
        <v>24</v>
      </c>
      <c r="B30" s="41" t="s">
        <v>491</v>
      </c>
      <c r="C30" s="38">
        <f>COUNTIFS(G30:M30,"&gt;0",$G$3:M$3,"&lt;13")</f>
        <v>0</v>
      </c>
      <c r="D30" s="38">
        <f ca="1">SUMIF($G$3:M$3,"&lt;13",G30:M30)</f>
        <v>0</v>
      </c>
      <c r="E30" s="38">
        <f ca="1">IFERROR(__xludf.DUMMYFUNCTION("ARRAY_CONSTRAIN(ARRAYFORMULA(SUMPRODUCT(LARGE(FILTER(G30:M30, G$3:M$3 &lt; 13),{1,2,3,4,5,6,7}))), 1, 1)"),0)</f>
        <v>0</v>
      </c>
      <c r="F30" s="43">
        <v>0</v>
      </c>
      <c r="G30" s="43">
        <v>0</v>
      </c>
      <c r="H30" s="43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>
        <v>0</v>
      </c>
    </row>
    <row r="31" spans="1:14">
      <c r="A31" s="38">
        <v>25</v>
      </c>
      <c r="B31" s="39" t="s">
        <v>24</v>
      </c>
      <c r="C31" s="38">
        <f>COUNTIFS(G31:M31,"&gt;0",$G$3:M$3,"&lt;13")</f>
        <v>0</v>
      </c>
      <c r="D31" s="38">
        <f ca="1">SUMIF($G$3:M$3,"&lt;13",G31:M31)</f>
        <v>0</v>
      </c>
      <c r="E31" s="38">
        <f ca="1">IFERROR(__xludf.DUMMYFUNCTION("ARRAY_CONSTRAIN(ARRAYFORMULA(SUMPRODUCT(LARGE(FILTER(G31:M31, G$3:M$3 &lt; 13),{1,2,3,4,5,6,7}))), 1, 1)"),0)</f>
        <v>0</v>
      </c>
      <c r="F31" s="43">
        <v>0</v>
      </c>
      <c r="G31" s="43">
        <v>0</v>
      </c>
      <c r="H31" s="43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>
        <v>0</v>
      </c>
    </row>
    <row r="32" spans="1:14">
      <c r="A32" s="38">
        <v>26</v>
      </c>
      <c r="B32" s="39" t="s">
        <v>192</v>
      </c>
      <c r="C32" s="38">
        <f>COUNTIFS(G32:M32,"&gt;0",$G$3:M$3,"&lt;13")</f>
        <v>0</v>
      </c>
      <c r="D32" s="38">
        <f ca="1">SUMIF($G$3:M$3,"&lt;13",G32:M32)</f>
        <v>0</v>
      </c>
      <c r="E32" s="38">
        <f ca="1">IFERROR(__xludf.DUMMYFUNCTION("ARRAY_CONSTRAIN(ARRAYFORMULA(SUMPRODUCT(LARGE(FILTER(G32:M32, G$3:M$3 &lt; 13),{1,2,3,4,5,6,7}))), 1, 1)"),0)</f>
        <v>0</v>
      </c>
      <c r="F32" s="43">
        <v>0</v>
      </c>
      <c r="G32" s="43">
        <v>0</v>
      </c>
      <c r="H32" s="43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>
        <v>0</v>
      </c>
    </row>
    <row r="33" spans="1:14">
      <c r="A33" s="38">
        <v>27</v>
      </c>
      <c r="B33" s="41" t="s">
        <v>208</v>
      </c>
      <c r="C33" s="38">
        <f>COUNTIFS(G33:M33,"&gt;0",$G$3:M$3,"&lt;13")</f>
        <v>0</v>
      </c>
      <c r="D33" s="38">
        <f ca="1">SUMIF($G$3:M$3,"&lt;13",G33:M33)</f>
        <v>0</v>
      </c>
      <c r="E33" s="38">
        <f ca="1">IFERROR(__xludf.DUMMYFUNCTION("ARRAY_CONSTRAIN(ARRAYFORMULA(SUMPRODUCT(LARGE(FILTER(G33:M33, G$3:M$3 &lt; 13),{1,2,3,4,5,6,7}))), 1, 1)"),0)</f>
        <v>0</v>
      </c>
      <c r="F33" s="43">
        <v>0</v>
      </c>
      <c r="G33" s="43">
        <v>0</v>
      </c>
      <c r="H33" s="43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>
        <v>0</v>
      </c>
    </row>
    <row r="34" spans="1:14">
      <c r="A34" s="38">
        <v>28</v>
      </c>
      <c r="B34" s="39" t="s">
        <v>185</v>
      </c>
      <c r="C34" s="38">
        <f>COUNTIFS(G34:M34,"&gt;0",$G$3:M$3,"&lt;13")</f>
        <v>0</v>
      </c>
      <c r="D34" s="38">
        <f ca="1">SUMIF($G$3:M$3,"&lt;13",G34:M34)</f>
        <v>0</v>
      </c>
      <c r="E34" s="38">
        <f ca="1">IFERROR(__xludf.DUMMYFUNCTION("ARRAY_CONSTRAIN(ARRAYFORMULA(SUMPRODUCT(LARGE(FILTER(G34:M34, G$3:M$3 &lt; 13),{1,2,3,4,5,6,7}))), 1, 1)"),0)</f>
        <v>0</v>
      </c>
      <c r="F34" s="43">
        <v>0</v>
      </c>
      <c r="G34" s="43">
        <v>0</v>
      </c>
      <c r="H34" s="43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>
        <v>0</v>
      </c>
    </row>
    <row r="35" spans="1:14">
      <c r="A35" s="38">
        <v>29</v>
      </c>
      <c r="B35" s="41" t="s">
        <v>190</v>
      </c>
      <c r="C35" s="38">
        <f>COUNTIFS(G35:M35,"&gt;0",$G$3:M$3,"&lt;13")</f>
        <v>0</v>
      </c>
      <c r="D35" s="38">
        <f ca="1">SUMIF($G$3:M$3,"&lt;13",G35:M35)</f>
        <v>0</v>
      </c>
      <c r="E35" s="38">
        <f ca="1">IFERROR(__xludf.DUMMYFUNCTION("ARRAY_CONSTRAIN(ARRAYFORMULA(SUMPRODUCT(LARGE(FILTER(G35:M35, G$3:M$3 &lt; 13),{1,2,3,4,5,6,7}))), 1, 1)"),0)</f>
        <v>0</v>
      </c>
      <c r="F35" s="43">
        <v>0</v>
      </c>
      <c r="G35" s="43">
        <v>0</v>
      </c>
      <c r="H35" s="43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>
        <v>0</v>
      </c>
    </row>
    <row r="36" spans="1:14">
      <c r="A36" s="38">
        <v>30</v>
      </c>
      <c r="B36" s="41" t="s">
        <v>172</v>
      </c>
      <c r="C36" s="38">
        <f>COUNTIFS(G36:M36,"&gt;0",$G$3:M$3,"&lt;13")</f>
        <v>0</v>
      </c>
      <c r="D36" s="38">
        <f ca="1">SUMIF($G$3:M$3,"&lt;13",G36:M36)</f>
        <v>0</v>
      </c>
      <c r="E36" s="38">
        <f ca="1">IFERROR(__xludf.DUMMYFUNCTION("ARRAY_CONSTRAIN(ARRAYFORMULA(SUMPRODUCT(LARGE(FILTER(G36:M36, G$3:M$3 &lt; 13),{1,2,3,4,5,6,7}))), 1, 1)"),0)</f>
        <v>0</v>
      </c>
      <c r="F36" s="43">
        <v>0</v>
      </c>
      <c r="G36" s="43">
        <v>0</v>
      </c>
      <c r="H36" s="43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>
        <v>0</v>
      </c>
    </row>
    <row r="37" spans="1:14">
      <c r="A37" s="38">
        <v>31</v>
      </c>
      <c r="B37" s="39" t="s">
        <v>176</v>
      </c>
      <c r="C37" s="38">
        <f>COUNTIFS(G37:M37,"&gt;0",$G$3:M$3,"&lt;13")</f>
        <v>0</v>
      </c>
      <c r="D37" s="38">
        <f ca="1">SUMIF($G$3:M$3,"&lt;13",G37:M37)</f>
        <v>0</v>
      </c>
      <c r="E37" s="38">
        <f ca="1">IFERROR(__xludf.DUMMYFUNCTION("ARRAY_CONSTRAIN(ARRAYFORMULA(SUMPRODUCT(LARGE(FILTER(G37:M37, G$3:M$3 &lt; 13),{1,2,3,4,5,6,7}))), 1, 1)"),0)</f>
        <v>0</v>
      </c>
      <c r="F37" s="43">
        <v>0</v>
      </c>
      <c r="G37" s="43">
        <v>0</v>
      </c>
      <c r="H37" s="43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>
        <v>0</v>
      </c>
    </row>
    <row r="38" spans="1:14">
      <c r="A38" s="38">
        <v>32</v>
      </c>
      <c r="B38" s="39" t="s">
        <v>492</v>
      </c>
      <c r="C38" s="38">
        <f>COUNTIFS(G38:M38,"&gt;0",$G$3:M$3,"&lt;13")</f>
        <v>0</v>
      </c>
      <c r="D38" s="38">
        <f ca="1">SUMIF($G$3:M$3,"&lt;13",G38:M38)</f>
        <v>0</v>
      </c>
      <c r="E38" s="38">
        <f ca="1">IFERROR(__xludf.DUMMYFUNCTION("ARRAY_CONSTRAIN(ARRAYFORMULA(SUMPRODUCT(LARGE(FILTER(G38:M38, G$3:M$3 &lt; 13),{1,2,3,4,5,6,7}))), 1, 1)"),0)</f>
        <v>0</v>
      </c>
      <c r="F38" s="43">
        <v>0</v>
      </c>
      <c r="G38" s="43">
        <v>0</v>
      </c>
      <c r="H38" s="43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>
        <v>0</v>
      </c>
    </row>
    <row r="39" spans="1:14">
      <c r="A39" s="38">
        <v>33</v>
      </c>
      <c r="B39" s="39" t="s">
        <v>187</v>
      </c>
      <c r="C39" s="38">
        <f>COUNTIFS(G39:M39,"&gt;0",$G$3:M$3,"&lt;13")</f>
        <v>0</v>
      </c>
      <c r="D39" s="38">
        <f ca="1">SUMIF($G$3:M$3,"&lt;13",G39:M39)</f>
        <v>0</v>
      </c>
      <c r="E39" s="38">
        <f ca="1">IFERROR(__xludf.DUMMYFUNCTION("ARRAY_CONSTRAIN(ARRAYFORMULA(SUMPRODUCT(LARGE(FILTER(G39:M39, G$3:M$3 &lt; 13),{1,2,3,4,5,6,7}))), 1, 1)"),0)</f>
        <v>0</v>
      </c>
      <c r="F39" s="43">
        <v>0</v>
      </c>
      <c r="G39" s="43">
        <v>0</v>
      </c>
      <c r="H39" s="43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>
        <v>0</v>
      </c>
    </row>
    <row r="40" spans="1:14">
      <c r="A40" s="38">
        <v>34</v>
      </c>
      <c r="B40" s="39" t="s">
        <v>197</v>
      </c>
      <c r="C40" s="38">
        <f>COUNTIFS(G40:M40,"&gt;0",$G$3:M$3,"&lt;13")</f>
        <v>0</v>
      </c>
      <c r="D40" s="38">
        <f ca="1">SUMIF($G$3:M$3,"&lt;13",G40:M40)</f>
        <v>0</v>
      </c>
      <c r="E40" s="38">
        <f ca="1">IFERROR(__xludf.DUMMYFUNCTION("ARRAY_CONSTRAIN(ARRAYFORMULA(SUMPRODUCT(LARGE(FILTER(G40:M40, G$3:M$3 &lt; 13),{1,2,3,4,5,6,7}))), 1, 1)"),0)</f>
        <v>0</v>
      </c>
      <c r="F40" s="43">
        <v>0</v>
      </c>
      <c r="G40" s="43">
        <v>0</v>
      </c>
      <c r="H40" s="43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>
        <v>0</v>
      </c>
    </row>
    <row r="41" spans="1:14">
      <c r="A41" s="38">
        <v>35</v>
      </c>
      <c r="B41" s="39" t="s">
        <v>177</v>
      </c>
      <c r="C41" s="38">
        <f>COUNTIFS(G41:M41,"&gt;0",$G$3:M$3,"&lt;13")</f>
        <v>0</v>
      </c>
      <c r="D41" s="38">
        <f ca="1">SUMIF($G$3:M$3,"&lt;13",G41:M41)</f>
        <v>0</v>
      </c>
      <c r="E41" s="38">
        <f ca="1">IFERROR(__xludf.DUMMYFUNCTION("ARRAY_CONSTRAIN(ARRAYFORMULA(SUMPRODUCT(LARGE(FILTER(G41:M41, G$3:M$3 &lt; 13),{1,2,3,4,5,6,7}))), 1, 1)"),0)</f>
        <v>0</v>
      </c>
      <c r="F41" s="43">
        <v>0</v>
      </c>
      <c r="G41" s="43">
        <v>0</v>
      </c>
      <c r="H41" s="43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>
        <v>0</v>
      </c>
    </row>
    <row r="42" spans="1:14">
      <c r="A42" s="38">
        <v>36</v>
      </c>
      <c r="B42" s="41" t="s">
        <v>129</v>
      </c>
      <c r="C42" s="38">
        <f>COUNTIFS(G42:M42,"&gt;0",$G$3:M$3,"&lt;13")</f>
        <v>0</v>
      </c>
      <c r="D42" s="38">
        <f ca="1">SUMIF($G$3:M$3,"&lt;13",G42:M42)</f>
        <v>0</v>
      </c>
      <c r="E42" s="38">
        <f ca="1">IFERROR(__xludf.DUMMYFUNCTION("ARRAY_CONSTRAIN(ARRAYFORMULA(SUMPRODUCT(LARGE(FILTER(G42:M42, G$3:M$3 &lt; 13),{1,2,3,4,5,6,7}))), 1, 1)"),0)</f>
        <v>0</v>
      </c>
      <c r="F42" s="43">
        <v>0</v>
      </c>
      <c r="G42" s="43">
        <v>0</v>
      </c>
      <c r="H42" s="43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>
        <v>60</v>
      </c>
    </row>
    <row r="43" spans="1:14">
      <c r="A43" s="38">
        <v>37</v>
      </c>
      <c r="B43" s="41" t="s">
        <v>473</v>
      </c>
      <c r="C43" s="38">
        <f>COUNTIFS(G43:M43,"&gt;0",$G$3:M$3,"&lt;13")</f>
        <v>0</v>
      </c>
      <c r="D43" s="38">
        <f ca="1">SUMIF($G$3:M$3,"&lt;13",G43:M43)</f>
        <v>0</v>
      </c>
      <c r="E43" s="38">
        <f ca="1">IFERROR(__xludf.DUMMYFUNCTION("ARRAY_CONSTRAIN(ARRAYFORMULA(SUMPRODUCT(LARGE(FILTER(G43:M43, G$3:M$3 &lt; 13),{1,2,3,4,5,6,7}))), 1, 1)"),0)</f>
        <v>0</v>
      </c>
      <c r="F43" s="43">
        <v>0</v>
      </c>
      <c r="G43" s="43">
        <v>0</v>
      </c>
      <c r="H43" s="43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>
        <v>0</v>
      </c>
    </row>
    <row r="44" spans="1:14">
      <c r="A44" s="38">
        <v>38</v>
      </c>
      <c r="B44" s="39" t="s">
        <v>196</v>
      </c>
      <c r="C44" s="38">
        <f>COUNTIFS(G44:M44,"&gt;0",$G$3:M$3,"&lt;13")</f>
        <v>0</v>
      </c>
      <c r="D44" s="38">
        <f ca="1">SUMIF($G$3:M$3,"&lt;13",G44:M44)</f>
        <v>0</v>
      </c>
      <c r="E44" s="38">
        <f ca="1">IFERROR(__xludf.DUMMYFUNCTION("ARRAY_CONSTRAIN(ARRAYFORMULA(SUMPRODUCT(LARGE(FILTER(G44:M44, G$3:M$3 &lt; 13),{1,2,3,4,5,6,7}))), 1, 1)"),0)</f>
        <v>0</v>
      </c>
      <c r="F44" s="43">
        <v>0</v>
      </c>
      <c r="G44" s="43">
        <v>0</v>
      </c>
      <c r="H44" s="43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>
        <v>0</v>
      </c>
    </row>
    <row r="45" spans="1:14">
      <c r="A45" s="38">
        <v>39</v>
      </c>
      <c r="B45" s="41" t="s">
        <v>123</v>
      </c>
      <c r="C45" s="38">
        <f>COUNTIFS(G45:M45,"&gt;0",$G$3:M$3,"&lt;13")</f>
        <v>0</v>
      </c>
      <c r="D45" s="38">
        <f ca="1">SUMIF($G$3:M$3,"&lt;13",G45:M45)</f>
        <v>0</v>
      </c>
      <c r="E45" s="38">
        <f ca="1">IFERROR(__xludf.DUMMYFUNCTION("ARRAY_CONSTRAIN(ARRAYFORMULA(SUMPRODUCT(LARGE(FILTER(G45:M45, G$3:M$3 &lt; 13),{1,2,3,4,5,6,7}))), 1, 1)"),0)</f>
        <v>0</v>
      </c>
      <c r="F45" s="43">
        <v>0</v>
      </c>
      <c r="G45" s="43">
        <v>0</v>
      </c>
      <c r="H45" s="43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>
        <v>50</v>
      </c>
    </row>
    <row r="46" spans="1:14">
      <c r="A46" s="38">
        <v>40</v>
      </c>
      <c r="B46" s="39" t="s">
        <v>126</v>
      </c>
      <c r="C46" s="38">
        <f>COUNTIFS(G46:M46,"&gt;0",$G$3:M$3,"&lt;13")</f>
        <v>0</v>
      </c>
      <c r="D46" s="38">
        <f ca="1">SUMIF($G$3:M$3,"&lt;13",G46:M46)</f>
        <v>0</v>
      </c>
      <c r="E46" s="38">
        <f ca="1">IFERROR(__xludf.DUMMYFUNCTION("ARRAY_CONSTRAIN(ARRAYFORMULA(SUMPRODUCT(LARGE(FILTER(G46:M46, G$3:M$3 &lt; 13),{1,2,3,4,5,6,7}))), 1, 1)"),0)</f>
        <v>0</v>
      </c>
      <c r="F46" s="43">
        <v>0</v>
      </c>
      <c r="G46" s="43">
        <v>0</v>
      </c>
      <c r="H46" s="43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>
        <v>0</v>
      </c>
    </row>
    <row r="47" spans="1:14">
      <c r="A47" s="38">
        <v>41</v>
      </c>
      <c r="B47" s="39" t="s">
        <v>312</v>
      </c>
      <c r="C47" s="38">
        <f>COUNTIFS(G47:M47,"&gt;0",$G$3:M$3,"&lt;13")</f>
        <v>0</v>
      </c>
      <c r="D47" s="38">
        <f ca="1">SUMIF($G$3:M$3,"&lt;13",G47:M47)</f>
        <v>0</v>
      </c>
      <c r="E47" s="38">
        <f ca="1">IFERROR(__xludf.DUMMYFUNCTION("ARRAY_CONSTRAIN(ARRAYFORMULA(SUMPRODUCT(LARGE(FILTER(G47:M47, G$3:M$3 &lt; 13),{1,2,3,4,5,6,7}))), 1, 1)"),0)</f>
        <v>0</v>
      </c>
      <c r="F47" s="43">
        <v>0</v>
      </c>
      <c r="G47" s="43">
        <v>0</v>
      </c>
      <c r="H47" s="43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>
        <v>0</v>
      </c>
    </row>
    <row r="48" spans="1:14">
      <c r="A48" s="38">
        <v>42</v>
      </c>
      <c r="B48" s="41" t="s">
        <v>271</v>
      </c>
      <c r="C48" s="38">
        <f>COUNTIFS(G48:M48,"&gt;0",$G$3:M$3,"&lt;13")</f>
        <v>0</v>
      </c>
      <c r="D48" s="38">
        <f ca="1">SUMIF($G$3:M$3,"&lt;13",G48:M48)</f>
        <v>0</v>
      </c>
      <c r="E48" s="38">
        <f ca="1">IFERROR(__xludf.DUMMYFUNCTION("ARRAY_CONSTRAIN(ARRAYFORMULA(SUMPRODUCT(LARGE(FILTER(G48:M48, G$3:M$3 &lt; 13),{1,2,3,4,5,6,7}))), 1, 1)"),0)</f>
        <v>0</v>
      </c>
      <c r="F48" s="43">
        <v>0</v>
      </c>
      <c r="G48" s="43">
        <v>0</v>
      </c>
      <c r="H48" s="43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>
        <v>0</v>
      </c>
    </row>
    <row r="49" spans="1:14">
      <c r="A49" s="38">
        <v>43</v>
      </c>
      <c r="B49" s="41" t="s">
        <v>162</v>
      </c>
      <c r="C49" s="38">
        <f>COUNTIFS(G49:M49,"&gt;0",$G$3:M$3,"&lt;13")</f>
        <v>0</v>
      </c>
      <c r="D49" s="38">
        <f ca="1">SUMIF($G$3:M$3,"&lt;13",G49:M49)</f>
        <v>0</v>
      </c>
      <c r="E49" s="38">
        <f ca="1">IFERROR(__xludf.DUMMYFUNCTION("ARRAY_CONSTRAIN(ARRAYFORMULA(SUMPRODUCT(LARGE(FILTER(G49:M49, G$3:M$3 &lt; 13),{1,2,3,4,5,6,7}))), 1, 1)"),0)</f>
        <v>0</v>
      </c>
      <c r="F49" s="43">
        <v>0</v>
      </c>
      <c r="G49" s="43">
        <v>0</v>
      </c>
      <c r="H49" s="43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>
        <v>0</v>
      </c>
    </row>
    <row r="50" spans="1:14">
      <c r="A50" s="38">
        <v>44</v>
      </c>
      <c r="B50" s="41" t="s">
        <v>191</v>
      </c>
      <c r="C50" s="38">
        <f>COUNTIFS(G50:M50,"&gt;0",$G$3:M$3,"&lt;13")</f>
        <v>0</v>
      </c>
      <c r="D50" s="38">
        <f ca="1">SUMIF($G$3:M$3,"&lt;13",G50:M50)</f>
        <v>0</v>
      </c>
      <c r="E50" s="38">
        <f ca="1">IFERROR(__xludf.DUMMYFUNCTION("ARRAY_CONSTRAIN(ARRAYFORMULA(SUMPRODUCT(LARGE(FILTER(G50:M50, G$3:M$3 &lt; 13),{1,2,3,4,5,6,7}))), 1, 1)"),0)</f>
        <v>0</v>
      </c>
      <c r="F50" s="43">
        <v>0</v>
      </c>
      <c r="G50" s="43">
        <v>0</v>
      </c>
      <c r="H50" s="43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>
        <v>0</v>
      </c>
    </row>
    <row r="51" spans="1:14">
      <c r="A51" s="38">
        <v>45</v>
      </c>
      <c r="B51" s="41" t="s">
        <v>232</v>
      </c>
      <c r="C51" s="38">
        <f>COUNTIFS(G51:M51,"&gt;0",$G$3:M$3,"&lt;13")</f>
        <v>0</v>
      </c>
      <c r="D51" s="38">
        <f ca="1">SUMIF($G$3:M$3,"&lt;13",G51:M51)</f>
        <v>0</v>
      </c>
      <c r="E51" s="38">
        <f ca="1">IFERROR(__xludf.DUMMYFUNCTION("ARRAY_CONSTRAIN(ARRAYFORMULA(SUMPRODUCT(LARGE(FILTER(G51:M51, G$3:M$3 &lt; 13),{1,2,3,4,5,6,7}))), 1, 1)"),0)</f>
        <v>0</v>
      </c>
      <c r="F51" s="43">
        <v>0</v>
      </c>
      <c r="G51" s="43">
        <v>0</v>
      </c>
      <c r="H51" s="43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>
        <v>0</v>
      </c>
    </row>
    <row r="52" spans="1:14">
      <c r="A52" s="38">
        <v>46</v>
      </c>
      <c r="B52" s="39" t="s">
        <v>122</v>
      </c>
      <c r="C52" s="38">
        <f>COUNTIFS(G52:M52,"&gt;0",$G$3:M$3,"&lt;13")</f>
        <v>0</v>
      </c>
      <c r="D52" s="38">
        <f ca="1">SUMIF($G$3:M$3,"&lt;13",G52:M52)</f>
        <v>0</v>
      </c>
      <c r="E52" s="38">
        <f ca="1">IFERROR(__xludf.DUMMYFUNCTION("ARRAY_CONSTRAIN(ARRAYFORMULA(SUMPRODUCT(LARGE(FILTER(G52:M52, G$3:M$3 &lt; 13),{1,2,3,4,5,6,7}))), 1, 1)"),0)</f>
        <v>0</v>
      </c>
      <c r="F52" s="43">
        <v>0</v>
      </c>
      <c r="G52" s="43">
        <v>0</v>
      </c>
      <c r="H52" s="43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>
        <v>0</v>
      </c>
    </row>
    <row r="53" spans="1:14">
      <c r="A53" s="38">
        <v>47</v>
      </c>
      <c r="B53" s="39" t="s">
        <v>474</v>
      </c>
      <c r="C53" s="38">
        <f>COUNTIFS(G53:M53,"&gt;0",$G$3:M$3,"&lt;13")</f>
        <v>0</v>
      </c>
      <c r="D53" s="38">
        <f ca="1">SUMIF($G$3:M$3,"&lt;13",G53:M53)</f>
        <v>0</v>
      </c>
      <c r="E53" s="38">
        <f ca="1">IFERROR(__xludf.DUMMYFUNCTION("ARRAY_CONSTRAIN(ARRAYFORMULA(SUMPRODUCT(LARGE(FILTER(G53:M53, G$3:M$3 &lt; 13),{1,2,3,4,5,6,7}))), 1, 1)"),0)</f>
        <v>0</v>
      </c>
      <c r="F53" s="43">
        <v>0</v>
      </c>
      <c r="G53" s="43">
        <v>0</v>
      </c>
      <c r="H53" s="43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>
        <v>0</v>
      </c>
    </row>
    <row r="54" spans="1:14">
      <c r="A54" s="38">
        <v>48</v>
      </c>
      <c r="B54" s="39" t="s">
        <v>493</v>
      </c>
      <c r="C54" s="38">
        <f>COUNTIFS(G54:M54,"&gt;0",$G$3:M$3,"&lt;13")</f>
        <v>0</v>
      </c>
      <c r="D54" s="38">
        <f ca="1">SUMIF($G$3:M$3,"&lt;13",G54:M54)</f>
        <v>0</v>
      </c>
      <c r="E54" s="38">
        <f ca="1">IFERROR(__xludf.DUMMYFUNCTION("ARRAY_CONSTRAIN(ARRAYFORMULA(SUMPRODUCT(LARGE(FILTER(G54:M54, G$3:M$3 &lt; 13),{1,2,3,4,5,6,7}))), 1, 1)"),0)</f>
        <v>0</v>
      </c>
      <c r="F54" s="43">
        <v>0</v>
      </c>
      <c r="G54" s="43">
        <v>0</v>
      </c>
      <c r="H54" s="43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>
        <v>0</v>
      </c>
    </row>
    <row r="55" spans="1:14">
      <c r="A55" s="38">
        <v>49</v>
      </c>
      <c r="B55" s="41" t="s">
        <v>193</v>
      </c>
      <c r="C55" s="38">
        <f>COUNTIFS(G55:M55,"&gt;0",$G$3:M$3,"&lt;13")</f>
        <v>0</v>
      </c>
      <c r="D55" s="38">
        <f ca="1">SUMIF($G$3:M$3,"&lt;13",G55:M55)</f>
        <v>0</v>
      </c>
      <c r="E55" s="38">
        <f ca="1">IFERROR(__xludf.DUMMYFUNCTION("ARRAY_CONSTRAIN(ARRAYFORMULA(SUMPRODUCT(LARGE(FILTER(G55:M55, G$3:M$3 &lt; 13),{1,2,3,4,5,6,7}))), 1, 1)"),0)</f>
        <v>0</v>
      </c>
      <c r="F55" s="43">
        <v>0</v>
      </c>
      <c r="G55" s="43">
        <v>0</v>
      </c>
      <c r="H55" s="43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>
        <v>0</v>
      </c>
    </row>
    <row r="56" spans="1:14">
      <c r="A56" s="38">
        <v>50</v>
      </c>
      <c r="B56" s="41" t="s">
        <v>303</v>
      </c>
      <c r="C56" s="38">
        <f>COUNTIFS(G56:M56,"&gt;0",$G$3:M$3,"&lt;13")</f>
        <v>0</v>
      </c>
      <c r="D56" s="38">
        <f ca="1">SUMIF($G$3:M$3,"&lt;13",G56:M56)</f>
        <v>0</v>
      </c>
      <c r="E56" s="38">
        <f ca="1">IFERROR(__xludf.DUMMYFUNCTION("ARRAY_CONSTRAIN(ARRAYFORMULA(SUMPRODUCT(LARGE(FILTER(G56:M56, G$3:M$3 &lt; 13),{1,2,3,4,5,6,7}))), 1, 1)"),0)</f>
        <v>0</v>
      </c>
      <c r="F56" s="43">
        <v>0</v>
      </c>
      <c r="G56" s="43">
        <v>0</v>
      </c>
      <c r="H56" s="43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>
        <v>0</v>
      </c>
    </row>
    <row r="57" spans="1:14">
      <c r="A57" s="38">
        <v>51</v>
      </c>
      <c r="B57" s="41" t="s">
        <v>305</v>
      </c>
      <c r="C57" s="38">
        <f>COUNTIFS(G57:M57,"&gt;0",$G$3:M$3,"&lt;13")</f>
        <v>0</v>
      </c>
      <c r="D57" s="38">
        <f ca="1">SUMIF($G$3:M$3,"&lt;13",G57:M57)</f>
        <v>0</v>
      </c>
      <c r="E57" s="38">
        <f ca="1">IFERROR(__xludf.DUMMYFUNCTION("ARRAY_CONSTRAIN(ARRAYFORMULA(SUMPRODUCT(LARGE(FILTER(G57:M57, G$3:M$3 &lt; 13),{1,2,3,4,5,6,7}))), 1, 1)"),0)</f>
        <v>0</v>
      </c>
      <c r="F57" s="43">
        <v>0</v>
      </c>
      <c r="G57" s="43">
        <v>0</v>
      </c>
      <c r="H57" s="43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>
        <v>0</v>
      </c>
    </row>
    <row r="58" spans="1:14">
      <c r="A58" s="38">
        <v>52</v>
      </c>
      <c r="B58" s="39" t="s">
        <v>300</v>
      </c>
      <c r="C58" s="38">
        <f>COUNTIFS(G58:M58,"&gt;0",$G$3:M$3,"&lt;13")</f>
        <v>0</v>
      </c>
      <c r="D58" s="38">
        <f ca="1">SUMIF($G$3:M$3,"&lt;13",G58:M58)</f>
        <v>0</v>
      </c>
      <c r="E58" s="38">
        <f ca="1">IFERROR(__xludf.DUMMYFUNCTION("ARRAY_CONSTRAIN(ARRAYFORMULA(SUMPRODUCT(LARGE(FILTER(G58:M58, G$3:M$3 &lt; 13),{1,2,3,4,5,6,7}))), 1, 1)"),0)</f>
        <v>0</v>
      </c>
      <c r="F58" s="43">
        <v>0</v>
      </c>
      <c r="G58" s="43">
        <v>0</v>
      </c>
      <c r="H58" s="43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>
        <v>0</v>
      </c>
    </row>
    <row r="59" spans="1:14">
      <c r="A59" s="38">
        <v>53</v>
      </c>
      <c r="B59" s="39" t="s">
        <v>330</v>
      </c>
      <c r="C59" s="38">
        <f>COUNTIFS(G59:M59,"&gt;0",$G$3:M$3,"&lt;13")</f>
        <v>0</v>
      </c>
      <c r="D59" s="38">
        <f ca="1">SUMIF($G$3:M$3,"&lt;13",G59:M59)</f>
        <v>0</v>
      </c>
      <c r="E59" s="38">
        <f ca="1">IFERROR(__xludf.DUMMYFUNCTION("ARRAY_CONSTRAIN(ARRAYFORMULA(SUMPRODUCT(LARGE(FILTER(G59:M59, G$3:M$3 &lt; 13),{1,2,3,4,5,6,7}))), 1, 1)"),0)</f>
        <v>0</v>
      </c>
      <c r="F59" s="43">
        <v>0</v>
      </c>
      <c r="G59" s="43">
        <v>0</v>
      </c>
      <c r="H59" s="43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>
        <v>0</v>
      </c>
    </row>
    <row r="60" spans="1:14">
      <c r="A60" s="40">
        <v>54</v>
      </c>
      <c r="B60" s="39" t="s">
        <v>297</v>
      </c>
      <c r="C60" s="38">
        <f>COUNTIFS(G60:M60,"&gt;0",$G$3:M$3,"&lt;13")</f>
        <v>0</v>
      </c>
      <c r="D60" s="38">
        <f ca="1">SUMIF($G$3:M$3,"&lt;13",G60:M60)</f>
        <v>0</v>
      </c>
      <c r="E60" s="38">
        <f ca="1">IFERROR(__xludf.DUMMYFUNCTION("ARRAY_CONSTRAIN(ARRAYFORMULA(SUMPRODUCT(LARGE(FILTER(G60:M60, G$3:M$3 &lt; 13),{1,2,3,4,5,6,7}))), 1, 1)"),0)</f>
        <v>0</v>
      </c>
      <c r="F60" s="43">
        <v>0</v>
      </c>
      <c r="G60" s="43">
        <v>0</v>
      </c>
      <c r="H60" s="43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>
        <v>0</v>
      </c>
    </row>
    <row r="61" spans="1:14">
      <c r="A61" s="40">
        <v>56</v>
      </c>
      <c r="B61" t="s">
        <v>494</v>
      </c>
      <c r="C61" s="38"/>
      <c r="D61" s="38"/>
      <c r="E61" s="38"/>
      <c r="F61" s="40"/>
      <c r="G61" s="40"/>
      <c r="H61" s="40"/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>
        <v>60</v>
      </c>
    </row>
    <row r="62" spans="1:14">
      <c r="A62" s="40">
        <v>57</v>
      </c>
      <c r="B62" t="s">
        <v>266</v>
      </c>
      <c r="C62" s="38"/>
      <c r="D62" s="38"/>
      <c r="E62" s="38"/>
      <c r="F62" s="40"/>
      <c r="G62" s="40"/>
      <c r="H62" s="40"/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>
        <v>60</v>
      </c>
    </row>
    <row r="63" spans="1:14">
      <c r="A63" s="40">
        <v>58</v>
      </c>
      <c r="B63" t="s">
        <v>135</v>
      </c>
      <c r="C63" s="38"/>
      <c r="D63" s="38"/>
      <c r="E63" s="38"/>
      <c r="F63" s="40"/>
      <c r="G63" s="40"/>
      <c r="H63" s="40"/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>
        <v>60</v>
      </c>
    </row>
    <row r="64" spans="1:14">
      <c r="A64" s="40">
        <v>59</v>
      </c>
      <c r="B64" t="s">
        <v>495</v>
      </c>
      <c r="C64" s="38"/>
      <c r="D64" s="38"/>
      <c r="E64" s="38"/>
      <c r="F64" s="40"/>
      <c r="G64" s="40"/>
      <c r="H64" s="40"/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>
        <v>50</v>
      </c>
    </row>
    <row r="65" spans="1:14">
      <c r="A65" s="40">
        <v>60</v>
      </c>
      <c r="B65" t="s">
        <v>116</v>
      </c>
      <c r="C65" s="38"/>
      <c r="D65" s="38"/>
      <c r="E65" s="38"/>
      <c r="F65" s="40"/>
      <c r="G65" s="40"/>
      <c r="H65" s="40"/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>
        <v>40</v>
      </c>
    </row>
    <row r="66" spans="1:14">
      <c r="A66" s="40"/>
      <c r="C66" s="38"/>
      <c r="D66" s="38"/>
      <c r="E66" s="38"/>
      <c r="F66" s="40"/>
      <c r="G66" s="40"/>
      <c r="H66" s="40"/>
      <c r="I66" s="40"/>
      <c r="J66" s="40"/>
      <c r="K66" s="40"/>
      <c r="L66" s="40"/>
      <c r="M66" s="40"/>
    </row>
    <row r="67" spans="1:14">
      <c r="A67" s="40"/>
      <c r="C67" s="38"/>
      <c r="D67" s="38"/>
      <c r="E67" s="38"/>
      <c r="F67" s="40"/>
      <c r="G67" s="40"/>
      <c r="H67" s="40"/>
      <c r="I67" s="40"/>
      <c r="J67" s="40"/>
      <c r="K67" s="40"/>
      <c r="L67" s="40"/>
      <c r="M67" s="40"/>
    </row>
    <row r="68" spans="1:14">
      <c r="A68" s="40"/>
      <c r="C68" s="38"/>
      <c r="D68" s="38"/>
      <c r="E68" s="38"/>
      <c r="F68" s="40"/>
      <c r="G68" s="40"/>
      <c r="H68" s="40"/>
      <c r="I68" s="40"/>
      <c r="J68" s="40"/>
      <c r="K68" s="40"/>
      <c r="L68" s="40"/>
      <c r="M68" s="40"/>
    </row>
    <row r="69" spans="1:14">
      <c r="A69" s="40"/>
      <c r="C69" s="38"/>
      <c r="D69" s="38"/>
      <c r="E69" s="38"/>
      <c r="F69" s="40"/>
      <c r="G69" s="40"/>
      <c r="H69" s="40"/>
      <c r="I69" s="40"/>
      <c r="J69" s="40"/>
      <c r="K69" s="40"/>
      <c r="L69" s="40"/>
      <c r="M69" s="40"/>
    </row>
    <row r="70" spans="1:14">
      <c r="A70" s="40"/>
      <c r="C70" s="38"/>
      <c r="D70" s="38"/>
      <c r="E70" s="38"/>
      <c r="F70" s="40"/>
      <c r="G70" s="40"/>
      <c r="H70" s="40"/>
      <c r="I70" s="40"/>
      <c r="J70" s="40"/>
      <c r="K70" s="40"/>
      <c r="L70" s="40"/>
      <c r="M70" s="40"/>
    </row>
    <row r="71" spans="1:14">
      <c r="A71" s="40"/>
      <c r="C71" s="38"/>
      <c r="D71" s="38"/>
      <c r="E71" s="38"/>
      <c r="F71" s="40"/>
      <c r="G71" s="40"/>
      <c r="H71" s="40"/>
      <c r="I71" s="40"/>
      <c r="J71" s="40"/>
      <c r="K71" s="40"/>
      <c r="L71" s="40"/>
      <c r="M71" s="40"/>
    </row>
    <row r="72" spans="1:14">
      <c r="A72" s="40"/>
      <c r="C72" s="38"/>
      <c r="D72" s="38"/>
      <c r="E72" s="38"/>
      <c r="F72" s="40"/>
      <c r="G72" s="40"/>
      <c r="H72" s="40"/>
      <c r="I72" s="40"/>
      <c r="J72" s="40"/>
      <c r="K72" s="40"/>
      <c r="L72" s="40"/>
      <c r="M72" s="40"/>
    </row>
    <row r="73" spans="1:14">
      <c r="A73" s="40"/>
      <c r="C73" s="38"/>
      <c r="D73" s="38"/>
      <c r="E73" s="38"/>
      <c r="F73" s="40"/>
      <c r="G73" s="40"/>
      <c r="H73" s="40"/>
      <c r="I73" s="40"/>
      <c r="J73" s="40"/>
      <c r="K73" s="40"/>
      <c r="L73" s="40"/>
      <c r="M73" s="40"/>
    </row>
    <row r="74" spans="1:14">
      <c r="A74" s="40"/>
      <c r="C74" s="38"/>
      <c r="D74" s="38"/>
      <c r="E74" s="38"/>
      <c r="F74" s="40"/>
      <c r="G74" s="40"/>
      <c r="H74" s="40"/>
      <c r="I74" s="40"/>
      <c r="J74" s="40"/>
      <c r="K74" s="40"/>
      <c r="L74" s="40"/>
      <c r="M74" s="40"/>
    </row>
    <row r="75" spans="1:14">
      <c r="A75" s="40"/>
      <c r="C75" s="38"/>
      <c r="D75" s="38"/>
      <c r="E75" s="38"/>
      <c r="F75" s="40"/>
      <c r="G75" s="40"/>
      <c r="H75" s="40"/>
      <c r="I75" s="40"/>
      <c r="J75" s="40"/>
      <c r="K75" s="40"/>
      <c r="L75" s="40"/>
      <c r="M75" s="40"/>
    </row>
    <row r="76" spans="1:14">
      <c r="A76" s="40"/>
      <c r="C76" s="38"/>
      <c r="D76" s="38"/>
      <c r="E76" s="38"/>
      <c r="F76" s="40"/>
      <c r="G76" s="40"/>
      <c r="H76" s="40"/>
      <c r="I76" s="40"/>
      <c r="J76" s="40"/>
      <c r="K76" s="40"/>
      <c r="L76" s="40"/>
      <c r="M76" s="40"/>
    </row>
    <row r="77" spans="1:14">
      <c r="A77" s="40"/>
      <c r="C77" s="38"/>
      <c r="D77" s="38"/>
      <c r="E77" s="38"/>
      <c r="F77" s="40"/>
      <c r="G77" s="40"/>
      <c r="H77" s="40"/>
      <c r="I77" s="40"/>
      <c r="J77" s="40"/>
      <c r="K77" s="40"/>
      <c r="L77" s="40"/>
      <c r="M77" s="40"/>
    </row>
    <row r="78" spans="1:14">
      <c r="A78" s="40"/>
      <c r="C78" s="38"/>
      <c r="D78" s="38"/>
      <c r="E78" s="38"/>
      <c r="F78" s="40"/>
      <c r="G78" s="40"/>
      <c r="H78" s="40"/>
      <c r="I78" s="40"/>
      <c r="J78" s="40"/>
      <c r="K78" s="40"/>
      <c r="L78" s="40"/>
      <c r="M78" s="40"/>
    </row>
    <row r="79" spans="1:14">
      <c r="A79" s="40"/>
      <c r="C79" s="38"/>
      <c r="D79" s="38"/>
      <c r="E79" s="38"/>
      <c r="F79" s="40"/>
      <c r="G79" s="40"/>
      <c r="H79" s="40"/>
      <c r="I79" s="40"/>
      <c r="J79" s="40"/>
      <c r="K79" s="40"/>
      <c r="L79" s="40"/>
      <c r="M79" s="40"/>
    </row>
    <row r="80" spans="1:14">
      <c r="A80" s="40"/>
      <c r="C80" s="38"/>
      <c r="D80" s="38"/>
      <c r="E80" s="38"/>
      <c r="F80" s="40"/>
      <c r="G80" s="40"/>
      <c r="H80" s="40"/>
      <c r="I80" s="40"/>
      <c r="J80" s="40"/>
      <c r="K80" s="40"/>
      <c r="L80" s="40"/>
      <c r="M80" s="40"/>
    </row>
    <row r="81" spans="1:13">
      <c r="A81" s="40"/>
      <c r="C81" s="38"/>
      <c r="D81" s="38"/>
      <c r="E81" s="38"/>
      <c r="F81" s="40"/>
      <c r="G81" s="40"/>
      <c r="H81" s="40"/>
      <c r="I81" s="40"/>
      <c r="J81" s="40"/>
      <c r="K81" s="40"/>
      <c r="L81" s="40"/>
      <c r="M81" s="40"/>
    </row>
    <row r="82" spans="1:13">
      <c r="A82" s="40"/>
      <c r="C82" s="38"/>
      <c r="D82" s="38"/>
      <c r="E82" s="38"/>
      <c r="F82" s="40"/>
      <c r="G82" s="40"/>
      <c r="H82" s="40"/>
      <c r="I82" s="40"/>
      <c r="J82" s="40"/>
      <c r="K82" s="40"/>
      <c r="L82" s="40"/>
      <c r="M82" s="40"/>
    </row>
    <row r="83" spans="1:13">
      <c r="A83" s="40"/>
      <c r="C83" s="38"/>
      <c r="D83" s="38"/>
      <c r="E83" s="38"/>
      <c r="F83" s="40"/>
      <c r="G83" s="40"/>
      <c r="H83" s="40"/>
      <c r="I83" s="40"/>
      <c r="J83" s="40"/>
      <c r="K83" s="40"/>
      <c r="L83" s="40"/>
      <c r="M83" s="40"/>
    </row>
    <row r="84" spans="1:13">
      <c r="A84" s="40"/>
      <c r="C84" s="38"/>
      <c r="D84" s="38"/>
      <c r="E84" s="38"/>
      <c r="F84" s="40"/>
      <c r="G84" s="40"/>
      <c r="H84" s="40"/>
      <c r="I84" s="40"/>
      <c r="J84" s="40"/>
      <c r="K84" s="40"/>
      <c r="L84" s="40"/>
      <c r="M84" s="40"/>
    </row>
    <row r="85" spans="1:13">
      <c r="A85" s="40"/>
      <c r="C85" s="38"/>
      <c r="D85" s="38"/>
      <c r="E85" s="38"/>
      <c r="F85" s="40"/>
      <c r="G85" s="40"/>
      <c r="H85" s="40"/>
      <c r="I85" s="40"/>
      <c r="J85" s="40"/>
      <c r="K85" s="40"/>
      <c r="L85" s="40"/>
      <c r="M85" s="40"/>
    </row>
    <row r="86" spans="1:13">
      <c r="A86" s="40"/>
      <c r="C86" s="38"/>
      <c r="D86" s="38"/>
      <c r="E86" s="38"/>
      <c r="F86" s="40"/>
      <c r="G86" s="40"/>
      <c r="H86" s="40"/>
      <c r="I86" s="40"/>
      <c r="J86" s="40"/>
      <c r="K86" s="40"/>
      <c r="L86" s="40"/>
      <c r="M86" s="40"/>
    </row>
    <row r="87" spans="1:13">
      <c r="A87" s="40"/>
      <c r="C87" s="38"/>
      <c r="D87" s="38"/>
      <c r="E87" s="38"/>
      <c r="F87" s="40"/>
      <c r="G87" s="40"/>
      <c r="H87" s="40"/>
      <c r="I87" s="40"/>
      <c r="J87" s="40"/>
      <c r="K87" s="40"/>
      <c r="L87" s="40"/>
      <c r="M87" s="40"/>
    </row>
    <row r="88" spans="1:13">
      <c r="A88" s="40"/>
      <c r="C88" s="38"/>
      <c r="D88" s="38"/>
      <c r="E88" s="38"/>
      <c r="F88" s="40"/>
      <c r="G88" s="40"/>
      <c r="H88" s="40"/>
      <c r="I88" s="40"/>
      <c r="J88" s="40"/>
      <c r="K88" s="40"/>
      <c r="L88" s="40"/>
      <c r="M88" s="40"/>
    </row>
    <row r="89" spans="1:13">
      <c r="A89" s="40"/>
      <c r="C89" s="38"/>
      <c r="D89" s="38"/>
      <c r="E89" s="38"/>
      <c r="F89" s="40"/>
      <c r="G89" s="40"/>
      <c r="H89" s="40"/>
      <c r="I89" s="40"/>
      <c r="J89" s="40"/>
      <c r="K89" s="40"/>
      <c r="L89" s="40"/>
      <c r="M89" s="40"/>
    </row>
    <row r="90" spans="1:13">
      <c r="A90" s="40"/>
      <c r="C90" s="38"/>
      <c r="D90" s="38"/>
      <c r="E90" s="38"/>
      <c r="F90" s="40"/>
      <c r="G90" s="40"/>
      <c r="H90" s="40"/>
      <c r="I90" s="40"/>
      <c r="J90" s="40"/>
      <c r="K90" s="40"/>
      <c r="L90" s="40"/>
      <c r="M90" s="40"/>
    </row>
    <row r="91" spans="1:13">
      <c r="A91" s="40"/>
      <c r="C91" s="38"/>
      <c r="D91" s="38"/>
      <c r="E91" s="38"/>
      <c r="F91" s="40"/>
      <c r="G91" s="40"/>
      <c r="H91" s="40"/>
      <c r="I91" s="40"/>
      <c r="J91" s="40"/>
      <c r="K91" s="40"/>
      <c r="L91" s="40"/>
      <c r="M91" s="40"/>
    </row>
    <row r="92" spans="1:13">
      <c r="A92" s="40"/>
      <c r="C92" s="38"/>
      <c r="D92" s="38"/>
      <c r="E92" s="38"/>
      <c r="F92" s="40"/>
      <c r="G92" s="40"/>
      <c r="H92" s="40"/>
      <c r="I92" s="40"/>
      <c r="J92" s="40"/>
      <c r="K92" s="40"/>
      <c r="L92" s="40"/>
      <c r="M92" s="40"/>
    </row>
    <row r="93" spans="1:13">
      <c r="A93" s="40"/>
      <c r="C93" s="38"/>
      <c r="D93" s="38"/>
      <c r="E93" s="38"/>
      <c r="F93" s="40"/>
      <c r="G93" s="40"/>
      <c r="H93" s="40"/>
      <c r="I93" s="40"/>
      <c r="J93" s="40"/>
      <c r="K93" s="40"/>
      <c r="L93" s="40"/>
      <c r="M93" s="40"/>
    </row>
    <row r="94" spans="1:13">
      <c r="A94" s="40"/>
      <c r="C94" s="38"/>
      <c r="D94" s="38"/>
      <c r="E94" s="38"/>
      <c r="F94" s="40"/>
      <c r="G94" s="40"/>
      <c r="H94" s="40"/>
      <c r="I94" s="40"/>
      <c r="J94" s="40"/>
      <c r="K94" s="40"/>
      <c r="L94" s="40"/>
      <c r="M94" s="40"/>
    </row>
    <row r="95" spans="1:13">
      <c r="A95" s="40"/>
      <c r="F95" s="38"/>
      <c r="G95" s="38"/>
      <c r="H95" s="38"/>
      <c r="I95" s="40"/>
      <c r="J95" s="40"/>
      <c r="K95" s="40"/>
      <c r="L95" s="40"/>
      <c r="M95" s="40"/>
    </row>
    <row r="96" spans="1:13">
      <c r="A96" s="40"/>
      <c r="F96" s="38"/>
      <c r="G96" s="38"/>
      <c r="H96" s="38"/>
      <c r="I96" s="40"/>
      <c r="J96" s="40"/>
      <c r="K96" s="40"/>
      <c r="L96" s="40"/>
      <c r="M96" s="40"/>
    </row>
    <row r="97" spans="1:13">
      <c r="A97" s="40"/>
      <c r="F97" s="38"/>
      <c r="G97" s="38"/>
      <c r="H97" s="38"/>
      <c r="I97" s="40"/>
      <c r="J97" s="40"/>
      <c r="K97" s="40"/>
      <c r="L97" s="40"/>
      <c r="M97" s="40"/>
    </row>
    <row r="98" spans="1:13">
      <c r="A98" s="40"/>
      <c r="E98" s="40"/>
    </row>
    <row r="99" spans="1:13">
      <c r="A99" s="40"/>
      <c r="E99" s="40"/>
    </row>
    <row r="100" spans="1:13">
      <c r="A100" s="40"/>
      <c r="E100" s="40"/>
    </row>
    <row r="101" spans="1:13">
      <c r="A101" s="40"/>
      <c r="E101" s="40"/>
    </row>
    <row r="102" spans="1:13">
      <c r="A102" s="40"/>
      <c r="E102" s="40"/>
    </row>
    <row r="103" spans="1:13">
      <c r="A103" s="40"/>
      <c r="E103" s="40"/>
    </row>
    <row r="104" spans="1:13">
      <c r="A104" s="40"/>
      <c r="E104" s="40"/>
    </row>
    <row r="105" spans="1:13">
      <c r="A105" s="40"/>
      <c r="E105" s="40"/>
    </row>
    <row r="106" spans="1:13">
      <c r="A106" s="40"/>
      <c r="E106" s="40"/>
    </row>
    <row r="107" spans="1:13">
      <c r="A107" s="40"/>
      <c r="E107" s="40"/>
    </row>
    <row r="108" spans="1:13">
      <c r="A108" s="40"/>
      <c r="E108" s="40"/>
    </row>
    <row r="109" spans="1:13">
      <c r="A109" s="40"/>
      <c r="E109" s="40"/>
    </row>
    <row r="110" spans="1:13">
      <c r="A110" s="40"/>
      <c r="E110" s="40"/>
    </row>
    <row r="111" spans="1:13">
      <c r="A111" s="40"/>
      <c r="E111" s="40"/>
    </row>
    <row r="112" spans="1:13">
      <c r="A112" s="40"/>
      <c r="E112" s="40"/>
    </row>
    <row r="113" spans="1:5">
      <c r="A113" s="40"/>
      <c r="E113" s="40"/>
    </row>
    <row r="114" spans="1:5">
      <c r="A114" s="40"/>
      <c r="E114" s="40"/>
    </row>
    <row r="115" spans="1:5">
      <c r="A115" s="40"/>
      <c r="E115" s="40"/>
    </row>
    <row r="116" spans="1:5">
      <c r="A116" s="40"/>
      <c r="E116" s="40"/>
    </row>
    <row r="117" spans="1:5">
      <c r="A117" s="40"/>
      <c r="E117" s="40"/>
    </row>
    <row r="118" spans="1:5">
      <c r="A118" s="40"/>
      <c r="E118" s="40"/>
    </row>
    <row r="119" spans="1:5">
      <c r="A119" s="40"/>
      <c r="E119" s="40"/>
    </row>
    <row r="120" spans="1:5">
      <c r="A120" s="40"/>
      <c r="E120" s="40"/>
    </row>
    <row r="121" spans="1:5">
      <c r="A121" s="40"/>
      <c r="E121" s="40"/>
    </row>
    <row r="122" spans="1:5">
      <c r="A122" s="40"/>
      <c r="E122" s="40"/>
    </row>
    <row r="123" spans="1:5">
      <c r="A123" s="40"/>
      <c r="E123" s="40"/>
    </row>
    <row r="124" spans="1:5">
      <c r="A124" s="40"/>
      <c r="E124" s="40"/>
    </row>
    <row r="125" spans="1:5">
      <c r="A125" s="40"/>
      <c r="E125" s="40"/>
    </row>
    <row r="126" spans="1:5">
      <c r="A126" s="40"/>
      <c r="E126" s="40"/>
    </row>
    <row r="127" spans="1:5">
      <c r="A127" s="40"/>
      <c r="E127" s="40"/>
    </row>
    <row r="128" spans="1:5">
      <c r="A128" s="40"/>
      <c r="E128" s="40"/>
    </row>
    <row r="129" spans="1:5">
      <c r="A129" s="40"/>
      <c r="E129" s="40"/>
    </row>
    <row r="130" spans="1:5">
      <c r="A130" s="40"/>
      <c r="E130" s="40"/>
    </row>
    <row r="131" spans="1:5">
      <c r="A131" s="40"/>
      <c r="E131" s="40"/>
    </row>
    <row r="132" spans="1:5">
      <c r="A132" s="40"/>
      <c r="E132" s="40"/>
    </row>
    <row r="133" spans="1:5">
      <c r="A133" s="40"/>
      <c r="E133" s="40"/>
    </row>
    <row r="134" spans="1:5">
      <c r="A134" s="40"/>
      <c r="E134" s="40"/>
    </row>
    <row r="135" spans="1:5">
      <c r="A135" s="40"/>
      <c r="E135" s="40"/>
    </row>
    <row r="136" spans="1:5">
      <c r="A136" s="40"/>
      <c r="E136" s="40"/>
    </row>
    <row r="137" spans="1:5">
      <c r="A137" s="40"/>
      <c r="E137" s="40"/>
    </row>
    <row r="138" spans="1:5">
      <c r="A138" s="40"/>
      <c r="E138" s="40"/>
    </row>
    <row r="139" spans="1:5">
      <c r="A139" s="40"/>
      <c r="E139" s="40"/>
    </row>
    <row r="140" spans="1:5">
      <c r="A140" s="40"/>
      <c r="E140" s="40"/>
    </row>
    <row r="141" spans="1:5">
      <c r="A141" s="40"/>
      <c r="E141" s="40"/>
    </row>
    <row r="142" spans="1:5">
      <c r="A142" s="40"/>
      <c r="E142" s="40"/>
    </row>
    <row r="143" spans="1:5">
      <c r="A143" s="40"/>
      <c r="E143" s="40"/>
    </row>
    <row r="144" spans="1:5">
      <c r="A144" s="40"/>
      <c r="E144" s="40"/>
    </row>
    <row r="145" spans="1:5">
      <c r="A145" s="40"/>
      <c r="E145" s="40"/>
    </row>
    <row r="146" spans="1:5">
      <c r="A146" s="40"/>
      <c r="E146" s="40"/>
    </row>
    <row r="147" spans="1:5">
      <c r="A147" s="40"/>
      <c r="E147" s="40"/>
    </row>
    <row r="148" spans="1:5">
      <c r="A148" s="40"/>
      <c r="E148" s="40"/>
    </row>
    <row r="149" spans="1:5">
      <c r="A149" s="40"/>
      <c r="E149" s="40"/>
    </row>
    <row r="150" spans="1:5">
      <c r="A150" s="40"/>
      <c r="E150" s="40"/>
    </row>
    <row r="151" spans="1:5">
      <c r="A151" s="40"/>
      <c r="E151" s="40"/>
    </row>
    <row r="152" spans="1:5">
      <c r="A152" s="40"/>
      <c r="E152" s="40"/>
    </row>
    <row r="153" spans="1:5">
      <c r="A153" s="40"/>
      <c r="E153" s="40"/>
    </row>
    <row r="154" spans="1:5">
      <c r="A154" s="40"/>
      <c r="E154" s="40"/>
    </row>
    <row r="155" spans="1:5">
      <c r="A155" s="40"/>
      <c r="E155" s="40"/>
    </row>
    <row r="156" spans="1:5">
      <c r="A156" s="40"/>
      <c r="E156" s="40"/>
    </row>
    <row r="157" spans="1:5">
      <c r="A157" s="40"/>
      <c r="E157" s="40"/>
    </row>
    <row r="158" spans="1:5">
      <c r="A158" s="40"/>
      <c r="E158" s="40"/>
    </row>
    <row r="159" spans="1:5">
      <c r="A159" s="40"/>
      <c r="E159" s="40"/>
    </row>
    <row r="160" spans="1:5">
      <c r="A160" s="40"/>
      <c r="E160" s="40"/>
    </row>
    <row r="161" spans="1:5">
      <c r="A161" s="40"/>
      <c r="E161" s="40"/>
    </row>
    <row r="162" spans="1:5">
      <c r="A162" s="40"/>
      <c r="E162" s="40"/>
    </row>
    <row r="163" spans="1:5">
      <c r="A163" s="40"/>
      <c r="E163" s="40"/>
    </row>
    <row r="164" spans="1:5">
      <c r="A164" s="40"/>
      <c r="E164" s="40"/>
    </row>
    <row r="165" spans="1:5">
      <c r="A165" s="40"/>
      <c r="E165" s="40"/>
    </row>
    <row r="166" spans="1:5">
      <c r="A166" s="40"/>
      <c r="E166" s="40"/>
    </row>
    <row r="167" spans="1:5">
      <c r="A167" s="40"/>
      <c r="E167" s="40"/>
    </row>
    <row r="168" spans="1:5">
      <c r="A168" s="40"/>
      <c r="E168" s="40"/>
    </row>
    <row r="169" spans="1:5">
      <c r="A169" s="40"/>
      <c r="E169" s="40"/>
    </row>
    <row r="170" spans="1:5">
      <c r="A170" s="40"/>
      <c r="E170" s="40"/>
    </row>
    <row r="171" spans="1:5">
      <c r="A171" s="40"/>
      <c r="E171" s="40"/>
    </row>
    <row r="172" spans="1:5">
      <c r="A172" s="40"/>
      <c r="E172" s="40"/>
    </row>
    <row r="173" spans="1:5">
      <c r="A173" s="40"/>
      <c r="E173" s="40"/>
    </row>
    <row r="174" spans="1:5">
      <c r="A174" s="40"/>
      <c r="E174" s="40"/>
    </row>
    <row r="175" spans="1:5">
      <c r="A175" s="40"/>
      <c r="E175" s="40"/>
    </row>
    <row r="176" spans="1:5">
      <c r="A176" s="40"/>
      <c r="E176" s="40"/>
    </row>
    <row r="177" spans="1:13">
      <c r="A177" s="40"/>
      <c r="E177" s="40"/>
    </row>
    <row r="178" spans="1:13">
      <c r="A178" s="40"/>
      <c r="E178" s="40"/>
    </row>
    <row r="179" spans="1:13">
      <c r="A179" s="40"/>
      <c r="E179" s="40"/>
    </row>
    <row r="180" spans="1:13">
      <c r="A180" s="40"/>
      <c r="E180" s="40"/>
    </row>
    <row r="181" spans="1:13">
      <c r="A181" s="40"/>
      <c r="E181" s="40"/>
    </row>
    <row r="182" spans="1:13">
      <c r="A182" s="40"/>
      <c r="E182" s="40"/>
    </row>
    <row r="183" spans="1:13">
      <c r="A183" s="40"/>
      <c r="E183" s="40"/>
    </row>
    <row r="184" spans="1:13">
      <c r="A184" s="40"/>
      <c r="E184" s="40"/>
    </row>
    <row r="185" spans="1:13">
      <c r="A185" s="40"/>
      <c r="E185" s="40"/>
    </row>
    <row r="186" spans="1:13">
      <c r="A186" s="40"/>
      <c r="F186" s="38"/>
      <c r="G186" s="38"/>
      <c r="H186" s="38"/>
      <c r="I186" s="40"/>
      <c r="J186" s="40"/>
      <c r="K186" s="40"/>
      <c r="L186" s="40"/>
      <c r="M186" s="40"/>
    </row>
    <row r="187" spans="1:13">
      <c r="A187" s="40"/>
      <c r="F187" s="38"/>
      <c r="G187" s="38"/>
      <c r="H187" s="38"/>
      <c r="I187" s="40"/>
      <c r="J187" s="40"/>
      <c r="K187" s="40"/>
      <c r="L187" s="40"/>
      <c r="M187" s="40"/>
    </row>
    <row r="188" spans="1:13">
      <c r="A188" s="40"/>
      <c r="F188" s="38"/>
      <c r="G188" s="38"/>
      <c r="H188" s="38"/>
      <c r="I188" s="40"/>
      <c r="J188" s="40"/>
      <c r="K188" s="40"/>
      <c r="L188" s="40"/>
      <c r="M188" s="40"/>
    </row>
    <row r="189" spans="1:13">
      <c r="A189" s="40"/>
      <c r="F189" s="38"/>
      <c r="G189" s="38"/>
      <c r="H189" s="38"/>
      <c r="I189" s="40"/>
      <c r="J189" s="40"/>
      <c r="K189" s="40"/>
      <c r="L189" s="40"/>
      <c r="M189" s="40"/>
    </row>
    <row r="190" spans="1:13">
      <c r="A190" s="40"/>
      <c r="F190" s="38"/>
      <c r="G190" s="38"/>
      <c r="H190" s="38"/>
      <c r="I190" s="40"/>
      <c r="J190" s="40"/>
      <c r="K190" s="40"/>
      <c r="L190" s="40"/>
      <c r="M190" s="40"/>
    </row>
    <row r="191" spans="1:13">
      <c r="A191" s="40"/>
      <c r="F191" s="38"/>
      <c r="G191" s="38"/>
      <c r="H191" s="38"/>
      <c r="I191" s="40"/>
      <c r="J191" s="40"/>
      <c r="K191" s="40"/>
      <c r="L191" s="40"/>
      <c r="M191" s="40"/>
    </row>
    <row r="192" spans="1:13">
      <c r="A192" s="40"/>
      <c r="F192" s="38"/>
      <c r="G192" s="38"/>
      <c r="H192" s="38"/>
      <c r="I192" s="40"/>
      <c r="J192" s="40"/>
      <c r="K192" s="40"/>
      <c r="L192" s="40"/>
      <c r="M192" s="40"/>
    </row>
    <row r="193" spans="1:13">
      <c r="A193" s="40"/>
      <c r="F193" s="38"/>
      <c r="G193" s="38"/>
      <c r="H193" s="38"/>
      <c r="I193" s="40"/>
      <c r="J193" s="40"/>
      <c r="K193" s="40"/>
      <c r="L193" s="40"/>
      <c r="M193" s="40"/>
    </row>
    <row r="194" spans="1:13">
      <c r="A194" s="40"/>
      <c r="F194" s="38"/>
      <c r="G194" s="38"/>
      <c r="H194" s="38"/>
      <c r="I194" s="40"/>
      <c r="J194" s="40"/>
      <c r="K194" s="40"/>
      <c r="L194" s="40"/>
      <c r="M194" s="40"/>
    </row>
    <row r="195" spans="1:13">
      <c r="A195" s="40"/>
      <c r="F195" s="38"/>
      <c r="G195" s="38"/>
      <c r="H195" s="38"/>
      <c r="I195" s="40"/>
      <c r="J195" s="40"/>
      <c r="K195" s="40"/>
      <c r="L195" s="40"/>
      <c r="M195" s="40"/>
    </row>
    <row r="196" spans="1:13">
      <c r="A196" s="40"/>
      <c r="F196" s="38"/>
      <c r="G196" s="38"/>
      <c r="H196" s="38"/>
      <c r="I196" s="40"/>
      <c r="J196" s="40"/>
      <c r="K196" s="40"/>
      <c r="L196" s="40"/>
      <c r="M196" s="40"/>
    </row>
    <row r="197" spans="1:13">
      <c r="A197" s="40"/>
      <c r="F197" s="38"/>
      <c r="G197" s="38"/>
      <c r="H197" s="38"/>
      <c r="I197" s="40"/>
      <c r="J197" s="40"/>
      <c r="K197" s="40"/>
      <c r="L197" s="40"/>
      <c r="M197" s="40"/>
    </row>
    <row r="198" spans="1:13">
      <c r="A198" s="40"/>
      <c r="F198" s="38"/>
      <c r="G198" s="38"/>
      <c r="H198" s="38"/>
      <c r="I198" s="40"/>
      <c r="J198" s="40"/>
      <c r="K198" s="40"/>
      <c r="L198" s="40"/>
      <c r="M198" s="40"/>
    </row>
    <row r="199" spans="1:13">
      <c r="A199" s="40"/>
      <c r="F199" s="38"/>
      <c r="G199" s="38"/>
      <c r="H199" s="38"/>
      <c r="I199" s="40"/>
      <c r="J199" s="40"/>
      <c r="K199" s="40"/>
      <c r="L199" s="40"/>
      <c r="M199" s="40"/>
    </row>
    <row r="200" spans="1:13">
      <c r="A200" s="40"/>
      <c r="F200" s="38"/>
      <c r="G200" s="38"/>
      <c r="H200" s="38"/>
      <c r="I200" s="40"/>
      <c r="J200" s="40"/>
      <c r="K200" s="40"/>
      <c r="L200" s="40"/>
      <c r="M200" s="40"/>
    </row>
    <row r="201" spans="1:13">
      <c r="A201" s="40"/>
      <c r="F201" s="38"/>
      <c r="G201" s="38"/>
      <c r="H201" s="38"/>
      <c r="I201" s="40"/>
      <c r="J201" s="40"/>
      <c r="K201" s="40"/>
      <c r="L201" s="40"/>
      <c r="M201" s="40"/>
    </row>
    <row r="202" spans="1:13">
      <c r="A202" s="40"/>
      <c r="F202" s="38"/>
      <c r="G202" s="38"/>
      <c r="H202" s="38"/>
      <c r="I202" s="40"/>
      <c r="J202" s="40"/>
      <c r="K202" s="40"/>
      <c r="L202" s="40"/>
      <c r="M202" s="40"/>
    </row>
    <row r="203" spans="1:13">
      <c r="A203" s="40"/>
      <c r="F203" s="38"/>
      <c r="G203" s="38"/>
      <c r="H203" s="38"/>
      <c r="I203" s="40"/>
      <c r="J203" s="40"/>
      <c r="K203" s="40"/>
      <c r="L203" s="40"/>
      <c r="M203" s="40"/>
    </row>
    <row r="204" spans="1:13">
      <c r="A204" s="40"/>
      <c r="F204" s="38"/>
      <c r="G204" s="38"/>
      <c r="H204" s="38"/>
      <c r="I204" s="40"/>
      <c r="J204" s="40"/>
      <c r="K204" s="40"/>
      <c r="L204" s="40"/>
      <c r="M204" s="40"/>
    </row>
    <row r="205" spans="1:13">
      <c r="A205" s="40"/>
      <c r="F205" s="38"/>
      <c r="G205" s="38"/>
      <c r="H205" s="38"/>
      <c r="I205" s="40"/>
      <c r="J205" s="40"/>
      <c r="K205" s="40"/>
      <c r="L205" s="40"/>
      <c r="M205" s="40"/>
    </row>
    <row r="206" spans="1:13">
      <c r="A206" s="40"/>
      <c r="F206" s="38"/>
      <c r="G206" s="38"/>
      <c r="H206" s="38"/>
      <c r="I206" s="40"/>
      <c r="J206" s="40"/>
      <c r="K206" s="40"/>
      <c r="L206" s="40"/>
      <c r="M206" s="40"/>
    </row>
    <row r="207" spans="1:13">
      <c r="A207" s="40"/>
      <c r="F207" s="38"/>
      <c r="G207" s="38"/>
      <c r="H207" s="38"/>
      <c r="I207" s="40"/>
      <c r="J207" s="40"/>
      <c r="K207" s="40"/>
      <c r="L207" s="40"/>
      <c r="M207" s="40"/>
    </row>
    <row r="208" spans="1:13">
      <c r="A208" s="40"/>
      <c r="F208" s="38"/>
      <c r="G208" s="38"/>
      <c r="H208" s="38"/>
      <c r="I208" s="40"/>
      <c r="J208" s="40"/>
      <c r="K208" s="40"/>
      <c r="L208" s="40"/>
      <c r="M208" s="40"/>
    </row>
    <row r="209" spans="1:13">
      <c r="A209" s="40"/>
      <c r="F209" s="38"/>
      <c r="G209" s="38"/>
      <c r="H209" s="38"/>
      <c r="I209" s="40"/>
      <c r="J209" s="40"/>
      <c r="K209" s="40"/>
      <c r="L209" s="40"/>
      <c r="M209" s="40"/>
    </row>
    <row r="210" spans="1:13">
      <c r="A210" s="40"/>
      <c r="F210" s="38"/>
      <c r="G210" s="38"/>
      <c r="H210" s="38"/>
      <c r="I210" s="40"/>
      <c r="J210" s="40"/>
      <c r="K210" s="40"/>
      <c r="L210" s="40"/>
      <c r="M210" s="40"/>
    </row>
    <row r="211" spans="1:13">
      <c r="A211" s="40"/>
      <c r="F211" s="38"/>
      <c r="G211" s="38"/>
      <c r="H211" s="38"/>
      <c r="I211" s="40"/>
      <c r="J211" s="40"/>
      <c r="K211" s="40"/>
      <c r="L211" s="40"/>
      <c r="M211" s="40"/>
    </row>
    <row r="212" spans="1:13">
      <c r="A212" s="40"/>
      <c r="F212" s="38"/>
      <c r="G212" s="38"/>
      <c r="H212" s="38"/>
      <c r="I212" s="40"/>
      <c r="J212" s="40"/>
      <c r="K212" s="40"/>
      <c r="L212" s="40"/>
      <c r="M212" s="40"/>
    </row>
    <row r="213" spans="1:13">
      <c r="A213" s="40"/>
      <c r="F213" s="38"/>
      <c r="G213" s="38"/>
      <c r="H213" s="38"/>
      <c r="I213" s="40"/>
      <c r="J213" s="40"/>
      <c r="K213" s="40"/>
      <c r="L213" s="40"/>
      <c r="M213" s="40"/>
    </row>
    <row r="214" spans="1:13">
      <c r="A214" s="40"/>
      <c r="F214" s="38"/>
      <c r="G214" s="38"/>
      <c r="H214" s="38"/>
      <c r="I214" s="40"/>
      <c r="J214" s="40"/>
      <c r="K214" s="40"/>
      <c r="L214" s="40"/>
      <c r="M214" s="40"/>
    </row>
    <row r="215" spans="1:13">
      <c r="A215" s="40"/>
      <c r="F215" s="38"/>
      <c r="G215" s="38"/>
      <c r="H215" s="38"/>
      <c r="I215" s="40"/>
      <c r="J215" s="40"/>
      <c r="K215" s="40"/>
      <c r="L215" s="40"/>
      <c r="M215" s="40"/>
    </row>
    <row r="216" spans="1:13">
      <c r="A216" s="40"/>
      <c r="F216" s="38"/>
      <c r="G216" s="38"/>
      <c r="H216" s="38"/>
      <c r="I216" s="40"/>
      <c r="J216" s="40"/>
      <c r="K216" s="40"/>
      <c r="L216" s="40"/>
      <c r="M216" s="40"/>
    </row>
    <row r="217" spans="1:13">
      <c r="A217" s="40"/>
      <c r="F217" s="38"/>
      <c r="G217" s="38"/>
      <c r="H217" s="38"/>
      <c r="I217" s="40"/>
      <c r="J217" s="40"/>
      <c r="K217" s="40"/>
      <c r="L217" s="40"/>
      <c r="M217" s="40"/>
    </row>
    <row r="218" spans="1:13">
      <c r="A218" s="40"/>
      <c r="F218" s="38"/>
      <c r="G218" s="38"/>
      <c r="H218" s="38"/>
      <c r="I218" s="40"/>
      <c r="J218" s="40"/>
      <c r="K218" s="40"/>
      <c r="L218" s="40"/>
      <c r="M218" s="40"/>
    </row>
    <row r="219" spans="1:13">
      <c r="A219" s="40"/>
      <c r="F219" s="38"/>
      <c r="G219" s="38"/>
      <c r="H219" s="38"/>
      <c r="I219" s="40"/>
      <c r="J219" s="40"/>
      <c r="K219" s="40"/>
      <c r="L219" s="40"/>
      <c r="M219" s="40"/>
    </row>
    <row r="220" spans="1:13">
      <c r="A220" s="40"/>
      <c r="F220" s="38"/>
      <c r="G220" s="38"/>
      <c r="H220" s="38"/>
      <c r="I220" s="40"/>
      <c r="J220" s="40"/>
      <c r="K220" s="40"/>
      <c r="L220" s="40"/>
      <c r="M220" s="40"/>
    </row>
    <row r="221" spans="1:13">
      <c r="A221" s="40"/>
      <c r="F221" s="38"/>
      <c r="G221" s="38"/>
      <c r="H221" s="38"/>
      <c r="I221" s="40"/>
      <c r="J221" s="40"/>
      <c r="K221" s="40"/>
      <c r="L221" s="40"/>
      <c r="M221" s="40"/>
    </row>
    <row r="222" spans="1:13">
      <c r="A222" s="40"/>
      <c r="F222" s="38"/>
      <c r="G222" s="38"/>
      <c r="H222" s="38"/>
      <c r="I222" s="40"/>
      <c r="J222" s="40"/>
      <c r="K222" s="40"/>
      <c r="L222" s="40"/>
      <c r="M222" s="40"/>
    </row>
    <row r="223" spans="1:13">
      <c r="A223" s="40"/>
      <c r="F223" s="38"/>
      <c r="G223" s="38"/>
      <c r="H223" s="38"/>
      <c r="I223" s="40"/>
      <c r="J223" s="40"/>
      <c r="K223" s="40"/>
      <c r="L223" s="40"/>
      <c r="M223" s="40"/>
    </row>
    <row r="224" spans="1:13">
      <c r="A224" s="40"/>
      <c r="F224" s="38"/>
      <c r="G224" s="38"/>
      <c r="H224" s="38"/>
      <c r="I224" s="40"/>
      <c r="J224" s="40"/>
      <c r="K224" s="40"/>
      <c r="L224" s="40"/>
      <c r="M224" s="40"/>
    </row>
    <row r="225" spans="1:13">
      <c r="A225" s="40"/>
      <c r="F225" s="38"/>
      <c r="G225" s="38"/>
      <c r="H225" s="38"/>
      <c r="I225" s="40"/>
      <c r="J225" s="40"/>
      <c r="K225" s="40"/>
      <c r="L225" s="40"/>
      <c r="M225" s="40"/>
    </row>
    <row r="226" spans="1:13">
      <c r="A226" s="40"/>
      <c r="F226" s="38"/>
      <c r="G226" s="38"/>
      <c r="H226" s="38"/>
      <c r="I226" s="40"/>
      <c r="J226" s="40"/>
      <c r="K226" s="40"/>
      <c r="L226" s="40"/>
      <c r="M226" s="40"/>
    </row>
    <row r="227" spans="1:13">
      <c r="A227" s="40"/>
      <c r="F227" s="38"/>
      <c r="G227" s="38"/>
      <c r="H227" s="38"/>
      <c r="I227" s="40"/>
      <c r="J227" s="40"/>
      <c r="K227" s="40"/>
      <c r="L227" s="40"/>
      <c r="M227" s="40"/>
    </row>
    <row r="228" spans="1:13">
      <c r="A228" s="40"/>
      <c r="F228" s="38"/>
      <c r="G228" s="38"/>
      <c r="H228" s="38"/>
      <c r="I228" s="40"/>
      <c r="J228" s="40"/>
      <c r="K228" s="40"/>
      <c r="L228" s="40"/>
      <c r="M228" s="40"/>
    </row>
    <row r="229" spans="1:13">
      <c r="A229" s="40"/>
      <c r="F229" s="38"/>
      <c r="G229" s="38"/>
      <c r="H229" s="38"/>
      <c r="I229" s="40"/>
      <c r="J229" s="40"/>
      <c r="K229" s="40"/>
      <c r="L229" s="40"/>
      <c r="M229" s="40"/>
    </row>
    <row r="230" spans="1:13">
      <c r="A230" s="40"/>
      <c r="F230" s="38"/>
      <c r="G230" s="38"/>
      <c r="H230" s="38"/>
      <c r="I230" s="40"/>
      <c r="J230" s="40"/>
      <c r="K230" s="40"/>
      <c r="L230" s="40"/>
      <c r="M230" s="40"/>
    </row>
    <row r="231" spans="1:13">
      <c r="A231" s="40"/>
      <c r="F231" s="38"/>
      <c r="G231" s="38"/>
      <c r="H231" s="38"/>
      <c r="I231" s="40"/>
      <c r="J231" s="40"/>
      <c r="K231" s="40"/>
      <c r="L231" s="40"/>
      <c r="M231" s="40"/>
    </row>
    <row r="232" spans="1:13">
      <c r="A232" s="40"/>
      <c r="F232" s="38"/>
      <c r="G232" s="38"/>
      <c r="H232" s="38"/>
      <c r="I232" s="40"/>
      <c r="J232" s="40"/>
      <c r="K232" s="40"/>
      <c r="L232" s="40"/>
      <c r="M232" s="40"/>
    </row>
    <row r="233" spans="1:13">
      <c r="A233" s="40"/>
      <c r="F233" s="38"/>
      <c r="G233" s="38"/>
      <c r="H233" s="38"/>
      <c r="I233" s="40"/>
      <c r="J233" s="40"/>
      <c r="K233" s="40"/>
      <c r="L233" s="40"/>
      <c r="M233" s="40"/>
    </row>
    <row r="234" spans="1:13">
      <c r="A234" s="40"/>
      <c r="F234" s="38"/>
      <c r="G234" s="38"/>
      <c r="H234" s="38"/>
      <c r="I234" s="40"/>
      <c r="J234" s="40"/>
      <c r="K234" s="40"/>
      <c r="L234" s="40"/>
      <c r="M234" s="40"/>
    </row>
    <row r="235" spans="1:13">
      <c r="A235" s="40"/>
      <c r="F235" s="38"/>
      <c r="G235" s="38"/>
      <c r="H235" s="38"/>
      <c r="I235" s="40"/>
      <c r="J235" s="40"/>
      <c r="K235" s="40"/>
      <c r="L235" s="40"/>
      <c r="M235" s="40"/>
    </row>
    <row r="236" spans="1:13">
      <c r="A236" s="40"/>
      <c r="F236" s="38"/>
      <c r="G236" s="38"/>
      <c r="H236" s="38"/>
      <c r="I236" s="40"/>
      <c r="J236" s="40"/>
      <c r="K236" s="40"/>
      <c r="L236" s="40"/>
      <c r="M236" s="40"/>
    </row>
    <row r="237" spans="1:13">
      <c r="A237" s="40"/>
      <c r="F237" s="38"/>
      <c r="G237" s="38"/>
      <c r="H237" s="38"/>
      <c r="I237" s="40"/>
      <c r="J237" s="40"/>
      <c r="K237" s="40"/>
      <c r="L237" s="40"/>
      <c r="M237" s="40"/>
    </row>
    <row r="238" spans="1:13">
      <c r="A238" s="40"/>
      <c r="F238" s="38"/>
      <c r="G238" s="38"/>
      <c r="H238" s="38"/>
      <c r="I238" s="40"/>
      <c r="J238" s="40"/>
      <c r="K238" s="40"/>
      <c r="L238" s="40"/>
      <c r="M238" s="40"/>
    </row>
    <row r="239" spans="1:13">
      <c r="A239" s="40"/>
      <c r="F239" s="38"/>
      <c r="G239" s="38"/>
      <c r="H239" s="38"/>
      <c r="I239" s="40"/>
      <c r="J239" s="40"/>
      <c r="K239" s="40"/>
      <c r="L239" s="40"/>
      <c r="M239" s="40"/>
    </row>
    <row r="240" spans="1:13">
      <c r="A240" s="40"/>
      <c r="F240" s="38"/>
      <c r="G240" s="38"/>
      <c r="H240" s="38"/>
      <c r="I240" s="40"/>
      <c r="J240" s="40"/>
      <c r="K240" s="40"/>
      <c r="L240" s="40"/>
      <c r="M240" s="40"/>
    </row>
    <row r="241" spans="1:13">
      <c r="A241" s="40"/>
      <c r="F241" s="38"/>
      <c r="G241" s="38"/>
      <c r="H241" s="38"/>
      <c r="I241" s="40"/>
      <c r="J241" s="40"/>
      <c r="K241" s="40"/>
      <c r="L241" s="40"/>
      <c r="M241" s="40"/>
    </row>
    <row r="242" spans="1:13">
      <c r="A242" s="40"/>
      <c r="F242" s="38"/>
      <c r="G242" s="38"/>
      <c r="H242" s="38"/>
      <c r="I242" s="40"/>
      <c r="J242" s="40"/>
      <c r="K242" s="40"/>
      <c r="L242" s="40"/>
      <c r="M242" s="40"/>
    </row>
    <row r="243" spans="1:13">
      <c r="A243" s="40"/>
      <c r="F243" s="38"/>
      <c r="G243" s="38"/>
      <c r="H243" s="38"/>
      <c r="I243" s="40"/>
      <c r="J243" s="40"/>
      <c r="K243" s="40"/>
      <c r="L243" s="40"/>
      <c r="M243" s="40"/>
    </row>
    <row r="244" spans="1:13">
      <c r="A244" s="40"/>
      <c r="F244" s="38"/>
      <c r="G244" s="38"/>
      <c r="H244" s="38"/>
      <c r="I244" s="40"/>
      <c r="J244" s="40"/>
      <c r="K244" s="40"/>
      <c r="L244" s="40"/>
      <c r="M244" s="40"/>
    </row>
    <row r="245" spans="1:13">
      <c r="A245" s="40"/>
      <c r="F245" s="38"/>
      <c r="G245" s="38"/>
      <c r="H245" s="38"/>
      <c r="I245" s="40"/>
      <c r="J245" s="40"/>
      <c r="K245" s="40"/>
      <c r="L245" s="40"/>
      <c r="M245" s="40"/>
    </row>
    <row r="246" spans="1:13">
      <c r="A246" s="40"/>
      <c r="F246" s="38"/>
      <c r="G246" s="38"/>
      <c r="H246" s="38"/>
      <c r="I246" s="40"/>
      <c r="J246" s="40"/>
      <c r="K246" s="40"/>
      <c r="L246" s="40"/>
      <c r="M246" s="40"/>
    </row>
    <row r="247" spans="1:13">
      <c r="A247" s="40"/>
      <c r="F247" s="38"/>
      <c r="G247" s="38"/>
      <c r="H247" s="38"/>
      <c r="I247" s="40"/>
      <c r="J247" s="40"/>
      <c r="K247" s="40"/>
      <c r="L247" s="40"/>
      <c r="M247" s="40"/>
    </row>
    <row r="248" spans="1:13">
      <c r="A248" s="40"/>
      <c r="F248" s="38"/>
      <c r="G248" s="38"/>
      <c r="H248" s="38"/>
      <c r="I248" s="40"/>
      <c r="J248" s="40"/>
      <c r="K248" s="40"/>
      <c r="L248" s="40"/>
      <c r="M248" s="40"/>
    </row>
    <row r="249" spans="1:13">
      <c r="A249" s="40"/>
      <c r="F249" s="38"/>
      <c r="G249" s="38"/>
      <c r="H249" s="38"/>
      <c r="I249" s="40"/>
      <c r="J249" s="40"/>
      <c r="K249" s="40"/>
      <c r="L249" s="40"/>
      <c r="M249" s="40"/>
    </row>
    <row r="250" spans="1:13">
      <c r="A250" s="40"/>
      <c r="F250" s="38"/>
      <c r="G250" s="38"/>
      <c r="H250" s="38"/>
      <c r="I250" s="40"/>
      <c r="J250" s="40"/>
      <c r="K250" s="40"/>
      <c r="L250" s="40"/>
      <c r="M250" s="40"/>
    </row>
    <row r="251" spans="1:13">
      <c r="A251" s="40"/>
      <c r="F251" s="38"/>
      <c r="G251" s="38"/>
      <c r="H251" s="38"/>
      <c r="I251" s="40"/>
      <c r="J251" s="40"/>
      <c r="K251" s="40"/>
      <c r="L251" s="40"/>
      <c r="M251" s="40"/>
    </row>
    <row r="252" spans="1:13">
      <c r="A252" s="40"/>
      <c r="F252" s="38"/>
      <c r="G252" s="38"/>
      <c r="H252" s="38"/>
      <c r="I252" s="40"/>
      <c r="J252" s="40"/>
      <c r="K252" s="40"/>
      <c r="L252" s="40"/>
      <c r="M252" s="40"/>
    </row>
    <row r="253" spans="1:13">
      <c r="A253" s="40"/>
      <c r="F253" s="38"/>
      <c r="G253" s="38"/>
      <c r="H253" s="38"/>
      <c r="I253" s="40"/>
      <c r="J253" s="40"/>
      <c r="K253" s="40"/>
      <c r="L253" s="40"/>
      <c r="M253" s="40"/>
    </row>
    <row r="254" spans="1:13">
      <c r="A254" s="40"/>
      <c r="F254" s="38"/>
      <c r="G254" s="38"/>
      <c r="H254" s="38"/>
      <c r="I254" s="40"/>
      <c r="J254" s="40"/>
      <c r="K254" s="40"/>
      <c r="L254" s="40"/>
      <c r="M254" s="40"/>
    </row>
    <row r="255" spans="1:13">
      <c r="A255" s="40"/>
      <c r="F255" s="38"/>
      <c r="G255" s="38"/>
      <c r="H255" s="38"/>
      <c r="I255" s="40"/>
      <c r="J255" s="40"/>
      <c r="K255" s="40"/>
      <c r="L255" s="40"/>
      <c r="M255" s="40"/>
    </row>
    <row r="256" spans="1:13">
      <c r="A256" s="40"/>
      <c r="F256" s="38"/>
      <c r="G256" s="38"/>
      <c r="H256" s="38"/>
      <c r="I256" s="40"/>
      <c r="J256" s="40"/>
      <c r="K256" s="40"/>
      <c r="L256" s="40"/>
      <c r="M256" s="40"/>
    </row>
    <row r="257" spans="1:13">
      <c r="A257" s="40"/>
      <c r="F257" s="38"/>
      <c r="G257" s="38"/>
      <c r="H257" s="38"/>
      <c r="I257" s="40"/>
      <c r="J257" s="40"/>
      <c r="K257" s="40"/>
      <c r="L257" s="40"/>
      <c r="M257" s="40"/>
    </row>
    <row r="258" spans="1:13">
      <c r="A258" s="40"/>
      <c r="F258" s="38"/>
      <c r="G258" s="38"/>
      <c r="H258" s="38"/>
      <c r="I258" s="40"/>
      <c r="J258" s="40"/>
      <c r="K258" s="40"/>
      <c r="L258" s="40"/>
      <c r="M258" s="40"/>
    </row>
    <row r="259" spans="1:13">
      <c r="A259" s="40"/>
      <c r="F259" s="38"/>
      <c r="G259" s="38"/>
      <c r="H259" s="38"/>
      <c r="I259" s="40"/>
      <c r="J259" s="40"/>
      <c r="K259" s="40"/>
      <c r="L259" s="40"/>
      <c r="M259" s="40"/>
    </row>
    <row r="260" spans="1:13">
      <c r="A260" s="40"/>
      <c r="F260" s="38"/>
      <c r="G260" s="38"/>
      <c r="H260" s="38"/>
      <c r="I260" s="40"/>
      <c r="J260" s="40"/>
      <c r="K260" s="40"/>
      <c r="L260" s="40"/>
      <c r="M260" s="40"/>
    </row>
    <row r="261" spans="1:13">
      <c r="A261" s="40"/>
      <c r="F261" s="38"/>
      <c r="G261" s="38"/>
      <c r="H261" s="38"/>
      <c r="I261" s="40"/>
      <c r="J261" s="40"/>
      <c r="K261" s="40"/>
      <c r="L261" s="40"/>
      <c r="M261" s="40"/>
    </row>
    <row r="262" spans="1:13">
      <c r="A262" s="40"/>
      <c r="F262" s="38"/>
      <c r="G262" s="38"/>
      <c r="H262" s="38"/>
      <c r="I262" s="40"/>
      <c r="J262" s="40"/>
      <c r="K262" s="40"/>
      <c r="L262" s="40"/>
      <c r="M262" s="40"/>
    </row>
    <row r="263" spans="1:13">
      <c r="A263" s="40"/>
      <c r="F263" s="38"/>
      <c r="G263" s="38"/>
      <c r="H263" s="38"/>
      <c r="I263" s="40"/>
      <c r="J263" s="40"/>
      <c r="K263" s="40"/>
      <c r="L263" s="40"/>
      <c r="M263" s="40"/>
    </row>
    <row r="264" spans="1:13">
      <c r="A264" s="40"/>
      <c r="F264" s="38"/>
      <c r="G264" s="38"/>
      <c r="H264" s="38"/>
      <c r="I264" s="40"/>
      <c r="J264" s="40"/>
      <c r="K264" s="40"/>
      <c r="L264" s="40"/>
      <c r="M264" s="40"/>
    </row>
    <row r="265" spans="1:13">
      <c r="A265" s="40"/>
      <c r="F265" s="38"/>
      <c r="G265" s="38"/>
      <c r="H265" s="38"/>
      <c r="I265" s="40"/>
      <c r="J265" s="40"/>
      <c r="K265" s="40"/>
      <c r="L265" s="40"/>
      <c r="M265" s="40"/>
    </row>
    <row r="266" spans="1:13">
      <c r="A266" s="40"/>
      <c r="F266" s="38"/>
      <c r="G266" s="38"/>
      <c r="H266" s="38"/>
      <c r="I266" s="40"/>
      <c r="J266" s="40"/>
      <c r="K266" s="40"/>
      <c r="L266" s="40"/>
      <c r="M266" s="40"/>
    </row>
    <row r="267" spans="1:13">
      <c r="A267" s="40"/>
      <c r="F267" s="38"/>
      <c r="G267" s="38"/>
      <c r="H267" s="38"/>
      <c r="I267" s="40"/>
      <c r="J267" s="40"/>
      <c r="K267" s="40"/>
      <c r="L267" s="40"/>
      <c r="M267" s="40"/>
    </row>
    <row r="268" spans="1:13">
      <c r="A268" s="40"/>
      <c r="F268" s="38"/>
      <c r="G268" s="38"/>
      <c r="H268" s="38"/>
      <c r="I268" s="40"/>
      <c r="J268" s="40"/>
      <c r="K268" s="40"/>
      <c r="L268" s="40"/>
      <c r="M268" s="40"/>
    </row>
    <row r="269" spans="1:13">
      <c r="A269" s="40"/>
      <c r="F269" s="38"/>
      <c r="G269" s="38"/>
      <c r="H269" s="38"/>
      <c r="I269" s="40"/>
      <c r="J269" s="40"/>
      <c r="K269" s="40"/>
      <c r="L269" s="40"/>
      <c r="M269" s="40"/>
    </row>
    <row r="270" spans="1:13">
      <c r="A270" s="40"/>
      <c r="F270" s="38"/>
      <c r="G270" s="38"/>
      <c r="H270" s="38"/>
      <c r="I270" s="40"/>
      <c r="J270" s="40"/>
      <c r="K270" s="40"/>
      <c r="L270" s="40"/>
      <c r="M270" s="40"/>
    </row>
    <row r="271" spans="1:13">
      <c r="A271" s="40"/>
      <c r="F271" s="38"/>
      <c r="G271" s="38"/>
      <c r="H271" s="38"/>
      <c r="I271" s="40"/>
      <c r="J271" s="40"/>
      <c r="K271" s="40"/>
      <c r="L271" s="40"/>
      <c r="M271" s="40"/>
    </row>
    <row r="272" spans="1:13">
      <c r="A272" s="40"/>
      <c r="F272" s="38"/>
      <c r="G272" s="38"/>
      <c r="H272" s="38"/>
      <c r="I272" s="40"/>
      <c r="J272" s="40"/>
      <c r="K272" s="40"/>
      <c r="L272" s="40"/>
      <c r="M272" s="40"/>
    </row>
    <row r="273" spans="1:13">
      <c r="A273" s="40"/>
      <c r="F273" s="38"/>
      <c r="G273" s="38"/>
      <c r="H273" s="38"/>
      <c r="I273" s="40"/>
      <c r="J273" s="40"/>
      <c r="K273" s="40"/>
      <c r="L273" s="40"/>
      <c r="M273" s="40"/>
    </row>
    <row r="274" spans="1:13">
      <c r="A274" s="40"/>
      <c r="F274" s="38"/>
      <c r="G274" s="38"/>
      <c r="H274" s="38"/>
      <c r="I274" s="40"/>
      <c r="J274" s="40"/>
      <c r="K274" s="40"/>
      <c r="L274" s="40"/>
      <c r="M274" s="40"/>
    </row>
    <row r="275" spans="1:13">
      <c r="A275" s="40"/>
      <c r="F275" s="38"/>
      <c r="G275" s="38"/>
      <c r="H275" s="38"/>
      <c r="I275" s="40"/>
      <c r="J275" s="40"/>
      <c r="K275" s="40"/>
      <c r="L275" s="40"/>
      <c r="M275" s="40"/>
    </row>
    <row r="276" spans="1:13">
      <c r="A276" s="40"/>
      <c r="F276" s="38"/>
      <c r="G276" s="38"/>
      <c r="H276" s="38"/>
      <c r="I276" s="40"/>
      <c r="J276" s="40"/>
      <c r="K276" s="40"/>
      <c r="L276" s="40"/>
      <c r="M276" s="40"/>
    </row>
    <row r="277" spans="1:13">
      <c r="A277" s="40"/>
      <c r="F277" s="38"/>
      <c r="G277" s="38"/>
      <c r="H277" s="38"/>
      <c r="I277" s="40"/>
      <c r="J277" s="40"/>
      <c r="K277" s="40"/>
      <c r="L277" s="40"/>
      <c r="M277" s="40"/>
    </row>
    <row r="278" spans="1:13">
      <c r="A278" s="40"/>
      <c r="F278" s="38"/>
      <c r="G278" s="38"/>
      <c r="H278" s="38"/>
      <c r="I278" s="40"/>
      <c r="J278" s="40"/>
      <c r="K278" s="40"/>
      <c r="L278" s="40"/>
      <c r="M278" s="40"/>
    </row>
    <row r="279" spans="1:13">
      <c r="A279" s="40"/>
      <c r="F279" s="38"/>
      <c r="G279" s="38"/>
      <c r="H279" s="38"/>
      <c r="I279" s="40"/>
      <c r="J279" s="40"/>
      <c r="K279" s="40"/>
      <c r="L279" s="40"/>
      <c r="M279" s="40"/>
    </row>
    <row r="280" spans="1:13">
      <c r="A280" s="40"/>
      <c r="F280" s="38"/>
      <c r="G280" s="38"/>
      <c r="H280" s="38"/>
      <c r="I280" s="40"/>
      <c r="J280" s="40"/>
      <c r="K280" s="40"/>
      <c r="L280" s="40"/>
      <c r="M280" s="40"/>
    </row>
    <row r="281" spans="1:13">
      <c r="A281" s="40"/>
      <c r="F281" s="38"/>
      <c r="G281" s="38"/>
      <c r="H281" s="38"/>
      <c r="I281" s="40"/>
      <c r="J281" s="40"/>
      <c r="K281" s="40"/>
      <c r="L281" s="40"/>
      <c r="M281" s="40"/>
    </row>
    <row r="282" spans="1:13">
      <c r="A282" s="40"/>
      <c r="F282" s="38"/>
      <c r="G282" s="38"/>
      <c r="H282" s="38"/>
      <c r="I282" s="40"/>
      <c r="J282" s="40"/>
      <c r="K282" s="40"/>
      <c r="L282" s="40"/>
      <c r="M282" s="40"/>
    </row>
    <row r="283" spans="1:13">
      <c r="A283" s="40"/>
      <c r="F283" s="38"/>
      <c r="G283" s="38"/>
      <c r="H283" s="38"/>
      <c r="I283" s="40"/>
      <c r="J283" s="40"/>
      <c r="K283" s="40"/>
      <c r="L283" s="40"/>
      <c r="M283" s="40"/>
    </row>
    <row r="284" spans="1:13">
      <c r="A284" s="40"/>
      <c r="F284" s="38"/>
      <c r="G284" s="38"/>
      <c r="H284" s="38"/>
      <c r="I284" s="40"/>
      <c r="J284" s="40"/>
      <c r="K284" s="40"/>
      <c r="L284" s="40"/>
      <c r="M284" s="40"/>
    </row>
    <row r="285" spans="1:13">
      <c r="A285" s="40"/>
      <c r="F285" s="38"/>
      <c r="G285" s="38"/>
      <c r="H285" s="38"/>
      <c r="I285" s="40"/>
      <c r="J285" s="40"/>
      <c r="K285" s="40"/>
      <c r="L285" s="40"/>
      <c r="M285" s="40"/>
    </row>
    <row r="286" spans="1:13">
      <c r="A286" s="40"/>
      <c r="F286" s="38"/>
      <c r="G286" s="38"/>
      <c r="H286" s="38"/>
      <c r="I286" s="40"/>
      <c r="J286" s="40"/>
      <c r="K286" s="40"/>
      <c r="L286" s="40"/>
      <c r="M286" s="40"/>
    </row>
    <row r="287" spans="1:13">
      <c r="A287" s="40"/>
      <c r="F287" s="38"/>
      <c r="G287" s="38"/>
      <c r="H287" s="38"/>
      <c r="I287" s="40"/>
      <c r="J287" s="40"/>
      <c r="K287" s="40"/>
      <c r="L287" s="40"/>
      <c r="M287" s="40"/>
    </row>
    <row r="288" spans="1:13">
      <c r="A288" s="40"/>
      <c r="F288" s="38"/>
      <c r="G288" s="38"/>
      <c r="H288" s="38"/>
      <c r="I288" s="40"/>
      <c r="J288" s="40"/>
      <c r="K288" s="40"/>
      <c r="L288" s="40"/>
      <c r="M288" s="40"/>
    </row>
    <row r="289" spans="1:13">
      <c r="A289" s="40"/>
      <c r="F289" s="38"/>
      <c r="G289" s="38"/>
      <c r="H289" s="38"/>
      <c r="I289" s="40"/>
      <c r="J289" s="40"/>
      <c r="K289" s="40"/>
      <c r="L289" s="40"/>
      <c r="M289" s="40"/>
    </row>
    <row r="290" spans="1:13">
      <c r="A290" s="40"/>
      <c r="F290" s="38"/>
      <c r="G290" s="38"/>
      <c r="H290" s="38"/>
      <c r="I290" s="40"/>
      <c r="J290" s="40"/>
      <c r="K290" s="40"/>
      <c r="L290" s="40"/>
      <c r="M290" s="40"/>
    </row>
    <row r="291" spans="1:13">
      <c r="A291" s="40"/>
      <c r="F291" s="38"/>
      <c r="G291" s="38"/>
      <c r="H291" s="38"/>
      <c r="I291" s="40"/>
      <c r="J291" s="40"/>
      <c r="K291" s="40"/>
      <c r="L291" s="40"/>
      <c r="M291" s="40"/>
    </row>
    <row r="292" spans="1:13">
      <c r="A292" s="40"/>
      <c r="F292" s="38"/>
      <c r="G292" s="38"/>
      <c r="H292" s="38"/>
      <c r="I292" s="40"/>
      <c r="J292" s="40"/>
      <c r="K292" s="40"/>
      <c r="L292" s="40"/>
      <c r="M292" s="40"/>
    </row>
    <row r="293" spans="1:13">
      <c r="A293" s="40"/>
      <c r="F293" s="38"/>
      <c r="G293" s="38"/>
      <c r="H293" s="38"/>
      <c r="I293" s="40"/>
      <c r="J293" s="40"/>
      <c r="K293" s="40"/>
      <c r="L293" s="40"/>
      <c r="M293" s="40"/>
    </row>
    <row r="294" spans="1:13">
      <c r="A294" s="40"/>
      <c r="F294" s="38"/>
      <c r="G294" s="38"/>
      <c r="H294" s="38"/>
      <c r="I294" s="40"/>
      <c r="J294" s="40"/>
      <c r="K294" s="40"/>
      <c r="L294" s="40"/>
      <c r="M294" s="40"/>
    </row>
    <row r="295" spans="1:13">
      <c r="A295" s="40"/>
      <c r="F295" s="38"/>
      <c r="G295" s="38"/>
      <c r="H295" s="38"/>
      <c r="I295" s="40"/>
      <c r="J295" s="40"/>
      <c r="K295" s="40"/>
      <c r="L295" s="40"/>
      <c r="M295" s="40"/>
    </row>
    <row r="296" spans="1:13">
      <c r="A296" s="40"/>
      <c r="F296" s="38"/>
      <c r="G296" s="38"/>
      <c r="H296" s="38"/>
      <c r="I296" s="40"/>
      <c r="J296" s="40"/>
      <c r="K296" s="40"/>
      <c r="L296" s="40"/>
      <c r="M296" s="40"/>
    </row>
    <row r="297" spans="1:13">
      <c r="A297" s="40"/>
      <c r="F297" s="38"/>
      <c r="G297" s="38"/>
      <c r="H297" s="38"/>
      <c r="I297" s="40"/>
      <c r="J297" s="40"/>
      <c r="K297" s="40"/>
      <c r="L297" s="40"/>
      <c r="M297" s="40"/>
    </row>
    <row r="298" spans="1:13">
      <c r="A298" s="40"/>
      <c r="F298" s="38"/>
      <c r="G298" s="38"/>
      <c r="H298" s="38"/>
      <c r="I298" s="40"/>
      <c r="J298" s="40"/>
      <c r="K298" s="40"/>
      <c r="L298" s="40"/>
      <c r="M298" s="40"/>
    </row>
    <row r="299" spans="1:13">
      <c r="A299" s="40"/>
      <c r="F299" s="38"/>
      <c r="G299" s="38"/>
      <c r="H299" s="38"/>
      <c r="I299" s="40"/>
      <c r="J299" s="40"/>
      <c r="K299" s="40"/>
      <c r="L299" s="40"/>
      <c r="M299" s="40"/>
    </row>
    <row r="300" spans="1:13">
      <c r="A300" s="40"/>
      <c r="F300" s="38"/>
      <c r="G300" s="38"/>
      <c r="H300" s="38"/>
      <c r="I300" s="40"/>
      <c r="J300" s="40"/>
      <c r="K300" s="40"/>
      <c r="L300" s="40"/>
      <c r="M300" s="40"/>
    </row>
    <row r="301" spans="1:13">
      <c r="A301" s="40"/>
      <c r="F301" s="38"/>
      <c r="G301" s="38"/>
      <c r="H301" s="38"/>
      <c r="I301" s="40"/>
      <c r="J301" s="40"/>
      <c r="K301" s="40"/>
      <c r="L301" s="40"/>
      <c r="M301" s="40"/>
    </row>
    <row r="302" spans="1:13">
      <c r="A302" s="40"/>
      <c r="F302" s="38"/>
      <c r="G302" s="38"/>
      <c r="H302" s="38"/>
      <c r="I302" s="40"/>
      <c r="J302" s="40"/>
      <c r="K302" s="40"/>
      <c r="L302" s="40"/>
      <c r="M302" s="40"/>
    </row>
    <row r="303" spans="1:13">
      <c r="A303" s="40"/>
      <c r="F303" s="38"/>
      <c r="G303" s="38"/>
      <c r="H303" s="38"/>
      <c r="I303" s="40"/>
      <c r="J303" s="40"/>
      <c r="K303" s="40"/>
      <c r="L303" s="40"/>
      <c r="M303" s="40"/>
    </row>
    <row r="304" spans="1:13">
      <c r="A304" s="40"/>
      <c r="F304" s="38"/>
      <c r="G304" s="38"/>
      <c r="H304" s="38"/>
      <c r="I304" s="40"/>
      <c r="J304" s="40"/>
      <c r="K304" s="40"/>
      <c r="L304" s="40"/>
      <c r="M304" s="40"/>
    </row>
    <row r="305" spans="1:13">
      <c r="A305" s="40"/>
      <c r="F305" s="38"/>
      <c r="G305" s="38"/>
      <c r="H305" s="38"/>
      <c r="I305" s="40"/>
      <c r="J305" s="40"/>
      <c r="K305" s="40"/>
      <c r="L305" s="40"/>
      <c r="M305" s="40"/>
    </row>
    <row r="306" spans="1:13">
      <c r="A306" s="40"/>
      <c r="F306" s="38"/>
      <c r="G306" s="38"/>
      <c r="H306" s="38"/>
      <c r="I306" s="40"/>
      <c r="J306" s="40"/>
      <c r="K306" s="40"/>
      <c r="L306" s="40"/>
      <c r="M306" s="40"/>
    </row>
    <row r="307" spans="1:13">
      <c r="A307" s="40"/>
      <c r="F307" s="38"/>
      <c r="G307" s="38"/>
      <c r="H307" s="38"/>
      <c r="I307" s="40"/>
      <c r="J307" s="40"/>
      <c r="K307" s="40"/>
      <c r="L307" s="40"/>
      <c r="M307" s="40"/>
    </row>
    <row r="308" spans="1:13">
      <c r="A308" s="40"/>
      <c r="F308" s="38"/>
      <c r="G308" s="38"/>
      <c r="H308" s="38"/>
      <c r="I308" s="40"/>
      <c r="J308" s="40"/>
      <c r="K308" s="40"/>
      <c r="L308" s="40"/>
      <c r="M308" s="40"/>
    </row>
    <row r="309" spans="1:13">
      <c r="A309" s="40"/>
      <c r="F309" s="38"/>
      <c r="G309" s="38"/>
      <c r="H309" s="38"/>
      <c r="I309" s="40"/>
      <c r="J309" s="40"/>
      <c r="K309" s="40"/>
      <c r="L309" s="40"/>
      <c r="M309" s="40"/>
    </row>
    <row r="310" spans="1:13">
      <c r="A310" s="40"/>
      <c r="F310" s="38"/>
      <c r="G310" s="38"/>
      <c r="H310" s="38"/>
      <c r="I310" s="40"/>
      <c r="J310" s="40"/>
      <c r="K310" s="40"/>
      <c r="L310" s="40"/>
      <c r="M310" s="40"/>
    </row>
    <row r="311" spans="1:13">
      <c r="A311" s="40"/>
      <c r="F311" s="38"/>
      <c r="G311" s="38"/>
      <c r="H311" s="38"/>
      <c r="I311" s="40"/>
      <c r="J311" s="40"/>
      <c r="K311" s="40"/>
      <c r="L311" s="40"/>
      <c r="M311" s="40"/>
    </row>
    <row r="312" spans="1:13">
      <c r="A312" s="40"/>
      <c r="F312" s="38"/>
      <c r="G312" s="38"/>
      <c r="H312" s="38"/>
      <c r="I312" s="40"/>
      <c r="J312" s="40"/>
      <c r="K312" s="40"/>
      <c r="L312" s="40"/>
      <c r="M312" s="40"/>
    </row>
    <row r="313" spans="1:13">
      <c r="A313" s="40"/>
      <c r="F313" s="38"/>
      <c r="G313" s="38"/>
      <c r="H313" s="38"/>
      <c r="I313" s="40"/>
      <c r="J313" s="40"/>
      <c r="K313" s="40"/>
      <c r="L313" s="40"/>
      <c r="M313" s="40"/>
    </row>
    <row r="314" spans="1:13">
      <c r="A314" s="40"/>
      <c r="F314" s="38"/>
      <c r="G314" s="38"/>
      <c r="H314" s="38"/>
      <c r="I314" s="40"/>
      <c r="J314" s="40"/>
      <c r="K314" s="40"/>
      <c r="L314" s="40"/>
      <c r="M314" s="40"/>
    </row>
    <row r="315" spans="1:13">
      <c r="A315" s="40"/>
      <c r="F315" s="38"/>
      <c r="G315" s="38"/>
      <c r="H315" s="38"/>
      <c r="I315" s="40"/>
      <c r="J315" s="40"/>
      <c r="K315" s="40"/>
      <c r="L315" s="40"/>
      <c r="M315" s="40"/>
    </row>
    <row r="316" spans="1:13">
      <c r="A316" s="40"/>
      <c r="F316" s="38"/>
      <c r="G316" s="38"/>
      <c r="H316" s="38"/>
      <c r="I316" s="40"/>
      <c r="J316" s="40"/>
      <c r="K316" s="40"/>
      <c r="L316" s="40"/>
      <c r="M316" s="40"/>
    </row>
    <row r="317" spans="1:13">
      <c r="A317" s="40"/>
      <c r="F317" s="38"/>
      <c r="G317" s="38"/>
      <c r="H317" s="38"/>
      <c r="I317" s="40"/>
      <c r="J317" s="40"/>
      <c r="K317" s="40"/>
      <c r="L317" s="40"/>
      <c r="M317" s="40"/>
    </row>
    <row r="318" spans="1:13">
      <c r="A318" s="40"/>
      <c r="F318" s="38"/>
      <c r="G318" s="38"/>
      <c r="H318" s="38"/>
      <c r="I318" s="40"/>
      <c r="J318" s="40"/>
      <c r="K318" s="40"/>
      <c r="L318" s="40"/>
      <c r="M318" s="40"/>
    </row>
    <row r="319" spans="1:13">
      <c r="A319" s="40"/>
      <c r="F319" s="38"/>
      <c r="G319" s="38"/>
      <c r="H319" s="38"/>
      <c r="I319" s="40"/>
      <c r="J319" s="40"/>
      <c r="K319" s="40"/>
      <c r="L319" s="40"/>
      <c r="M319" s="40"/>
    </row>
    <row r="320" spans="1:13">
      <c r="A320" s="40"/>
      <c r="F320" s="38"/>
      <c r="G320" s="38"/>
      <c r="H320" s="38"/>
      <c r="I320" s="40"/>
      <c r="J320" s="40"/>
      <c r="K320" s="40"/>
      <c r="L320" s="40"/>
      <c r="M320" s="40"/>
    </row>
    <row r="321" spans="1:13">
      <c r="A321" s="40"/>
      <c r="F321" s="38"/>
      <c r="G321" s="38"/>
      <c r="H321" s="38"/>
      <c r="I321" s="40"/>
      <c r="J321" s="40"/>
      <c r="K321" s="40"/>
      <c r="L321" s="40"/>
      <c r="M321" s="40"/>
    </row>
    <row r="322" spans="1:13">
      <c r="A322" s="40"/>
      <c r="F322" s="38"/>
      <c r="G322" s="38"/>
      <c r="H322" s="38"/>
      <c r="I322" s="40"/>
      <c r="J322" s="40"/>
      <c r="K322" s="40"/>
      <c r="L322" s="40"/>
      <c r="M322" s="40"/>
    </row>
    <row r="323" spans="1:13">
      <c r="A323" s="40"/>
      <c r="F323" s="38"/>
      <c r="G323" s="38"/>
      <c r="H323" s="38"/>
      <c r="I323" s="40"/>
      <c r="J323" s="40"/>
      <c r="K323" s="40"/>
      <c r="L323" s="40"/>
      <c r="M323" s="40"/>
    </row>
    <row r="324" spans="1:13">
      <c r="A324" s="40"/>
      <c r="F324" s="38"/>
      <c r="G324" s="38"/>
      <c r="H324" s="38"/>
      <c r="I324" s="40"/>
      <c r="J324" s="40"/>
      <c r="K324" s="40"/>
      <c r="L324" s="40"/>
      <c r="M324" s="40"/>
    </row>
    <row r="325" spans="1:13">
      <c r="A325" s="40"/>
      <c r="F325" s="38"/>
      <c r="G325" s="38"/>
      <c r="H325" s="38"/>
      <c r="I325" s="40"/>
      <c r="J325" s="40"/>
      <c r="K325" s="40"/>
      <c r="L325" s="40"/>
      <c r="M325" s="40"/>
    </row>
    <row r="326" spans="1:13">
      <c r="A326" s="40"/>
      <c r="F326" s="38"/>
      <c r="G326" s="38"/>
      <c r="H326" s="38"/>
      <c r="I326" s="40"/>
      <c r="J326" s="40"/>
      <c r="K326" s="40"/>
      <c r="L326" s="40"/>
      <c r="M326" s="40"/>
    </row>
    <row r="327" spans="1:13">
      <c r="A327" s="40"/>
      <c r="F327" s="38"/>
      <c r="G327" s="38"/>
      <c r="H327" s="38"/>
      <c r="I327" s="40"/>
      <c r="J327" s="40"/>
      <c r="K327" s="40"/>
      <c r="L327" s="40"/>
      <c r="M327" s="40"/>
    </row>
    <row r="328" spans="1:13">
      <c r="A328" s="40"/>
      <c r="F328" s="38"/>
      <c r="G328" s="38"/>
      <c r="H328" s="38"/>
      <c r="I328" s="40"/>
      <c r="J328" s="40"/>
      <c r="K328" s="40"/>
      <c r="L328" s="40"/>
      <c r="M328" s="40"/>
    </row>
    <row r="329" spans="1:13">
      <c r="A329" s="40"/>
      <c r="F329" s="38"/>
      <c r="G329" s="38"/>
      <c r="H329" s="38"/>
      <c r="I329" s="40"/>
      <c r="J329" s="40"/>
      <c r="K329" s="40"/>
      <c r="L329" s="40"/>
      <c r="M329" s="40"/>
    </row>
    <row r="330" spans="1:13">
      <c r="A330" s="40"/>
      <c r="F330" s="38"/>
      <c r="G330" s="38"/>
      <c r="H330" s="38"/>
      <c r="I330" s="40"/>
      <c r="J330" s="40"/>
      <c r="K330" s="40"/>
      <c r="L330" s="40"/>
      <c r="M330" s="40"/>
    </row>
    <row r="331" spans="1:13">
      <c r="A331" s="40"/>
      <c r="F331" s="38"/>
      <c r="G331" s="38"/>
      <c r="H331" s="38"/>
      <c r="I331" s="40"/>
      <c r="J331" s="40"/>
      <c r="K331" s="40"/>
      <c r="L331" s="40"/>
      <c r="M331" s="40"/>
    </row>
    <row r="332" spans="1:13">
      <c r="A332" s="40"/>
      <c r="F332" s="38"/>
      <c r="G332" s="38"/>
      <c r="H332" s="38"/>
      <c r="I332" s="40"/>
      <c r="J332" s="40"/>
      <c r="K332" s="40"/>
      <c r="L332" s="40"/>
      <c r="M332" s="40"/>
    </row>
    <row r="333" spans="1:13">
      <c r="A333" s="40"/>
      <c r="F333" s="38"/>
      <c r="G333" s="38"/>
      <c r="H333" s="38"/>
      <c r="I333" s="40"/>
      <c r="J333" s="40"/>
      <c r="K333" s="40"/>
      <c r="L333" s="40"/>
      <c r="M333" s="40"/>
    </row>
    <row r="334" spans="1:13">
      <c r="A334" s="40"/>
      <c r="F334" s="38"/>
      <c r="G334" s="38"/>
      <c r="H334" s="38"/>
      <c r="I334" s="40"/>
      <c r="J334" s="40"/>
      <c r="K334" s="40"/>
      <c r="L334" s="40"/>
      <c r="M334" s="40"/>
    </row>
    <row r="335" spans="1:13">
      <c r="A335" s="40"/>
      <c r="F335" s="38"/>
      <c r="G335" s="38"/>
      <c r="H335" s="38"/>
      <c r="I335" s="40"/>
      <c r="J335" s="40"/>
      <c r="K335" s="40"/>
      <c r="L335" s="40"/>
      <c r="M335" s="40"/>
    </row>
    <row r="336" spans="1:13">
      <c r="A336" s="40"/>
      <c r="F336" s="38"/>
      <c r="G336" s="38"/>
      <c r="H336" s="38"/>
      <c r="I336" s="40"/>
      <c r="J336" s="40"/>
      <c r="K336" s="40"/>
      <c r="L336" s="40"/>
      <c r="M336" s="40"/>
    </row>
    <row r="337" spans="1:13">
      <c r="A337" s="40"/>
      <c r="F337" s="38"/>
      <c r="G337" s="38"/>
      <c r="H337" s="38"/>
      <c r="I337" s="40"/>
      <c r="J337" s="40"/>
      <c r="K337" s="40"/>
      <c r="L337" s="40"/>
      <c r="M337" s="40"/>
    </row>
    <row r="338" spans="1:13">
      <c r="A338" s="40"/>
      <c r="F338" s="38"/>
      <c r="G338" s="38"/>
      <c r="H338" s="38"/>
      <c r="I338" s="40"/>
      <c r="J338" s="40"/>
      <c r="K338" s="40"/>
      <c r="L338" s="40"/>
      <c r="M338" s="40"/>
    </row>
    <row r="339" spans="1:13">
      <c r="A339" s="40"/>
      <c r="F339" s="38"/>
      <c r="G339" s="38"/>
      <c r="H339" s="38"/>
      <c r="I339" s="40"/>
      <c r="J339" s="40"/>
      <c r="K339" s="40"/>
      <c r="L339" s="40"/>
      <c r="M339" s="40"/>
    </row>
    <row r="340" spans="1:13">
      <c r="A340" s="40"/>
      <c r="F340" s="38"/>
      <c r="G340" s="38"/>
      <c r="H340" s="38"/>
      <c r="I340" s="40"/>
      <c r="J340" s="40"/>
      <c r="K340" s="40"/>
      <c r="L340" s="40"/>
      <c r="M340" s="40"/>
    </row>
    <row r="341" spans="1:13">
      <c r="A341" s="40"/>
      <c r="F341" s="38"/>
      <c r="G341" s="38"/>
      <c r="H341" s="38"/>
      <c r="I341" s="40"/>
      <c r="J341" s="40"/>
      <c r="K341" s="40"/>
      <c r="L341" s="40"/>
      <c r="M341" s="40"/>
    </row>
    <row r="342" spans="1:13">
      <c r="A342" s="40"/>
      <c r="F342" s="38"/>
      <c r="G342" s="38"/>
      <c r="H342" s="38"/>
      <c r="I342" s="40"/>
      <c r="J342" s="40"/>
      <c r="K342" s="40"/>
      <c r="L342" s="40"/>
      <c r="M342" s="40"/>
    </row>
    <row r="343" spans="1:13">
      <c r="A343" s="40"/>
      <c r="F343" s="38"/>
      <c r="G343" s="38"/>
      <c r="H343" s="38"/>
      <c r="I343" s="40"/>
      <c r="J343" s="40"/>
      <c r="K343" s="40"/>
      <c r="L343" s="40"/>
      <c r="M343" s="40"/>
    </row>
    <row r="344" spans="1:13">
      <c r="A344" s="40"/>
      <c r="F344" s="38"/>
      <c r="G344" s="38"/>
      <c r="H344" s="38"/>
      <c r="I344" s="40"/>
      <c r="J344" s="40"/>
      <c r="K344" s="40"/>
      <c r="L344" s="40"/>
      <c r="M344" s="40"/>
    </row>
    <row r="345" spans="1:13">
      <c r="A345" s="40"/>
      <c r="F345" s="38"/>
      <c r="G345" s="38"/>
      <c r="H345" s="38"/>
      <c r="I345" s="40"/>
      <c r="J345" s="40"/>
      <c r="K345" s="40"/>
      <c r="L345" s="40"/>
      <c r="M345" s="40"/>
    </row>
    <row r="346" spans="1:13">
      <c r="A346" s="40"/>
      <c r="F346" s="38"/>
      <c r="G346" s="38"/>
      <c r="H346" s="38"/>
      <c r="I346" s="40"/>
      <c r="J346" s="40"/>
      <c r="K346" s="40"/>
      <c r="L346" s="40"/>
      <c r="M346" s="40"/>
    </row>
    <row r="347" spans="1:13">
      <c r="A347" s="40"/>
      <c r="F347" s="38"/>
      <c r="G347" s="38"/>
      <c r="H347" s="38"/>
      <c r="I347" s="40"/>
      <c r="J347" s="40"/>
      <c r="K347" s="40"/>
      <c r="L347" s="40"/>
      <c r="M347" s="40"/>
    </row>
    <row r="348" spans="1:13">
      <c r="A348" s="40"/>
      <c r="F348" s="38"/>
      <c r="G348" s="38"/>
      <c r="H348" s="38"/>
      <c r="I348" s="40"/>
      <c r="J348" s="40"/>
      <c r="K348" s="40"/>
      <c r="L348" s="40"/>
      <c r="M348" s="40"/>
    </row>
    <row r="349" spans="1:13">
      <c r="A349" s="40"/>
      <c r="F349" s="38"/>
      <c r="G349" s="38"/>
      <c r="H349" s="38"/>
      <c r="I349" s="40"/>
      <c r="J349" s="40"/>
      <c r="K349" s="40"/>
      <c r="L349" s="40"/>
      <c r="M349" s="40"/>
    </row>
    <row r="350" spans="1:13">
      <c r="A350" s="40"/>
      <c r="F350" s="38"/>
      <c r="G350" s="38"/>
      <c r="H350" s="38"/>
      <c r="I350" s="40"/>
      <c r="J350" s="40"/>
      <c r="K350" s="40"/>
      <c r="L350" s="40"/>
      <c r="M350" s="40"/>
    </row>
    <row r="351" spans="1:13">
      <c r="A351" s="40"/>
      <c r="F351" s="38"/>
      <c r="G351" s="38"/>
      <c r="H351" s="38"/>
      <c r="I351" s="40"/>
      <c r="J351" s="40"/>
      <c r="K351" s="40"/>
      <c r="L351" s="40"/>
      <c r="M351" s="40"/>
    </row>
    <row r="352" spans="1:13">
      <c r="A352" s="40"/>
      <c r="F352" s="38"/>
      <c r="G352" s="38"/>
      <c r="H352" s="38"/>
      <c r="I352" s="40"/>
      <c r="J352" s="40"/>
      <c r="K352" s="40"/>
      <c r="L352" s="40"/>
      <c r="M352" s="40"/>
    </row>
    <row r="353" spans="1:13">
      <c r="A353" s="40"/>
      <c r="F353" s="38"/>
      <c r="G353" s="38"/>
      <c r="H353" s="38"/>
      <c r="I353" s="40"/>
      <c r="J353" s="40"/>
      <c r="K353" s="40"/>
      <c r="L353" s="40"/>
      <c r="M353" s="40"/>
    </row>
    <row r="354" spans="1:13">
      <c r="A354" s="40"/>
      <c r="F354" s="38"/>
      <c r="G354" s="38"/>
      <c r="H354" s="38"/>
      <c r="I354" s="40"/>
      <c r="J354" s="40"/>
      <c r="K354" s="40"/>
      <c r="L354" s="40"/>
      <c r="M354" s="40"/>
    </row>
    <row r="355" spans="1:13">
      <c r="A355" s="40"/>
      <c r="F355" s="38"/>
      <c r="G355" s="38"/>
      <c r="H355" s="38"/>
      <c r="I355" s="40"/>
      <c r="J355" s="40"/>
      <c r="K355" s="40"/>
      <c r="L355" s="40"/>
      <c r="M355" s="40"/>
    </row>
    <row r="356" spans="1:13">
      <c r="A356" s="40"/>
      <c r="F356" s="38"/>
      <c r="G356" s="38"/>
      <c r="H356" s="38"/>
      <c r="I356" s="40"/>
      <c r="J356" s="40"/>
      <c r="K356" s="40"/>
      <c r="L356" s="40"/>
      <c r="M356" s="40"/>
    </row>
    <row r="357" spans="1:13">
      <c r="A357" s="40"/>
      <c r="F357" s="38"/>
      <c r="G357" s="38"/>
      <c r="H357" s="38"/>
      <c r="I357" s="40"/>
      <c r="J357" s="40"/>
      <c r="K357" s="40"/>
      <c r="L357" s="40"/>
      <c r="M357" s="40"/>
    </row>
    <row r="358" spans="1:13">
      <c r="A358" s="40"/>
      <c r="F358" s="38"/>
      <c r="G358" s="38"/>
      <c r="H358" s="38"/>
      <c r="I358" s="40"/>
      <c r="J358" s="40"/>
      <c r="K358" s="40"/>
      <c r="L358" s="40"/>
      <c r="M358" s="40"/>
    </row>
    <row r="359" spans="1:13">
      <c r="A359" s="40"/>
      <c r="F359" s="38"/>
      <c r="G359" s="38"/>
      <c r="H359" s="38"/>
      <c r="I359" s="40"/>
      <c r="J359" s="40"/>
      <c r="K359" s="40"/>
      <c r="L359" s="40"/>
      <c r="M359" s="40"/>
    </row>
    <row r="360" spans="1:13">
      <c r="A360" s="40"/>
      <c r="F360" s="38"/>
      <c r="G360" s="38"/>
      <c r="H360" s="38"/>
      <c r="I360" s="40"/>
      <c r="J360" s="40"/>
      <c r="K360" s="40"/>
      <c r="L360" s="40"/>
      <c r="M360" s="40"/>
    </row>
    <row r="361" spans="1:13">
      <c r="A361" s="40"/>
      <c r="F361" s="38"/>
      <c r="G361" s="38"/>
      <c r="H361" s="38"/>
      <c r="I361" s="40"/>
      <c r="J361" s="40"/>
      <c r="K361" s="40"/>
      <c r="L361" s="40"/>
      <c r="M361" s="40"/>
    </row>
    <row r="362" spans="1:13">
      <c r="A362" s="40"/>
      <c r="F362" s="38"/>
      <c r="G362" s="38"/>
      <c r="H362" s="38"/>
      <c r="I362" s="40"/>
      <c r="J362" s="40"/>
      <c r="K362" s="40"/>
      <c r="L362" s="40"/>
      <c r="M362" s="40"/>
    </row>
    <row r="363" spans="1:13">
      <c r="A363" s="40"/>
      <c r="F363" s="38"/>
      <c r="G363" s="38"/>
      <c r="H363" s="38"/>
      <c r="I363" s="40"/>
      <c r="J363" s="40"/>
      <c r="K363" s="40"/>
      <c r="L363" s="40"/>
      <c r="M363" s="40"/>
    </row>
    <row r="364" spans="1:13">
      <c r="A364" s="40"/>
      <c r="F364" s="38"/>
      <c r="G364" s="38"/>
      <c r="H364" s="38"/>
      <c r="I364" s="40"/>
      <c r="J364" s="40"/>
      <c r="K364" s="40"/>
      <c r="L364" s="40"/>
      <c r="M364" s="40"/>
    </row>
    <row r="365" spans="1:13">
      <c r="A365" s="40"/>
      <c r="F365" s="38"/>
      <c r="G365" s="38"/>
      <c r="H365" s="38"/>
      <c r="I365" s="40"/>
      <c r="J365" s="40"/>
      <c r="K365" s="40"/>
      <c r="L365" s="40"/>
      <c r="M365" s="40"/>
    </row>
    <row r="366" spans="1:13">
      <c r="A366" s="40"/>
      <c r="F366" s="38"/>
      <c r="G366" s="38"/>
      <c r="H366" s="38"/>
      <c r="I366" s="40"/>
      <c r="J366" s="40"/>
      <c r="K366" s="40"/>
      <c r="L366" s="40"/>
      <c r="M366" s="40"/>
    </row>
    <row r="367" spans="1:13">
      <c r="A367" s="40"/>
      <c r="F367" s="38"/>
      <c r="G367" s="38"/>
      <c r="H367" s="38"/>
      <c r="I367" s="40"/>
      <c r="J367" s="40"/>
      <c r="K367" s="40"/>
      <c r="L367" s="40"/>
      <c r="M367" s="40"/>
    </row>
    <row r="368" spans="1:13">
      <c r="A368" s="40"/>
      <c r="F368" s="38"/>
      <c r="G368" s="38"/>
      <c r="H368" s="38"/>
      <c r="I368" s="40"/>
      <c r="J368" s="40"/>
      <c r="K368" s="40"/>
      <c r="L368" s="40"/>
      <c r="M368" s="40"/>
    </row>
    <row r="369" spans="1:13">
      <c r="A369" s="40"/>
      <c r="F369" s="38"/>
      <c r="G369" s="38"/>
      <c r="H369" s="38"/>
      <c r="I369" s="40"/>
      <c r="J369" s="40"/>
      <c r="K369" s="40"/>
      <c r="L369" s="40"/>
      <c r="M369" s="40"/>
    </row>
    <row r="370" spans="1:13">
      <c r="A370" s="40"/>
      <c r="F370" s="38"/>
      <c r="G370" s="38"/>
      <c r="H370" s="38"/>
      <c r="I370" s="40"/>
      <c r="J370" s="40"/>
      <c r="K370" s="40"/>
      <c r="L370" s="40"/>
      <c r="M370" s="40"/>
    </row>
    <row r="371" spans="1:13">
      <c r="A371" s="40"/>
      <c r="F371" s="38"/>
      <c r="G371" s="38"/>
      <c r="H371" s="38"/>
      <c r="I371" s="40"/>
      <c r="J371" s="40"/>
      <c r="K371" s="40"/>
      <c r="L371" s="40"/>
      <c r="M371" s="40"/>
    </row>
    <row r="372" spans="1:13">
      <c r="A372" s="40"/>
      <c r="F372" s="38"/>
      <c r="G372" s="38"/>
      <c r="H372" s="38"/>
      <c r="I372" s="40"/>
      <c r="J372" s="40"/>
      <c r="K372" s="40"/>
      <c r="L372" s="40"/>
      <c r="M372" s="40"/>
    </row>
    <row r="373" spans="1:13">
      <c r="A373" s="40"/>
      <c r="F373" s="38"/>
      <c r="G373" s="38"/>
      <c r="H373" s="38"/>
      <c r="I373" s="40"/>
      <c r="J373" s="40"/>
      <c r="K373" s="40"/>
      <c r="L373" s="40"/>
      <c r="M373" s="40"/>
    </row>
    <row r="374" spans="1:13">
      <c r="A374" s="40"/>
      <c r="F374" s="38"/>
      <c r="G374" s="38"/>
      <c r="H374" s="38"/>
      <c r="I374" s="40"/>
      <c r="J374" s="40"/>
      <c r="K374" s="40"/>
      <c r="L374" s="40"/>
      <c r="M374" s="40"/>
    </row>
    <row r="375" spans="1:13">
      <c r="A375" s="40"/>
      <c r="F375" s="38"/>
      <c r="G375" s="38"/>
      <c r="H375" s="38"/>
      <c r="I375" s="40"/>
      <c r="J375" s="40"/>
      <c r="K375" s="40"/>
      <c r="L375" s="40"/>
      <c r="M375" s="40"/>
    </row>
    <row r="376" spans="1:13">
      <c r="A376" s="40"/>
      <c r="F376" s="38"/>
      <c r="G376" s="38"/>
      <c r="H376" s="38"/>
      <c r="I376" s="40"/>
      <c r="J376" s="40"/>
      <c r="K376" s="40"/>
      <c r="L376" s="40"/>
      <c r="M376" s="40"/>
    </row>
    <row r="377" spans="1:13">
      <c r="A377" s="40"/>
      <c r="F377" s="38"/>
      <c r="G377" s="38"/>
      <c r="H377" s="38"/>
      <c r="I377" s="40"/>
      <c r="J377" s="40"/>
      <c r="K377" s="40"/>
      <c r="L377" s="40"/>
      <c r="M377" s="40"/>
    </row>
    <row r="378" spans="1:13">
      <c r="A378" s="40"/>
      <c r="F378" s="38"/>
      <c r="G378" s="38"/>
      <c r="H378" s="38"/>
      <c r="I378" s="40"/>
      <c r="J378" s="40"/>
      <c r="K378" s="40"/>
      <c r="L378" s="40"/>
      <c r="M378" s="40"/>
    </row>
    <row r="379" spans="1:13">
      <c r="A379" s="40"/>
      <c r="F379" s="38"/>
      <c r="G379" s="38"/>
      <c r="H379" s="38"/>
      <c r="I379" s="40"/>
      <c r="J379" s="40"/>
      <c r="K379" s="40"/>
      <c r="L379" s="40"/>
      <c r="M379" s="40"/>
    </row>
    <row r="380" spans="1:13">
      <c r="A380" s="40"/>
      <c r="F380" s="38"/>
      <c r="G380" s="38"/>
      <c r="H380" s="38"/>
      <c r="I380" s="40"/>
      <c r="J380" s="40"/>
      <c r="K380" s="40"/>
      <c r="L380" s="40"/>
      <c r="M380" s="40"/>
    </row>
    <row r="381" spans="1:13">
      <c r="A381" s="40"/>
      <c r="F381" s="38"/>
      <c r="G381" s="38"/>
      <c r="H381" s="38"/>
      <c r="I381" s="40"/>
      <c r="J381" s="40"/>
      <c r="K381" s="40"/>
      <c r="L381" s="40"/>
      <c r="M381" s="40"/>
    </row>
    <row r="382" spans="1:13">
      <c r="A382" s="40"/>
      <c r="F382" s="38"/>
      <c r="G382" s="38"/>
      <c r="H382" s="38"/>
      <c r="I382" s="40"/>
      <c r="J382" s="40"/>
      <c r="K382" s="40"/>
      <c r="L382" s="40"/>
      <c r="M382" s="40"/>
    </row>
    <row r="383" spans="1:13">
      <c r="A383" s="40"/>
      <c r="F383" s="38"/>
      <c r="G383" s="38"/>
      <c r="H383" s="38"/>
      <c r="I383" s="40"/>
      <c r="J383" s="40"/>
      <c r="K383" s="40"/>
      <c r="L383" s="40"/>
      <c r="M383" s="40"/>
    </row>
    <row r="384" spans="1:13">
      <c r="A384" s="40"/>
      <c r="F384" s="38"/>
      <c r="G384" s="38"/>
      <c r="H384" s="38"/>
      <c r="I384" s="40"/>
      <c r="J384" s="40"/>
      <c r="K384" s="40"/>
      <c r="L384" s="40"/>
      <c r="M384" s="40"/>
    </row>
    <row r="385" spans="1:13">
      <c r="A385" s="40"/>
      <c r="F385" s="38"/>
      <c r="G385" s="38"/>
      <c r="H385" s="38"/>
      <c r="I385" s="40"/>
      <c r="J385" s="40"/>
      <c r="K385" s="40"/>
      <c r="L385" s="40"/>
      <c r="M385" s="40"/>
    </row>
    <row r="386" spans="1:13">
      <c r="A386" s="40"/>
      <c r="F386" s="38"/>
      <c r="G386" s="38"/>
      <c r="H386" s="38"/>
      <c r="I386" s="40"/>
      <c r="J386" s="40"/>
      <c r="K386" s="40"/>
      <c r="L386" s="40"/>
      <c r="M386" s="40"/>
    </row>
    <row r="387" spans="1:13">
      <c r="A387" s="40"/>
      <c r="F387" s="38"/>
      <c r="G387" s="38"/>
      <c r="H387" s="38"/>
      <c r="I387" s="40"/>
      <c r="J387" s="40"/>
      <c r="K387" s="40"/>
      <c r="L387" s="40"/>
      <c r="M387" s="40"/>
    </row>
    <row r="388" spans="1:13">
      <c r="A388" s="40"/>
      <c r="F388" s="38"/>
      <c r="G388" s="38"/>
      <c r="H388" s="38"/>
      <c r="I388" s="40"/>
      <c r="J388" s="40"/>
      <c r="K388" s="40"/>
      <c r="L388" s="40"/>
      <c r="M388" s="40"/>
    </row>
    <row r="389" spans="1:13">
      <c r="A389" s="40"/>
      <c r="F389" s="38"/>
      <c r="G389" s="38"/>
      <c r="H389" s="38"/>
      <c r="I389" s="40"/>
      <c r="J389" s="40"/>
      <c r="K389" s="40"/>
      <c r="L389" s="40"/>
      <c r="M389" s="40"/>
    </row>
    <row r="390" spans="1:13">
      <c r="A390" s="40"/>
      <c r="F390" s="38"/>
      <c r="G390" s="38"/>
      <c r="H390" s="38"/>
      <c r="I390" s="40"/>
      <c r="J390" s="40"/>
      <c r="K390" s="40"/>
      <c r="L390" s="40"/>
      <c r="M390" s="40"/>
    </row>
    <row r="391" spans="1:13">
      <c r="A391" s="40"/>
      <c r="F391" s="38"/>
      <c r="G391" s="38"/>
      <c r="H391" s="38"/>
      <c r="I391" s="40"/>
      <c r="J391" s="40"/>
      <c r="K391" s="40"/>
      <c r="L391" s="40"/>
      <c r="M391" s="40"/>
    </row>
    <row r="392" spans="1:13">
      <c r="A392" s="40"/>
      <c r="F392" s="38"/>
      <c r="G392" s="38"/>
      <c r="H392" s="38"/>
      <c r="I392" s="40"/>
      <c r="J392" s="40"/>
      <c r="K392" s="40"/>
      <c r="L392" s="40"/>
      <c r="M392" s="40"/>
    </row>
    <row r="393" spans="1:13">
      <c r="A393" s="40"/>
      <c r="F393" s="38"/>
      <c r="G393" s="38"/>
      <c r="H393" s="38"/>
      <c r="I393" s="40"/>
      <c r="J393" s="40"/>
      <c r="K393" s="40"/>
      <c r="L393" s="40"/>
      <c r="M393" s="40"/>
    </row>
    <row r="394" spans="1:13">
      <c r="A394" s="40"/>
      <c r="F394" s="38"/>
      <c r="G394" s="38"/>
      <c r="H394" s="38"/>
      <c r="I394" s="40"/>
      <c r="J394" s="40"/>
      <c r="K394" s="40"/>
      <c r="L394" s="40"/>
      <c r="M394" s="40"/>
    </row>
    <row r="395" spans="1:13">
      <c r="A395" s="40"/>
      <c r="F395" s="38"/>
      <c r="G395" s="38"/>
      <c r="H395" s="38"/>
      <c r="I395" s="40"/>
      <c r="J395" s="40"/>
      <c r="K395" s="40"/>
      <c r="L395" s="40"/>
      <c r="M395" s="40"/>
    </row>
    <row r="396" spans="1:13">
      <c r="A396" s="40"/>
      <c r="F396" s="38"/>
      <c r="G396" s="38"/>
      <c r="H396" s="38"/>
      <c r="I396" s="40"/>
      <c r="J396" s="40"/>
      <c r="K396" s="40"/>
      <c r="L396" s="40"/>
      <c r="M396" s="40"/>
    </row>
    <row r="397" spans="1:13">
      <c r="A397" s="40"/>
      <c r="F397" s="38"/>
      <c r="G397" s="38"/>
      <c r="H397" s="38"/>
      <c r="I397" s="40"/>
      <c r="J397" s="40"/>
      <c r="K397" s="40"/>
      <c r="L397" s="40"/>
      <c r="M397" s="40"/>
    </row>
    <row r="398" spans="1:13">
      <c r="A398" s="40"/>
      <c r="F398" s="38"/>
      <c r="G398" s="38"/>
      <c r="H398" s="38"/>
      <c r="I398" s="40"/>
      <c r="J398" s="40"/>
      <c r="K398" s="40"/>
      <c r="L398" s="40"/>
      <c r="M398" s="40"/>
    </row>
    <row r="399" spans="1:13">
      <c r="A399" s="40"/>
      <c r="F399" s="38"/>
      <c r="G399" s="38"/>
      <c r="H399" s="38"/>
      <c r="I399" s="40"/>
      <c r="J399" s="40"/>
      <c r="K399" s="40"/>
      <c r="L399" s="40"/>
      <c r="M399" s="40"/>
    </row>
    <row r="400" spans="1:13">
      <c r="A400" s="40"/>
      <c r="F400" s="38"/>
      <c r="G400" s="38"/>
      <c r="H400" s="38"/>
      <c r="I400" s="40"/>
      <c r="J400" s="40"/>
      <c r="K400" s="40"/>
      <c r="L400" s="40"/>
      <c r="M400" s="40"/>
    </row>
    <row r="401" spans="1:13">
      <c r="A401" s="40"/>
      <c r="F401" s="38"/>
      <c r="G401" s="38"/>
      <c r="H401" s="38"/>
      <c r="I401" s="40"/>
      <c r="J401" s="40"/>
      <c r="K401" s="40"/>
      <c r="L401" s="40"/>
      <c r="M401" s="40"/>
    </row>
    <row r="402" spans="1:13">
      <c r="A402" s="40"/>
      <c r="F402" s="38"/>
      <c r="G402" s="38"/>
      <c r="H402" s="38"/>
      <c r="I402" s="40"/>
      <c r="J402" s="40"/>
      <c r="K402" s="40"/>
      <c r="L402" s="40"/>
      <c r="M402" s="40"/>
    </row>
    <row r="403" spans="1:13">
      <c r="A403" s="40"/>
      <c r="F403" s="38"/>
      <c r="G403" s="38"/>
      <c r="H403" s="38"/>
      <c r="I403" s="40"/>
      <c r="J403" s="40"/>
      <c r="K403" s="40"/>
      <c r="L403" s="40"/>
      <c r="M403" s="40"/>
    </row>
    <row r="404" spans="1:13">
      <c r="A404" s="40"/>
      <c r="F404" s="38"/>
      <c r="G404" s="38"/>
      <c r="H404" s="38"/>
      <c r="I404" s="40"/>
      <c r="J404" s="40"/>
      <c r="K404" s="40"/>
      <c r="L404" s="40"/>
      <c r="M404" s="40"/>
    </row>
    <row r="405" spans="1:13">
      <c r="A405" s="40"/>
      <c r="F405" s="38"/>
      <c r="G405" s="38"/>
      <c r="H405" s="38"/>
      <c r="I405" s="40"/>
      <c r="J405" s="40"/>
      <c r="K405" s="40"/>
      <c r="L405" s="40"/>
      <c r="M405" s="40"/>
    </row>
    <row r="406" spans="1:13">
      <c r="A406" s="40"/>
      <c r="F406" s="38"/>
      <c r="G406" s="38"/>
      <c r="H406" s="38"/>
      <c r="I406" s="40"/>
      <c r="J406" s="40"/>
      <c r="K406" s="40"/>
      <c r="L406" s="40"/>
      <c r="M406" s="40"/>
    </row>
    <row r="407" spans="1:13">
      <c r="A407" s="40"/>
      <c r="F407" s="38"/>
      <c r="G407" s="38"/>
      <c r="H407" s="38"/>
      <c r="I407" s="40"/>
      <c r="J407" s="40"/>
      <c r="K407" s="40"/>
      <c r="L407" s="40"/>
      <c r="M407" s="40"/>
    </row>
    <row r="408" spans="1:13">
      <c r="A408" s="40"/>
      <c r="F408" s="38"/>
      <c r="G408" s="38"/>
      <c r="H408" s="38"/>
      <c r="I408" s="40"/>
      <c r="J408" s="40"/>
      <c r="K408" s="40"/>
      <c r="L408" s="40"/>
      <c r="M408" s="40"/>
    </row>
    <row r="409" spans="1:13">
      <c r="A409" s="40"/>
      <c r="F409" s="38"/>
      <c r="G409" s="38"/>
      <c r="H409" s="38"/>
      <c r="I409" s="40"/>
      <c r="J409" s="40"/>
      <c r="K409" s="40"/>
      <c r="L409" s="40"/>
      <c r="M409" s="40"/>
    </row>
    <row r="410" spans="1:13">
      <c r="A410" s="40"/>
      <c r="F410" s="38"/>
      <c r="G410" s="38"/>
      <c r="H410" s="38"/>
      <c r="I410" s="40"/>
      <c r="J410" s="40"/>
      <c r="K410" s="40"/>
      <c r="L410" s="40"/>
      <c r="M410" s="40"/>
    </row>
    <row r="411" spans="1:13">
      <c r="A411" s="40"/>
      <c r="F411" s="38"/>
      <c r="G411" s="38"/>
      <c r="H411" s="38"/>
      <c r="I411" s="40"/>
      <c r="J411" s="40"/>
      <c r="K411" s="40"/>
      <c r="L411" s="40"/>
      <c r="M411" s="40"/>
    </row>
    <row r="412" spans="1:13">
      <c r="A412" s="40"/>
      <c r="F412" s="38"/>
      <c r="G412" s="38"/>
      <c r="H412" s="38"/>
      <c r="I412" s="40"/>
      <c r="J412" s="40"/>
      <c r="K412" s="40"/>
      <c r="L412" s="40"/>
      <c r="M412" s="40"/>
    </row>
    <row r="413" spans="1:13">
      <c r="A413" s="40"/>
      <c r="F413" s="38"/>
      <c r="G413" s="38"/>
      <c r="H413" s="38"/>
      <c r="I413" s="40"/>
      <c r="J413" s="40"/>
      <c r="K413" s="40"/>
      <c r="L413" s="40"/>
      <c r="M413" s="40"/>
    </row>
    <row r="414" spans="1:13">
      <c r="A414" s="40"/>
      <c r="F414" s="38"/>
      <c r="G414" s="38"/>
      <c r="H414" s="38"/>
      <c r="I414" s="40"/>
      <c r="J414" s="40"/>
      <c r="K414" s="40"/>
      <c r="L414" s="40"/>
      <c r="M414" s="40"/>
    </row>
    <row r="415" spans="1:13">
      <c r="A415" s="40"/>
      <c r="F415" s="38"/>
      <c r="G415" s="38"/>
      <c r="H415" s="38"/>
      <c r="I415" s="40"/>
      <c r="J415" s="40"/>
      <c r="K415" s="40"/>
      <c r="L415" s="40"/>
      <c r="M415" s="40"/>
    </row>
    <row r="416" spans="1:13">
      <c r="A416" s="40"/>
      <c r="F416" s="38"/>
      <c r="G416" s="38"/>
      <c r="H416" s="38"/>
      <c r="I416" s="40"/>
      <c r="J416" s="40"/>
      <c r="K416" s="40"/>
      <c r="L416" s="40"/>
      <c r="M416" s="40"/>
    </row>
    <row r="417" spans="1:13">
      <c r="A417" s="40"/>
      <c r="F417" s="38"/>
      <c r="G417" s="38"/>
      <c r="H417" s="38"/>
      <c r="I417" s="40"/>
      <c r="J417" s="40"/>
      <c r="K417" s="40"/>
      <c r="L417" s="40"/>
      <c r="M417" s="40"/>
    </row>
    <row r="418" spans="1:13">
      <c r="A418" s="40"/>
      <c r="F418" s="38"/>
      <c r="G418" s="38"/>
      <c r="H418" s="38"/>
      <c r="I418" s="40"/>
      <c r="J418" s="40"/>
      <c r="K418" s="40"/>
      <c r="L418" s="40"/>
      <c r="M418" s="40"/>
    </row>
    <row r="419" spans="1:13">
      <c r="A419" s="40"/>
      <c r="F419" s="38"/>
      <c r="G419" s="38"/>
      <c r="H419" s="38"/>
      <c r="I419" s="40"/>
      <c r="J419" s="40"/>
      <c r="K419" s="40"/>
      <c r="L419" s="40"/>
      <c r="M419" s="40"/>
    </row>
    <row r="420" spans="1:13">
      <c r="A420" s="40"/>
      <c r="F420" s="38"/>
      <c r="G420" s="38"/>
      <c r="H420" s="38"/>
      <c r="I420" s="40"/>
      <c r="J420" s="40"/>
      <c r="K420" s="40"/>
      <c r="L420" s="40"/>
      <c r="M420" s="40"/>
    </row>
    <row r="421" spans="1:13">
      <c r="A421" s="40"/>
      <c r="F421" s="38"/>
      <c r="G421" s="38"/>
      <c r="H421" s="38"/>
      <c r="I421" s="40"/>
      <c r="J421" s="40"/>
      <c r="K421" s="40"/>
      <c r="L421" s="40"/>
      <c r="M421" s="40"/>
    </row>
    <row r="422" spans="1:13">
      <c r="A422" s="40"/>
      <c r="F422" s="38"/>
      <c r="G422" s="38"/>
      <c r="H422" s="38"/>
      <c r="I422" s="40"/>
      <c r="J422" s="40"/>
      <c r="K422" s="40"/>
      <c r="L422" s="40"/>
      <c r="M422" s="40"/>
    </row>
    <row r="423" spans="1:13">
      <c r="A423" s="40"/>
      <c r="F423" s="38"/>
      <c r="G423" s="38"/>
      <c r="H423" s="38"/>
      <c r="I423" s="40"/>
      <c r="J423" s="40"/>
      <c r="K423" s="40"/>
      <c r="L423" s="40"/>
      <c r="M423" s="40"/>
    </row>
    <row r="424" spans="1:13">
      <c r="A424" s="40"/>
      <c r="F424" s="38"/>
      <c r="G424" s="38"/>
      <c r="H424" s="38"/>
      <c r="I424" s="40"/>
      <c r="J424" s="40"/>
      <c r="K424" s="40"/>
      <c r="L424" s="40"/>
      <c r="M424" s="40"/>
    </row>
    <row r="425" spans="1:13">
      <c r="A425" s="40"/>
      <c r="F425" s="38"/>
      <c r="G425" s="38"/>
      <c r="H425" s="38"/>
      <c r="I425" s="40"/>
      <c r="J425" s="40"/>
      <c r="K425" s="40"/>
      <c r="L425" s="40"/>
      <c r="M425" s="40"/>
    </row>
    <row r="426" spans="1:13">
      <c r="A426" s="40"/>
      <c r="F426" s="38"/>
      <c r="G426" s="38"/>
      <c r="H426" s="38"/>
      <c r="I426" s="40"/>
      <c r="J426" s="40"/>
      <c r="K426" s="40"/>
      <c r="L426" s="40"/>
      <c r="M426" s="40"/>
    </row>
    <row r="427" spans="1:13">
      <c r="A427" s="40"/>
      <c r="F427" s="38"/>
      <c r="G427" s="38"/>
      <c r="H427" s="38"/>
      <c r="I427" s="40"/>
      <c r="J427" s="40"/>
      <c r="K427" s="40"/>
      <c r="L427" s="40"/>
      <c r="M427" s="40"/>
    </row>
    <row r="428" spans="1:13">
      <c r="A428" s="40"/>
      <c r="F428" s="38"/>
      <c r="G428" s="38"/>
      <c r="H428" s="38"/>
      <c r="I428" s="40"/>
      <c r="J428" s="40"/>
      <c r="K428" s="40"/>
      <c r="L428" s="40"/>
      <c r="M428" s="40"/>
    </row>
    <row r="429" spans="1:13">
      <c r="A429" s="40"/>
      <c r="F429" s="38"/>
      <c r="G429" s="38"/>
      <c r="H429" s="38"/>
      <c r="I429" s="40"/>
      <c r="J429" s="40"/>
      <c r="K429" s="40"/>
      <c r="L429" s="40"/>
      <c r="M429" s="40"/>
    </row>
    <row r="430" spans="1:13">
      <c r="A430" s="40"/>
      <c r="F430" s="38"/>
      <c r="G430" s="38"/>
      <c r="H430" s="38"/>
      <c r="I430" s="40"/>
      <c r="J430" s="40"/>
      <c r="K430" s="40"/>
      <c r="L430" s="40"/>
      <c r="M430" s="40"/>
    </row>
    <row r="431" spans="1:13">
      <c r="A431" s="40"/>
      <c r="F431" s="38"/>
      <c r="G431" s="38"/>
      <c r="H431" s="38"/>
      <c r="I431" s="40"/>
      <c r="J431" s="40"/>
      <c r="K431" s="40"/>
      <c r="L431" s="40"/>
      <c r="M431" s="40"/>
    </row>
    <row r="432" spans="1:13">
      <c r="A432" s="40"/>
      <c r="F432" s="38"/>
      <c r="G432" s="38"/>
      <c r="H432" s="38"/>
      <c r="I432" s="40"/>
      <c r="J432" s="40"/>
      <c r="K432" s="40"/>
      <c r="L432" s="40"/>
      <c r="M432" s="40"/>
    </row>
    <row r="433" spans="1:13">
      <c r="A433" s="40"/>
      <c r="F433" s="38"/>
      <c r="G433" s="38"/>
      <c r="H433" s="38"/>
      <c r="I433" s="40"/>
      <c r="J433" s="40"/>
      <c r="K433" s="40"/>
      <c r="L433" s="40"/>
      <c r="M433" s="40"/>
    </row>
    <row r="434" spans="1:13">
      <c r="A434" s="40"/>
      <c r="F434" s="38"/>
      <c r="G434" s="38"/>
      <c r="H434" s="38"/>
      <c r="I434" s="40"/>
      <c r="J434" s="40"/>
      <c r="K434" s="40"/>
      <c r="L434" s="40"/>
      <c r="M434" s="40"/>
    </row>
    <row r="435" spans="1:13">
      <c r="A435" s="40"/>
      <c r="F435" s="38"/>
      <c r="G435" s="38"/>
      <c r="H435" s="38"/>
      <c r="I435" s="40"/>
      <c r="J435" s="40"/>
      <c r="K435" s="40"/>
      <c r="L435" s="40"/>
      <c r="M435" s="40"/>
    </row>
    <row r="436" spans="1:13">
      <c r="A436" s="40"/>
      <c r="F436" s="38"/>
      <c r="G436" s="38"/>
      <c r="H436" s="38"/>
      <c r="I436" s="40"/>
      <c r="J436" s="40"/>
      <c r="K436" s="40"/>
      <c r="L436" s="40"/>
      <c r="M436" s="40"/>
    </row>
    <row r="437" spans="1:13">
      <c r="A437" s="40"/>
      <c r="F437" s="38"/>
      <c r="G437" s="38"/>
      <c r="H437" s="38"/>
      <c r="I437" s="40"/>
      <c r="J437" s="40"/>
      <c r="K437" s="40"/>
      <c r="L437" s="40"/>
      <c r="M437" s="40"/>
    </row>
    <row r="438" spans="1:13">
      <c r="A438" s="40"/>
      <c r="F438" s="38"/>
      <c r="G438" s="38"/>
      <c r="H438" s="38"/>
      <c r="I438" s="40"/>
      <c r="J438" s="40"/>
      <c r="K438" s="40"/>
      <c r="L438" s="40"/>
      <c r="M438" s="40"/>
    </row>
    <row r="439" spans="1:13">
      <c r="A439" s="40"/>
      <c r="F439" s="38"/>
      <c r="G439" s="38"/>
      <c r="H439" s="38"/>
      <c r="I439" s="40"/>
      <c r="J439" s="40"/>
      <c r="K439" s="40"/>
      <c r="L439" s="40"/>
      <c r="M439" s="40"/>
    </row>
    <row r="440" spans="1:13">
      <c r="A440" s="40"/>
      <c r="F440" s="38"/>
      <c r="G440" s="38"/>
      <c r="H440" s="38"/>
      <c r="I440" s="40"/>
      <c r="J440" s="40"/>
      <c r="K440" s="40"/>
      <c r="L440" s="40"/>
      <c r="M440" s="40"/>
    </row>
    <row r="441" spans="1:13">
      <c r="A441" s="40"/>
      <c r="F441" s="38"/>
      <c r="G441" s="38"/>
      <c r="H441" s="38"/>
      <c r="I441" s="40"/>
      <c r="J441" s="40"/>
      <c r="K441" s="40"/>
      <c r="L441" s="40"/>
      <c r="M441" s="40"/>
    </row>
    <row r="442" spans="1:13">
      <c r="A442" s="40"/>
      <c r="F442" s="38"/>
      <c r="G442" s="38"/>
      <c r="H442" s="38"/>
      <c r="I442" s="40"/>
      <c r="J442" s="40"/>
      <c r="K442" s="40"/>
      <c r="L442" s="40"/>
      <c r="M442" s="40"/>
    </row>
    <row r="443" spans="1:13">
      <c r="A443" s="40"/>
      <c r="F443" s="38"/>
      <c r="G443" s="38"/>
      <c r="H443" s="38"/>
      <c r="I443" s="40"/>
      <c r="J443" s="40"/>
      <c r="K443" s="40"/>
      <c r="L443" s="40"/>
      <c r="M443" s="40"/>
    </row>
    <row r="444" spans="1:13">
      <c r="A444" s="40"/>
      <c r="F444" s="38"/>
      <c r="G444" s="38"/>
      <c r="H444" s="38"/>
      <c r="I444" s="40"/>
      <c r="J444" s="40"/>
      <c r="K444" s="40"/>
      <c r="L444" s="40"/>
      <c r="M444" s="40"/>
    </row>
    <row r="445" spans="1:13">
      <c r="A445" s="40"/>
      <c r="F445" s="38"/>
      <c r="G445" s="38"/>
      <c r="H445" s="38"/>
      <c r="I445" s="40"/>
      <c r="J445" s="40"/>
      <c r="K445" s="40"/>
      <c r="L445" s="40"/>
      <c r="M445" s="40"/>
    </row>
    <row r="446" spans="1:13">
      <c r="A446" s="40"/>
      <c r="F446" s="38"/>
      <c r="G446" s="38"/>
      <c r="H446" s="38"/>
      <c r="I446" s="40"/>
      <c r="J446" s="40"/>
      <c r="K446" s="40"/>
      <c r="L446" s="40"/>
      <c r="M446" s="40"/>
    </row>
    <row r="447" spans="1:13">
      <c r="A447" s="40"/>
      <c r="F447" s="38"/>
      <c r="G447" s="38"/>
      <c r="H447" s="38"/>
      <c r="I447" s="40"/>
      <c r="J447" s="40"/>
      <c r="K447" s="40"/>
      <c r="L447" s="40"/>
      <c r="M447" s="40"/>
    </row>
    <row r="448" spans="1:13">
      <c r="A448" s="40"/>
      <c r="F448" s="38"/>
      <c r="G448" s="38"/>
      <c r="H448" s="38"/>
      <c r="I448" s="40"/>
      <c r="J448" s="40"/>
      <c r="K448" s="40"/>
      <c r="L448" s="40"/>
      <c r="M448" s="40"/>
    </row>
    <row r="449" spans="1:13">
      <c r="A449" s="40"/>
      <c r="F449" s="38"/>
      <c r="G449" s="38"/>
      <c r="H449" s="38"/>
      <c r="I449" s="40"/>
      <c r="J449" s="40"/>
      <c r="K449" s="40"/>
      <c r="L449" s="40"/>
      <c r="M449" s="40"/>
    </row>
    <row r="450" spans="1:13">
      <c r="A450" s="40"/>
      <c r="F450" s="38"/>
      <c r="G450" s="38"/>
      <c r="H450" s="38"/>
      <c r="I450" s="40"/>
      <c r="J450" s="40"/>
      <c r="K450" s="40"/>
      <c r="L450" s="40"/>
      <c r="M450" s="40"/>
    </row>
    <row r="451" spans="1:13">
      <c r="A451" s="40"/>
      <c r="F451" s="38"/>
      <c r="G451" s="38"/>
      <c r="H451" s="38"/>
      <c r="I451" s="40"/>
      <c r="J451" s="40"/>
      <c r="K451" s="40"/>
      <c r="L451" s="40"/>
      <c r="M451" s="40"/>
    </row>
    <row r="452" spans="1:13">
      <c r="A452" s="40"/>
      <c r="F452" s="38"/>
      <c r="G452" s="38"/>
      <c r="H452" s="38"/>
      <c r="I452" s="40"/>
      <c r="J452" s="40"/>
      <c r="K452" s="40"/>
      <c r="L452" s="40"/>
      <c r="M452" s="40"/>
    </row>
    <row r="453" spans="1:13">
      <c r="A453" s="40"/>
      <c r="F453" s="38"/>
      <c r="G453" s="38"/>
      <c r="H453" s="38"/>
      <c r="I453" s="40"/>
      <c r="J453" s="40"/>
      <c r="K453" s="40"/>
      <c r="L453" s="40"/>
      <c r="M453" s="40"/>
    </row>
    <row r="454" spans="1:13">
      <c r="A454" s="40"/>
      <c r="F454" s="38"/>
      <c r="G454" s="38"/>
      <c r="H454" s="38"/>
      <c r="I454" s="40"/>
      <c r="J454" s="40"/>
      <c r="K454" s="40"/>
      <c r="L454" s="40"/>
      <c r="M454" s="40"/>
    </row>
    <row r="455" spans="1:13">
      <c r="A455" s="40"/>
      <c r="F455" s="38"/>
      <c r="G455" s="38"/>
      <c r="H455" s="38"/>
      <c r="I455" s="40"/>
      <c r="J455" s="40"/>
      <c r="K455" s="40"/>
      <c r="L455" s="40"/>
      <c r="M455" s="40"/>
    </row>
    <row r="456" spans="1:13">
      <c r="A456" s="40"/>
      <c r="F456" s="38"/>
      <c r="G456" s="38"/>
      <c r="H456" s="38"/>
      <c r="I456" s="40"/>
      <c r="J456" s="40"/>
      <c r="K456" s="40"/>
      <c r="L456" s="40"/>
      <c r="M456" s="40"/>
    </row>
    <row r="457" spans="1:13">
      <c r="A457" s="40"/>
      <c r="F457" s="38"/>
      <c r="G457" s="38"/>
      <c r="H457" s="38"/>
      <c r="I457" s="40"/>
      <c r="J457" s="40"/>
      <c r="K457" s="40"/>
      <c r="L457" s="40"/>
      <c r="M457" s="40"/>
    </row>
    <row r="458" spans="1:13">
      <c r="A458" s="40"/>
      <c r="F458" s="38"/>
      <c r="G458" s="38"/>
      <c r="H458" s="38"/>
      <c r="I458" s="40"/>
      <c r="J458" s="40"/>
      <c r="K458" s="40"/>
      <c r="L458" s="40"/>
      <c r="M458" s="40"/>
    </row>
    <row r="459" spans="1:13">
      <c r="A459" s="40"/>
      <c r="F459" s="38"/>
      <c r="G459" s="38"/>
      <c r="H459" s="38"/>
      <c r="I459" s="40"/>
      <c r="J459" s="40"/>
      <c r="K459" s="40"/>
      <c r="L459" s="40"/>
      <c r="M459" s="40"/>
    </row>
    <row r="460" spans="1:13">
      <c r="A460" s="40"/>
      <c r="F460" s="38"/>
      <c r="G460" s="38"/>
      <c r="H460" s="38"/>
      <c r="I460" s="40"/>
      <c r="J460" s="40"/>
      <c r="K460" s="40"/>
      <c r="L460" s="40"/>
      <c r="M460" s="40"/>
    </row>
    <row r="461" spans="1:13">
      <c r="A461" s="40"/>
      <c r="F461" s="38"/>
      <c r="G461" s="38"/>
      <c r="H461" s="38"/>
      <c r="I461" s="40"/>
      <c r="J461" s="40"/>
      <c r="K461" s="40"/>
      <c r="L461" s="40"/>
      <c r="M461" s="40"/>
    </row>
    <row r="462" spans="1:13">
      <c r="A462" s="40"/>
      <c r="F462" s="38"/>
      <c r="G462" s="38"/>
      <c r="H462" s="38"/>
      <c r="I462" s="40"/>
      <c r="J462" s="40"/>
      <c r="K462" s="40"/>
      <c r="L462" s="40"/>
      <c r="M462" s="40"/>
    </row>
    <row r="463" spans="1:13">
      <c r="A463" s="40"/>
      <c r="F463" s="38"/>
      <c r="G463" s="38"/>
      <c r="H463" s="38"/>
      <c r="I463" s="40"/>
      <c r="J463" s="40"/>
      <c r="K463" s="40"/>
      <c r="L463" s="40"/>
      <c r="M463" s="40"/>
    </row>
    <row r="464" spans="1:13">
      <c r="A464" s="40"/>
      <c r="F464" s="38"/>
      <c r="G464" s="38"/>
      <c r="H464" s="38"/>
      <c r="I464" s="40"/>
      <c r="J464" s="40"/>
      <c r="K464" s="40"/>
      <c r="L464" s="40"/>
      <c r="M464" s="40"/>
    </row>
    <row r="465" spans="1:13">
      <c r="A465" s="40"/>
      <c r="F465" s="38"/>
      <c r="G465" s="38"/>
      <c r="H465" s="38"/>
      <c r="I465" s="40"/>
      <c r="J465" s="40"/>
      <c r="K465" s="40"/>
      <c r="L465" s="40"/>
      <c r="M465" s="40"/>
    </row>
    <row r="466" spans="1:13">
      <c r="A466" s="40"/>
      <c r="F466" s="38"/>
      <c r="G466" s="38"/>
      <c r="H466" s="38"/>
      <c r="I466" s="40"/>
      <c r="J466" s="40"/>
      <c r="K466" s="40"/>
      <c r="L466" s="40"/>
      <c r="M466" s="40"/>
    </row>
    <row r="467" spans="1:13">
      <c r="A467" s="40"/>
      <c r="F467" s="38"/>
      <c r="G467" s="38"/>
      <c r="H467" s="38"/>
      <c r="I467" s="40"/>
      <c r="J467" s="40"/>
      <c r="K467" s="40"/>
      <c r="L467" s="40"/>
      <c r="M467" s="40"/>
    </row>
    <row r="468" spans="1:13">
      <c r="A468" s="40"/>
      <c r="F468" s="38"/>
      <c r="G468" s="38"/>
      <c r="H468" s="38"/>
      <c r="I468" s="40"/>
      <c r="J468" s="40"/>
      <c r="K468" s="40"/>
      <c r="L468" s="40"/>
      <c r="M468" s="40"/>
    </row>
    <row r="469" spans="1:13">
      <c r="A469" s="40"/>
      <c r="F469" s="38"/>
      <c r="G469" s="38"/>
      <c r="H469" s="38"/>
      <c r="I469" s="40"/>
      <c r="J469" s="40"/>
      <c r="K469" s="40"/>
      <c r="L469" s="40"/>
      <c r="M469" s="40"/>
    </row>
    <row r="470" spans="1:13">
      <c r="A470" s="40"/>
      <c r="F470" s="38"/>
      <c r="G470" s="38"/>
      <c r="H470" s="38"/>
      <c r="I470" s="40"/>
      <c r="J470" s="40"/>
      <c r="K470" s="40"/>
      <c r="L470" s="40"/>
      <c r="M470" s="40"/>
    </row>
    <row r="471" spans="1:13">
      <c r="A471" s="40"/>
      <c r="F471" s="38"/>
      <c r="G471" s="38"/>
      <c r="H471" s="38"/>
      <c r="I471" s="40"/>
      <c r="J471" s="40"/>
      <c r="K471" s="40"/>
      <c r="L471" s="40"/>
      <c r="M471" s="40"/>
    </row>
    <row r="472" spans="1:13">
      <c r="A472" s="40"/>
      <c r="F472" s="38"/>
      <c r="G472" s="38"/>
      <c r="H472" s="38"/>
      <c r="I472" s="40"/>
      <c r="J472" s="40"/>
      <c r="K472" s="40"/>
      <c r="L472" s="40"/>
      <c r="M472" s="40"/>
    </row>
    <row r="473" spans="1:13">
      <c r="A473" s="40"/>
      <c r="F473" s="38"/>
      <c r="G473" s="38"/>
      <c r="H473" s="38"/>
      <c r="I473" s="40"/>
      <c r="J473" s="40"/>
      <c r="K473" s="40"/>
      <c r="L473" s="40"/>
      <c r="M473" s="40"/>
    </row>
    <row r="474" spans="1:13">
      <c r="A474" s="40"/>
      <c r="F474" s="38"/>
      <c r="G474" s="38"/>
      <c r="H474" s="38"/>
      <c r="I474" s="40"/>
      <c r="J474" s="40"/>
      <c r="K474" s="40"/>
      <c r="L474" s="40"/>
      <c r="M474" s="40"/>
    </row>
    <row r="475" spans="1:13">
      <c r="A475" s="40"/>
      <c r="F475" s="38"/>
      <c r="G475" s="38"/>
      <c r="H475" s="38"/>
      <c r="I475" s="40"/>
      <c r="J475" s="40"/>
      <c r="K475" s="40"/>
      <c r="L475" s="40"/>
      <c r="M475" s="40"/>
    </row>
    <row r="476" spans="1:13">
      <c r="A476" s="40"/>
      <c r="F476" s="38"/>
      <c r="G476" s="38"/>
      <c r="H476" s="38"/>
      <c r="I476" s="40"/>
      <c r="J476" s="40"/>
      <c r="K476" s="40"/>
      <c r="L476" s="40"/>
      <c r="M476" s="40"/>
    </row>
    <row r="477" spans="1:13">
      <c r="A477" s="40"/>
      <c r="F477" s="38"/>
      <c r="G477" s="38"/>
      <c r="H477" s="38"/>
      <c r="I477" s="40"/>
      <c r="J477" s="40"/>
      <c r="K477" s="40"/>
      <c r="L477" s="40"/>
      <c r="M477" s="40"/>
    </row>
    <row r="478" spans="1:13">
      <c r="A478" s="40"/>
      <c r="F478" s="38"/>
      <c r="G478" s="38"/>
      <c r="H478" s="38"/>
      <c r="I478" s="40"/>
      <c r="J478" s="40"/>
      <c r="K478" s="40"/>
      <c r="L478" s="40"/>
      <c r="M478" s="40"/>
    </row>
    <row r="479" spans="1:13">
      <c r="A479" s="40"/>
      <c r="F479" s="38"/>
      <c r="G479" s="38"/>
      <c r="H479" s="38"/>
      <c r="I479" s="40"/>
      <c r="J479" s="40"/>
      <c r="K479" s="40"/>
      <c r="L479" s="40"/>
      <c r="M479" s="40"/>
    </row>
    <row r="480" spans="1:13">
      <c r="A480" s="40"/>
      <c r="F480" s="38"/>
      <c r="G480" s="38"/>
      <c r="H480" s="38"/>
      <c r="I480" s="40"/>
      <c r="J480" s="40"/>
      <c r="K480" s="40"/>
      <c r="L480" s="40"/>
      <c r="M480" s="40"/>
    </row>
    <row r="481" spans="1:13">
      <c r="A481" s="40"/>
      <c r="F481" s="38"/>
      <c r="G481" s="38"/>
      <c r="H481" s="38"/>
      <c r="I481" s="40"/>
      <c r="J481" s="40"/>
      <c r="K481" s="40"/>
      <c r="L481" s="40"/>
      <c r="M481" s="40"/>
    </row>
    <row r="482" spans="1:13">
      <c r="A482" s="40"/>
      <c r="F482" s="38"/>
      <c r="G482" s="38"/>
      <c r="H482" s="38"/>
      <c r="I482" s="40"/>
      <c r="J482" s="40"/>
      <c r="K482" s="40"/>
      <c r="L482" s="40"/>
      <c r="M482" s="40"/>
    </row>
    <row r="483" spans="1:13">
      <c r="A483" s="40"/>
      <c r="F483" s="38"/>
      <c r="G483" s="38"/>
      <c r="H483" s="38"/>
      <c r="I483" s="40"/>
      <c r="J483" s="40"/>
      <c r="K483" s="40"/>
      <c r="L483" s="40"/>
      <c r="M483" s="40"/>
    </row>
    <row r="484" spans="1:13">
      <c r="A484" s="40"/>
      <c r="F484" s="38"/>
      <c r="G484" s="38"/>
      <c r="H484" s="38"/>
      <c r="I484" s="40"/>
      <c r="J484" s="40"/>
      <c r="K484" s="40"/>
      <c r="L484" s="40"/>
      <c r="M484" s="40"/>
    </row>
    <row r="485" spans="1:13">
      <c r="A485" s="40"/>
      <c r="F485" s="38"/>
      <c r="G485" s="38"/>
      <c r="H485" s="38"/>
      <c r="I485" s="40"/>
      <c r="J485" s="40"/>
      <c r="K485" s="40"/>
      <c r="L485" s="40"/>
      <c r="M485" s="40"/>
    </row>
    <row r="486" spans="1:13">
      <c r="A486" s="40"/>
      <c r="F486" s="38"/>
      <c r="G486" s="38"/>
      <c r="H486" s="38"/>
      <c r="I486" s="40"/>
      <c r="J486" s="40"/>
      <c r="K486" s="40"/>
      <c r="L486" s="40"/>
      <c r="M486" s="40"/>
    </row>
    <row r="487" spans="1:13">
      <c r="A487" s="40"/>
      <c r="F487" s="38"/>
      <c r="G487" s="38"/>
      <c r="H487" s="38"/>
      <c r="I487" s="40"/>
      <c r="J487" s="40"/>
      <c r="K487" s="40"/>
      <c r="L487" s="40"/>
      <c r="M487" s="40"/>
    </row>
    <row r="488" spans="1:13">
      <c r="A488" s="40"/>
      <c r="F488" s="38"/>
      <c r="G488" s="38"/>
      <c r="H488" s="38"/>
      <c r="I488" s="40"/>
      <c r="J488" s="40"/>
      <c r="K488" s="40"/>
      <c r="L488" s="40"/>
      <c r="M488" s="40"/>
    </row>
    <row r="489" spans="1:13">
      <c r="A489" s="40"/>
      <c r="F489" s="38"/>
      <c r="G489" s="38"/>
      <c r="H489" s="38"/>
      <c r="I489" s="40"/>
      <c r="J489" s="40"/>
      <c r="K489" s="40"/>
      <c r="L489" s="40"/>
      <c r="M489" s="40"/>
    </row>
    <row r="490" spans="1:13">
      <c r="A490" s="40"/>
      <c r="F490" s="38"/>
      <c r="G490" s="38"/>
      <c r="H490" s="38"/>
      <c r="I490" s="40"/>
      <c r="J490" s="40"/>
      <c r="K490" s="40"/>
      <c r="L490" s="40"/>
      <c r="M490" s="40"/>
    </row>
    <row r="491" spans="1:13">
      <c r="A491" s="40"/>
      <c r="F491" s="38"/>
      <c r="G491" s="38"/>
      <c r="H491" s="38"/>
      <c r="I491" s="40"/>
      <c r="J491" s="40"/>
      <c r="K491" s="40"/>
      <c r="L491" s="40"/>
      <c r="M491" s="40"/>
    </row>
    <row r="492" spans="1:13">
      <c r="A492" s="40"/>
      <c r="F492" s="38"/>
      <c r="G492" s="38"/>
      <c r="H492" s="38"/>
      <c r="I492" s="40"/>
      <c r="J492" s="40"/>
      <c r="K492" s="40"/>
      <c r="L492" s="40"/>
      <c r="M492" s="40"/>
    </row>
    <row r="493" spans="1:13">
      <c r="A493" s="40"/>
      <c r="F493" s="38"/>
      <c r="G493" s="38"/>
      <c r="H493" s="38"/>
      <c r="I493" s="40"/>
      <c r="J493" s="40"/>
      <c r="K493" s="40"/>
      <c r="L493" s="40"/>
      <c r="M493" s="40"/>
    </row>
    <row r="494" spans="1:13">
      <c r="A494" s="40"/>
      <c r="F494" s="38"/>
      <c r="G494" s="38"/>
      <c r="H494" s="38"/>
      <c r="I494" s="40"/>
      <c r="J494" s="40"/>
      <c r="K494" s="40"/>
      <c r="L494" s="40"/>
      <c r="M494" s="40"/>
    </row>
    <row r="495" spans="1:13">
      <c r="A495" s="40"/>
      <c r="F495" s="38"/>
      <c r="G495" s="38"/>
      <c r="H495" s="38"/>
      <c r="I495" s="40"/>
      <c r="J495" s="40"/>
      <c r="K495" s="40"/>
      <c r="L495" s="40"/>
      <c r="M495" s="40"/>
    </row>
    <row r="496" spans="1:13">
      <c r="A496" s="40"/>
      <c r="F496" s="38"/>
      <c r="G496" s="38"/>
      <c r="H496" s="38"/>
      <c r="I496" s="40"/>
      <c r="J496" s="40"/>
      <c r="K496" s="40"/>
      <c r="L496" s="40"/>
      <c r="M496" s="40"/>
    </row>
    <row r="497" spans="1:13">
      <c r="A497" s="40"/>
      <c r="F497" s="38"/>
      <c r="G497" s="38"/>
      <c r="H497" s="38"/>
      <c r="I497" s="40"/>
      <c r="J497" s="40"/>
      <c r="K497" s="40"/>
      <c r="L497" s="40"/>
      <c r="M497" s="40"/>
    </row>
    <row r="498" spans="1:13">
      <c r="A498" s="40"/>
      <c r="F498" s="38"/>
      <c r="G498" s="38"/>
      <c r="H498" s="38"/>
      <c r="I498" s="40"/>
      <c r="J498" s="40"/>
      <c r="K498" s="40"/>
      <c r="L498" s="40"/>
      <c r="M498" s="40"/>
    </row>
    <row r="499" spans="1:13">
      <c r="A499" s="40"/>
      <c r="F499" s="38"/>
      <c r="G499" s="38"/>
      <c r="H499" s="38"/>
      <c r="I499" s="40"/>
      <c r="J499" s="40"/>
      <c r="K499" s="40"/>
      <c r="L499" s="40"/>
      <c r="M499" s="40"/>
    </row>
    <row r="500" spans="1:13">
      <c r="A500" s="40"/>
      <c r="F500" s="38"/>
      <c r="G500" s="38"/>
      <c r="H500" s="38"/>
      <c r="I500" s="40"/>
      <c r="J500" s="40"/>
      <c r="K500" s="40"/>
      <c r="L500" s="40"/>
      <c r="M500" s="40"/>
    </row>
    <row r="501" spans="1:13">
      <c r="A501" s="40"/>
      <c r="F501" s="38"/>
      <c r="G501" s="38"/>
      <c r="H501" s="38"/>
      <c r="I501" s="40"/>
      <c r="J501" s="40"/>
      <c r="K501" s="40"/>
      <c r="L501" s="40"/>
      <c r="M501" s="40"/>
    </row>
    <row r="502" spans="1:13">
      <c r="A502" s="40"/>
      <c r="F502" s="38"/>
      <c r="G502" s="38"/>
      <c r="H502" s="38"/>
      <c r="I502" s="40"/>
      <c r="J502" s="40"/>
      <c r="K502" s="40"/>
      <c r="L502" s="40"/>
      <c r="M502" s="40"/>
    </row>
    <row r="503" spans="1:13">
      <c r="A503" s="40"/>
      <c r="F503" s="38"/>
      <c r="G503" s="38"/>
      <c r="H503" s="38"/>
      <c r="I503" s="40"/>
      <c r="J503" s="40"/>
      <c r="K503" s="40"/>
      <c r="L503" s="40"/>
      <c r="M503" s="40"/>
    </row>
    <row r="504" spans="1:13">
      <c r="A504" s="40"/>
      <c r="F504" s="38"/>
      <c r="G504" s="38"/>
      <c r="H504" s="38"/>
      <c r="I504" s="40"/>
      <c r="J504" s="40"/>
      <c r="K504" s="40"/>
      <c r="L504" s="40"/>
      <c r="M504" s="40"/>
    </row>
    <row r="505" spans="1:13">
      <c r="A505" s="40"/>
      <c r="F505" s="38"/>
      <c r="G505" s="38"/>
      <c r="H505" s="38"/>
      <c r="I505" s="40"/>
      <c r="J505" s="40"/>
      <c r="K505" s="40"/>
      <c r="L505" s="40"/>
      <c r="M505" s="40"/>
    </row>
    <row r="506" spans="1:13">
      <c r="A506" s="40"/>
      <c r="F506" s="38"/>
      <c r="G506" s="38"/>
      <c r="H506" s="38"/>
      <c r="I506" s="40"/>
      <c r="J506" s="40"/>
      <c r="K506" s="40"/>
      <c r="L506" s="40"/>
      <c r="M506" s="40"/>
    </row>
    <row r="507" spans="1:13">
      <c r="A507" s="40"/>
      <c r="F507" s="38"/>
      <c r="G507" s="38"/>
      <c r="H507" s="38"/>
      <c r="I507" s="40"/>
      <c r="J507" s="40"/>
      <c r="K507" s="40"/>
      <c r="L507" s="40"/>
      <c r="M507" s="40"/>
    </row>
    <row r="508" spans="1:13">
      <c r="A508" s="40"/>
      <c r="F508" s="38"/>
      <c r="G508" s="38"/>
      <c r="H508" s="38"/>
      <c r="I508" s="40"/>
      <c r="J508" s="40"/>
      <c r="K508" s="40"/>
      <c r="L508" s="40"/>
      <c r="M508" s="40"/>
    </row>
    <row r="509" spans="1:13">
      <c r="A509" s="40"/>
      <c r="F509" s="38"/>
      <c r="G509" s="38"/>
      <c r="H509" s="38"/>
      <c r="I509" s="40"/>
      <c r="J509" s="40"/>
      <c r="K509" s="40"/>
      <c r="L509" s="40"/>
      <c r="M509" s="40"/>
    </row>
    <row r="510" spans="1:13">
      <c r="A510" s="40"/>
      <c r="F510" s="38"/>
      <c r="G510" s="38"/>
      <c r="H510" s="38"/>
      <c r="I510" s="40"/>
      <c r="J510" s="40"/>
      <c r="K510" s="40"/>
      <c r="L510" s="40"/>
      <c r="M510" s="40"/>
    </row>
    <row r="511" spans="1:13">
      <c r="A511" s="40"/>
      <c r="F511" s="38"/>
      <c r="G511" s="38"/>
      <c r="H511" s="38"/>
      <c r="I511" s="40"/>
      <c r="J511" s="40"/>
      <c r="K511" s="40"/>
      <c r="L511" s="40"/>
      <c r="M511" s="40"/>
    </row>
    <row r="512" spans="1:13">
      <c r="A512" s="40"/>
      <c r="F512" s="38"/>
      <c r="G512" s="38"/>
      <c r="H512" s="38"/>
      <c r="I512" s="40"/>
      <c r="J512" s="40"/>
      <c r="K512" s="40"/>
      <c r="L512" s="40"/>
      <c r="M512" s="40"/>
    </row>
    <row r="513" spans="1:13">
      <c r="A513" s="40"/>
      <c r="F513" s="38"/>
      <c r="G513" s="38"/>
      <c r="H513" s="38"/>
      <c r="I513" s="40"/>
      <c r="J513" s="40"/>
      <c r="K513" s="40"/>
      <c r="L513" s="40"/>
      <c r="M513" s="40"/>
    </row>
    <row r="514" spans="1:13">
      <c r="A514" s="40"/>
      <c r="F514" s="38"/>
      <c r="G514" s="38"/>
      <c r="H514" s="38"/>
      <c r="I514" s="40"/>
      <c r="J514" s="40"/>
      <c r="K514" s="40"/>
      <c r="L514" s="40"/>
      <c r="M514" s="40"/>
    </row>
    <row r="515" spans="1:13">
      <c r="A515" s="40"/>
      <c r="F515" s="38"/>
      <c r="G515" s="38"/>
      <c r="H515" s="38"/>
      <c r="I515" s="40"/>
      <c r="J515" s="40"/>
      <c r="K515" s="40"/>
      <c r="L515" s="40"/>
      <c r="M515" s="40"/>
    </row>
    <row r="516" spans="1:13">
      <c r="A516" s="40"/>
      <c r="F516" s="38"/>
      <c r="G516" s="38"/>
      <c r="H516" s="38"/>
      <c r="I516" s="40"/>
      <c r="J516" s="40"/>
      <c r="K516" s="40"/>
      <c r="L516" s="40"/>
      <c r="M516" s="40"/>
    </row>
    <row r="517" spans="1:13">
      <c r="A517" s="40"/>
      <c r="F517" s="38"/>
      <c r="G517" s="38"/>
      <c r="H517" s="38"/>
      <c r="I517" s="40"/>
      <c r="J517" s="40"/>
      <c r="K517" s="40"/>
      <c r="L517" s="40"/>
      <c r="M517" s="40"/>
    </row>
    <row r="518" spans="1:13">
      <c r="A518" s="40"/>
      <c r="F518" s="38"/>
      <c r="G518" s="38"/>
      <c r="H518" s="38"/>
      <c r="I518" s="40"/>
      <c r="J518" s="40"/>
      <c r="K518" s="40"/>
      <c r="L518" s="40"/>
      <c r="M518" s="40"/>
    </row>
    <row r="519" spans="1:13">
      <c r="A519" s="40"/>
      <c r="F519" s="38"/>
      <c r="G519" s="38"/>
      <c r="H519" s="38"/>
      <c r="I519" s="40"/>
      <c r="J519" s="40"/>
      <c r="K519" s="40"/>
      <c r="L519" s="40"/>
      <c r="M519" s="40"/>
    </row>
    <row r="520" spans="1:13">
      <c r="A520" s="40"/>
      <c r="F520" s="38"/>
      <c r="G520" s="38"/>
      <c r="H520" s="38"/>
      <c r="I520" s="40"/>
      <c r="J520" s="40"/>
      <c r="K520" s="40"/>
      <c r="L520" s="40"/>
      <c r="M520" s="40"/>
    </row>
    <row r="521" spans="1:13">
      <c r="A521" s="40"/>
      <c r="F521" s="38"/>
      <c r="G521" s="38"/>
      <c r="H521" s="38"/>
      <c r="I521" s="40"/>
      <c r="J521" s="40"/>
      <c r="K521" s="40"/>
      <c r="L521" s="40"/>
      <c r="M521" s="40"/>
    </row>
    <row r="522" spans="1:13">
      <c r="A522" s="40"/>
      <c r="F522" s="38"/>
      <c r="G522" s="38"/>
      <c r="H522" s="38"/>
      <c r="I522" s="40"/>
      <c r="J522" s="40"/>
      <c r="K522" s="40"/>
      <c r="L522" s="40"/>
      <c r="M522" s="40"/>
    </row>
    <row r="523" spans="1:13">
      <c r="A523" s="40"/>
      <c r="F523" s="38"/>
      <c r="G523" s="38"/>
      <c r="H523" s="38"/>
      <c r="I523" s="40"/>
      <c r="J523" s="40"/>
      <c r="K523" s="40"/>
      <c r="L523" s="40"/>
      <c r="M523" s="40"/>
    </row>
    <row r="524" spans="1:13">
      <c r="A524" s="40"/>
      <c r="F524" s="38"/>
      <c r="G524" s="38"/>
      <c r="H524" s="38"/>
      <c r="I524" s="40"/>
      <c r="J524" s="40"/>
      <c r="K524" s="40"/>
      <c r="L524" s="40"/>
      <c r="M524" s="40"/>
    </row>
    <row r="525" spans="1:13">
      <c r="A525" s="40"/>
      <c r="F525" s="38"/>
      <c r="G525" s="38"/>
      <c r="H525" s="38"/>
      <c r="I525" s="40"/>
      <c r="J525" s="40"/>
      <c r="K525" s="40"/>
      <c r="L525" s="40"/>
      <c r="M525" s="40"/>
    </row>
    <row r="526" spans="1:13">
      <c r="A526" s="40"/>
      <c r="F526" s="38"/>
      <c r="G526" s="38"/>
      <c r="H526" s="38"/>
      <c r="I526" s="40"/>
      <c r="J526" s="40"/>
      <c r="K526" s="40"/>
      <c r="L526" s="40"/>
      <c r="M526" s="40"/>
    </row>
    <row r="527" spans="1:13">
      <c r="A527" s="40"/>
      <c r="F527" s="38"/>
      <c r="G527" s="38"/>
      <c r="H527" s="38"/>
      <c r="I527" s="40"/>
      <c r="J527" s="40"/>
      <c r="K527" s="40"/>
      <c r="L527" s="40"/>
      <c r="M527" s="40"/>
    </row>
    <row r="528" spans="1:13">
      <c r="A528" s="40"/>
      <c r="F528" s="38"/>
      <c r="G528" s="38"/>
      <c r="H528" s="38"/>
      <c r="I528" s="40"/>
      <c r="J528" s="40"/>
      <c r="K528" s="40"/>
      <c r="L528" s="40"/>
      <c r="M528" s="40"/>
    </row>
    <row r="529" spans="1:13">
      <c r="A529" s="40"/>
      <c r="F529" s="38"/>
      <c r="G529" s="38"/>
      <c r="H529" s="38"/>
      <c r="I529" s="40"/>
      <c r="J529" s="40"/>
      <c r="K529" s="40"/>
      <c r="L529" s="40"/>
      <c r="M529" s="40"/>
    </row>
    <row r="530" spans="1:13">
      <c r="A530" s="40"/>
      <c r="F530" s="38"/>
      <c r="G530" s="38"/>
      <c r="H530" s="38"/>
      <c r="I530" s="40"/>
      <c r="J530" s="40"/>
      <c r="K530" s="40"/>
      <c r="L530" s="40"/>
      <c r="M530" s="40"/>
    </row>
    <row r="531" spans="1:13">
      <c r="A531" s="40"/>
      <c r="F531" s="38"/>
      <c r="G531" s="38"/>
      <c r="H531" s="38"/>
      <c r="I531" s="40"/>
      <c r="J531" s="40"/>
      <c r="K531" s="40"/>
      <c r="L531" s="40"/>
      <c r="M531" s="40"/>
    </row>
    <row r="532" spans="1:13">
      <c r="A532" s="40"/>
      <c r="F532" s="38"/>
      <c r="G532" s="38"/>
      <c r="H532" s="38"/>
      <c r="I532" s="40"/>
      <c r="J532" s="40"/>
      <c r="K532" s="40"/>
      <c r="L532" s="40"/>
      <c r="M532" s="40"/>
    </row>
    <row r="533" spans="1:13">
      <c r="A533" s="40"/>
      <c r="F533" s="38"/>
      <c r="G533" s="38"/>
      <c r="H533" s="38"/>
      <c r="I533" s="40"/>
      <c r="J533" s="40"/>
      <c r="K533" s="40"/>
      <c r="L533" s="40"/>
      <c r="M533" s="40"/>
    </row>
    <row r="534" spans="1:13">
      <c r="A534" s="40"/>
      <c r="F534" s="38"/>
      <c r="G534" s="38"/>
      <c r="H534" s="38"/>
      <c r="I534" s="40"/>
      <c r="J534" s="40"/>
      <c r="K534" s="40"/>
      <c r="L534" s="40"/>
      <c r="M534" s="40"/>
    </row>
    <row r="535" spans="1:13">
      <c r="A535" s="40"/>
      <c r="F535" s="38"/>
      <c r="G535" s="38"/>
      <c r="H535" s="38"/>
      <c r="I535" s="40"/>
      <c r="J535" s="40"/>
      <c r="K535" s="40"/>
      <c r="L535" s="40"/>
      <c r="M535" s="40"/>
    </row>
    <row r="536" spans="1:13">
      <c r="A536" s="40"/>
      <c r="F536" s="38"/>
      <c r="G536" s="38"/>
      <c r="H536" s="38"/>
      <c r="I536" s="40"/>
      <c r="J536" s="40"/>
      <c r="K536" s="40"/>
      <c r="L536" s="40"/>
      <c r="M536" s="40"/>
    </row>
    <row r="537" spans="1:13">
      <c r="A537" s="40"/>
      <c r="F537" s="38"/>
      <c r="G537" s="38"/>
      <c r="H537" s="38"/>
      <c r="I537" s="40"/>
      <c r="J537" s="40"/>
      <c r="K537" s="40"/>
      <c r="L537" s="40"/>
      <c r="M537" s="40"/>
    </row>
    <row r="538" spans="1:13">
      <c r="A538" s="40"/>
      <c r="F538" s="38"/>
      <c r="G538" s="38"/>
      <c r="H538" s="38"/>
      <c r="I538" s="40"/>
      <c r="J538" s="40"/>
      <c r="K538" s="40"/>
      <c r="L538" s="40"/>
      <c r="M538" s="40"/>
    </row>
    <row r="539" spans="1:13">
      <c r="A539" s="40"/>
      <c r="F539" s="38"/>
      <c r="G539" s="38"/>
      <c r="H539" s="38"/>
      <c r="I539" s="40"/>
      <c r="J539" s="40"/>
      <c r="K539" s="40"/>
      <c r="L539" s="40"/>
      <c r="M539" s="40"/>
    </row>
    <row r="540" spans="1:13">
      <c r="A540" s="40"/>
      <c r="F540" s="38"/>
      <c r="G540" s="38"/>
      <c r="H540" s="38"/>
      <c r="I540" s="40"/>
      <c r="J540" s="40"/>
      <c r="K540" s="40"/>
      <c r="L540" s="40"/>
      <c r="M540" s="40"/>
    </row>
    <row r="541" spans="1:13">
      <c r="A541" s="40"/>
      <c r="F541" s="38"/>
      <c r="G541" s="38"/>
      <c r="H541" s="38"/>
      <c r="I541" s="40"/>
      <c r="J541" s="40"/>
      <c r="K541" s="40"/>
      <c r="L541" s="40"/>
      <c r="M541" s="40"/>
    </row>
    <row r="542" spans="1:13">
      <c r="A542" s="40"/>
      <c r="F542" s="38"/>
      <c r="G542" s="38"/>
      <c r="H542" s="38"/>
      <c r="I542" s="40"/>
      <c r="J542" s="40"/>
      <c r="K542" s="40"/>
      <c r="L542" s="40"/>
      <c r="M542" s="40"/>
    </row>
    <row r="543" spans="1:13">
      <c r="A543" s="40"/>
      <c r="F543" s="38"/>
      <c r="G543" s="38"/>
      <c r="H543" s="38"/>
      <c r="I543" s="40"/>
      <c r="J543" s="40"/>
      <c r="K543" s="40"/>
      <c r="L543" s="40"/>
      <c r="M543" s="40"/>
    </row>
    <row r="544" spans="1:13">
      <c r="A544" s="40"/>
      <c r="F544" s="38"/>
      <c r="G544" s="38"/>
      <c r="H544" s="38"/>
      <c r="I544" s="40"/>
      <c r="J544" s="40"/>
      <c r="K544" s="40"/>
      <c r="L544" s="40"/>
      <c r="M544" s="40"/>
    </row>
    <row r="545" spans="1:13">
      <c r="A545" s="40"/>
      <c r="F545" s="38"/>
      <c r="G545" s="38"/>
      <c r="H545" s="38"/>
      <c r="I545" s="40"/>
      <c r="J545" s="40"/>
      <c r="K545" s="40"/>
      <c r="L545" s="40"/>
      <c r="M545" s="40"/>
    </row>
    <row r="546" spans="1:13">
      <c r="A546" s="40"/>
      <c r="F546" s="38"/>
      <c r="G546" s="38"/>
      <c r="H546" s="38"/>
      <c r="I546" s="40"/>
      <c r="J546" s="40"/>
      <c r="K546" s="40"/>
      <c r="L546" s="40"/>
      <c r="M546" s="40"/>
    </row>
    <row r="547" spans="1:13">
      <c r="A547" s="40"/>
      <c r="F547" s="38"/>
      <c r="G547" s="38"/>
      <c r="H547" s="38"/>
      <c r="I547" s="40"/>
      <c r="J547" s="40"/>
      <c r="K547" s="40"/>
      <c r="L547" s="40"/>
      <c r="M547" s="40"/>
    </row>
    <row r="548" spans="1:13">
      <c r="A548" s="40"/>
      <c r="F548" s="38"/>
      <c r="G548" s="38"/>
      <c r="H548" s="38"/>
      <c r="I548" s="40"/>
      <c r="J548" s="40"/>
      <c r="K548" s="40"/>
      <c r="L548" s="40"/>
      <c r="M548" s="40"/>
    </row>
    <row r="549" spans="1:13">
      <c r="A549" s="40"/>
      <c r="F549" s="38"/>
      <c r="G549" s="38"/>
      <c r="H549" s="38"/>
      <c r="I549" s="40"/>
      <c r="J549" s="40"/>
      <c r="K549" s="40"/>
      <c r="L549" s="40"/>
      <c r="M549" s="40"/>
    </row>
    <row r="550" spans="1:13">
      <c r="A550" s="40"/>
      <c r="F550" s="38"/>
      <c r="G550" s="38"/>
      <c r="H550" s="38"/>
      <c r="I550" s="40"/>
      <c r="J550" s="40"/>
      <c r="K550" s="40"/>
      <c r="L550" s="40"/>
      <c r="M550" s="40"/>
    </row>
    <row r="551" spans="1:13">
      <c r="A551" s="40"/>
      <c r="F551" s="38"/>
      <c r="G551" s="38"/>
      <c r="H551" s="38"/>
      <c r="I551" s="40"/>
      <c r="J551" s="40"/>
      <c r="K551" s="40"/>
      <c r="L551" s="40"/>
      <c r="M551" s="40"/>
    </row>
    <row r="552" spans="1:13">
      <c r="A552" s="40"/>
      <c r="F552" s="38"/>
      <c r="G552" s="38"/>
      <c r="H552" s="38"/>
      <c r="I552" s="40"/>
      <c r="J552" s="40"/>
      <c r="K552" s="40"/>
      <c r="L552" s="40"/>
      <c r="M552" s="40"/>
    </row>
    <row r="553" spans="1:13">
      <c r="A553" s="40"/>
      <c r="F553" s="38"/>
      <c r="G553" s="38"/>
      <c r="H553" s="38"/>
      <c r="I553" s="40"/>
      <c r="J553" s="40"/>
      <c r="K553" s="40"/>
      <c r="L553" s="40"/>
      <c r="M553" s="40"/>
    </row>
    <row r="554" spans="1:13">
      <c r="A554" s="40"/>
      <c r="F554" s="38"/>
      <c r="G554" s="38"/>
      <c r="H554" s="38"/>
      <c r="I554" s="40"/>
      <c r="J554" s="40"/>
      <c r="K554" s="40"/>
      <c r="L554" s="40"/>
      <c r="M554" s="40"/>
    </row>
    <row r="555" spans="1:13">
      <c r="A555" s="40"/>
      <c r="F555" s="38"/>
      <c r="G555" s="38"/>
      <c r="H555" s="38"/>
      <c r="I555" s="40"/>
      <c r="J555" s="40"/>
      <c r="K555" s="40"/>
      <c r="L555" s="40"/>
      <c r="M555" s="40"/>
    </row>
    <row r="556" spans="1:13">
      <c r="A556" s="40"/>
      <c r="F556" s="38"/>
      <c r="G556" s="38"/>
      <c r="H556" s="38"/>
      <c r="I556" s="40"/>
      <c r="J556" s="40"/>
      <c r="K556" s="40"/>
      <c r="L556" s="40"/>
      <c r="M556" s="40"/>
    </row>
    <row r="557" spans="1:13">
      <c r="A557" s="40"/>
      <c r="F557" s="38"/>
      <c r="G557" s="38"/>
      <c r="H557" s="38"/>
      <c r="I557" s="40"/>
      <c r="J557" s="40"/>
      <c r="K557" s="40"/>
      <c r="L557" s="40"/>
      <c r="M557" s="40"/>
    </row>
    <row r="558" spans="1:13">
      <c r="A558" s="40"/>
      <c r="F558" s="38"/>
      <c r="G558" s="38"/>
      <c r="H558" s="38"/>
      <c r="I558" s="40"/>
      <c r="J558" s="40"/>
      <c r="K558" s="40"/>
      <c r="L558" s="40"/>
      <c r="M558" s="40"/>
    </row>
    <row r="559" spans="1:13">
      <c r="A559" s="40"/>
      <c r="F559" s="38"/>
      <c r="G559" s="38"/>
      <c r="H559" s="38"/>
      <c r="I559" s="40"/>
      <c r="J559" s="40"/>
      <c r="K559" s="40"/>
      <c r="L559" s="40"/>
      <c r="M559" s="40"/>
    </row>
    <row r="560" spans="1:13">
      <c r="A560" s="40"/>
      <c r="F560" s="38"/>
      <c r="G560" s="38"/>
      <c r="H560" s="38"/>
      <c r="I560" s="40"/>
      <c r="J560" s="40"/>
      <c r="K560" s="40"/>
      <c r="L560" s="40"/>
      <c r="M560" s="40"/>
    </row>
    <row r="561" spans="1:13">
      <c r="A561" s="40"/>
      <c r="F561" s="38"/>
      <c r="G561" s="38"/>
      <c r="H561" s="38"/>
      <c r="I561" s="40"/>
      <c r="J561" s="40"/>
      <c r="K561" s="40"/>
      <c r="L561" s="40"/>
      <c r="M561" s="40"/>
    </row>
    <row r="562" spans="1:13">
      <c r="A562" s="40"/>
      <c r="F562" s="38"/>
      <c r="G562" s="38"/>
      <c r="H562" s="38"/>
      <c r="I562" s="40"/>
      <c r="J562" s="40"/>
      <c r="K562" s="40"/>
      <c r="L562" s="40"/>
      <c r="M562" s="40"/>
    </row>
    <row r="563" spans="1:13">
      <c r="A563" s="40"/>
      <c r="F563" s="38"/>
      <c r="G563" s="38"/>
      <c r="H563" s="38"/>
      <c r="I563" s="40"/>
      <c r="J563" s="40"/>
      <c r="K563" s="40"/>
      <c r="L563" s="40"/>
      <c r="M563" s="40"/>
    </row>
    <row r="564" spans="1:13">
      <c r="A564" s="40"/>
      <c r="F564" s="38"/>
      <c r="G564" s="38"/>
      <c r="H564" s="38"/>
      <c r="I564" s="40"/>
      <c r="J564" s="40"/>
      <c r="K564" s="40"/>
      <c r="L564" s="40"/>
      <c r="M564" s="40"/>
    </row>
    <row r="565" spans="1:13">
      <c r="A565" s="40"/>
      <c r="F565" s="38"/>
      <c r="G565" s="38"/>
      <c r="H565" s="38"/>
      <c r="I565" s="40"/>
      <c r="J565" s="40"/>
      <c r="K565" s="40"/>
      <c r="L565" s="40"/>
      <c r="M565" s="40"/>
    </row>
    <row r="566" spans="1:13">
      <c r="A566" s="40"/>
      <c r="F566" s="38"/>
      <c r="G566" s="38"/>
      <c r="H566" s="38"/>
      <c r="I566" s="40"/>
      <c r="J566" s="40"/>
      <c r="K566" s="40"/>
      <c r="L566" s="40"/>
      <c r="M566" s="40"/>
    </row>
    <row r="567" spans="1:13">
      <c r="A567" s="40"/>
      <c r="F567" s="38"/>
      <c r="G567" s="38"/>
      <c r="H567" s="38"/>
      <c r="I567" s="40"/>
      <c r="J567" s="40"/>
      <c r="K567" s="40"/>
      <c r="L567" s="40"/>
      <c r="M567" s="40"/>
    </row>
    <row r="568" spans="1:13">
      <c r="A568" s="40"/>
      <c r="F568" s="38"/>
      <c r="G568" s="38"/>
      <c r="H568" s="38"/>
      <c r="I568" s="40"/>
      <c r="J568" s="40"/>
      <c r="K568" s="40"/>
      <c r="L568" s="40"/>
      <c r="M568" s="40"/>
    </row>
    <row r="569" spans="1:13">
      <c r="A569" s="40"/>
      <c r="F569" s="38"/>
      <c r="G569" s="38"/>
      <c r="H569" s="38"/>
      <c r="I569" s="40"/>
      <c r="J569" s="40"/>
      <c r="K569" s="40"/>
      <c r="L569" s="40"/>
      <c r="M569" s="40"/>
    </row>
    <row r="570" spans="1:13">
      <c r="A570" s="40"/>
      <c r="F570" s="38"/>
      <c r="G570" s="38"/>
      <c r="H570" s="38"/>
      <c r="I570" s="40"/>
      <c r="J570" s="40"/>
      <c r="K570" s="40"/>
      <c r="L570" s="40"/>
      <c r="M570" s="40"/>
    </row>
    <row r="571" spans="1:13">
      <c r="A571" s="40"/>
      <c r="F571" s="38"/>
      <c r="G571" s="38"/>
      <c r="H571" s="38"/>
      <c r="I571" s="40"/>
      <c r="J571" s="40"/>
      <c r="K571" s="40"/>
      <c r="L571" s="40"/>
      <c r="M571" s="40"/>
    </row>
    <row r="572" spans="1:13">
      <c r="A572" s="40"/>
      <c r="F572" s="38"/>
      <c r="G572" s="38"/>
      <c r="H572" s="38"/>
      <c r="I572" s="40"/>
      <c r="J572" s="40"/>
      <c r="K572" s="40"/>
      <c r="L572" s="40"/>
      <c r="M572" s="40"/>
    </row>
    <row r="573" spans="1:13">
      <c r="A573" s="40"/>
      <c r="F573" s="38"/>
      <c r="G573" s="38"/>
      <c r="H573" s="38"/>
      <c r="I573" s="40"/>
      <c r="J573" s="40"/>
      <c r="K573" s="40"/>
      <c r="L573" s="40"/>
      <c r="M573" s="40"/>
    </row>
    <row r="574" spans="1:13">
      <c r="A574" s="40"/>
      <c r="F574" s="38"/>
      <c r="G574" s="38"/>
      <c r="H574" s="38"/>
      <c r="I574" s="40"/>
      <c r="J574" s="40"/>
      <c r="K574" s="40"/>
      <c r="L574" s="40"/>
      <c r="M574" s="40"/>
    </row>
    <row r="575" spans="1:13">
      <c r="A575" s="40"/>
      <c r="F575" s="38"/>
      <c r="G575" s="38"/>
      <c r="H575" s="38"/>
      <c r="I575" s="40"/>
      <c r="J575" s="40"/>
      <c r="K575" s="40"/>
      <c r="L575" s="40"/>
      <c r="M575" s="40"/>
    </row>
    <row r="576" spans="1:13">
      <c r="A576" s="40"/>
      <c r="F576" s="38"/>
      <c r="G576" s="38"/>
      <c r="H576" s="38"/>
      <c r="I576" s="40"/>
      <c r="J576" s="40"/>
      <c r="K576" s="40"/>
      <c r="L576" s="40"/>
      <c r="M576" s="40"/>
    </row>
    <row r="577" spans="1:13">
      <c r="A577" s="40"/>
      <c r="F577" s="38"/>
      <c r="G577" s="38"/>
      <c r="H577" s="38"/>
      <c r="I577" s="40"/>
      <c r="J577" s="40"/>
      <c r="K577" s="40"/>
      <c r="L577" s="40"/>
      <c r="M577" s="40"/>
    </row>
    <row r="578" spans="1:13">
      <c r="A578" s="40"/>
      <c r="F578" s="38"/>
      <c r="G578" s="38"/>
      <c r="H578" s="38"/>
      <c r="I578" s="40"/>
      <c r="J578" s="40"/>
      <c r="K578" s="40"/>
      <c r="L578" s="40"/>
      <c r="M578" s="40"/>
    </row>
    <row r="579" spans="1:13">
      <c r="A579" s="40"/>
      <c r="F579" s="38"/>
      <c r="G579" s="38"/>
      <c r="H579" s="38"/>
      <c r="I579" s="40"/>
      <c r="J579" s="40"/>
      <c r="K579" s="40"/>
      <c r="L579" s="40"/>
      <c r="M579" s="40"/>
    </row>
    <row r="580" spans="1:13">
      <c r="A580" s="40"/>
      <c r="F580" s="38"/>
      <c r="G580" s="38"/>
      <c r="H580" s="38"/>
      <c r="I580" s="40"/>
      <c r="J580" s="40"/>
      <c r="K580" s="40"/>
      <c r="L580" s="40"/>
      <c r="M580" s="40"/>
    </row>
    <row r="581" spans="1:13">
      <c r="A581" s="40"/>
      <c r="F581" s="38"/>
      <c r="G581" s="38"/>
      <c r="H581" s="38"/>
      <c r="I581" s="40"/>
      <c r="J581" s="40"/>
      <c r="K581" s="40"/>
      <c r="L581" s="40"/>
      <c r="M581" s="40"/>
    </row>
    <row r="582" spans="1:13">
      <c r="A582" s="40"/>
      <c r="F582" s="38"/>
      <c r="G582" s="38"/>
      <c r="H582" s="38"/>
      <c r="I582" s="40"/>
      <c r="J582" s="40"/>
      <c r="K582" s="40"/>
      <c r="L582" s="40"/>
      <c r="M582" s="40"/>
    </row>
    <row r="583" spans="1:13">
      <c r="A583" s="40"/>
      <c r="F583" s="38"/>
      <c r="G583" s="38"/>
      <c r="H583" s="38"/>
      <c r="I583" s="40"/>
      <c r="J583" s="40"/>
      <c r="K583" s="40"/>
      <c r="L583" s="40"/>
      <c r="M583" s="40"/>
    </row>
    <row r="584" spans="1:13">
      <c r="A584" s="40"/>
      <c r="F584" s="38"/>
      <c r="G584" s="38"/>
      <c r="H584" s="38"/>
      <c r="I584" s="40"/>
      <c r="J584" s="40"/>
      <c r="K584" s="40"/>
      <c r="L584" s="40"/>
      <c r="M584" s="40"/>
    </row>
    <row r="585" spans="1:13">
      <c r="A585" s="40"/>
      <c r="F585" s="38"/>
      <c r="G585" s="38"/>
      <c r="H585" s="38"/>
      <c r="I585" s="40"/>
      <c r="J585" s="40"/>
      <c r="K585" s="40"/>
      <c r="L585" s="40"/>
      <c r="M585" s="40"/>
    </row>
    <row r="586" spans="1:13">
      <c r="A586" s="40"/>
      <c r="F586" s="38"/>
      <c r="G586" s="38"/>
      <c r="H586" s="38"/>
      <c r="I586" s="40"/>
      <c r="J586" s="40"/>
      <c r="K586" s="40"/>
      <c r="L586" s="40"/>
      <c r="M586" s="40"/>
    </row>
    <row r="587" spans="1:13">
      <c r="A587" s="40"/>
      <c r="F587" s="38"/>
      <c r="G587" s="38"/>
      <c r="H587" s="38"/>
      <c r="I587" s="40"/>
      <c r="J587" s="40"/>
      <c r="K587" s="40"/>
      <c r="L587" s="40"/>
      <c r="M587" s="40"/>
    </row>
    <row r="588" spans="1:13">
      <c r="A588" s="40"/>
      <c r="F588" s="38"/>
      <c r="G588" s="38"/>
      <c r="H588" s="38"/>
      <c r="I588" s="40"/>
      <c r="J588" s="40"/>
      <c r="K588" s="40"/>
      <c r="L588" s="40"/>
      <c r="M588" s="40"/>
    </row>
    <row r="589" spans="1:13">
      <c r="A589" s="40"/>
      <c r="F589" s="38"/>
      <c r="G589" s="38"/>
      <c r="H589" s="38"/>
      <c r="I589" s="40"/>
      <c r="J589" s="40"/>
      <c r="K589" s="40"/>
      <c r="L589" s="40"/>
      <c r="M589" s="40"/>
    </row>
    <row r="590" spans="1:13">
      <c r="A590" s="40"/>
      <c r="F590" s="38"/>
      <c r="G590" s="38"/>
      <c r="H590" s="38"/>
      <c r="I590" s="40"/>
      <c r="J590" s="40"/>
      <c r="K590" s="40"/>
      <c r="L590" s="40"/>
      <c r="M590" s="40"/>
    </row>
    <row r="591" spans="1:13">
      <c r="A591" s="40"/>
      <c r="F591" s="38"/>
      <c r="G591" s="38"/>
      <c r="H591" s="38"/>
      <c r="I591" s="40"/>
      <c r="J591" s="40"/>
      <c r="K591" s="40"/>
      <c r="L591" s="40"/>
      <c r="M591" s="40"/>
    </row>
    <row r="592" spans="1:13">
      <c r="A592" s="40"/>
      <c r="F592" s="38"/>
      <c r="G592" s="38"/>
      <c r="H592" s="38"/>
      <c r="I592" s="40"/>
      <c r="J592" s="40"/>
      <c r="K592" s="40"/>
      <c r="L592" s="40"/>
      <c r="M592" s="40"/>
    </row>
    <row r="593" spans="1:13">
      <c r="A593" s="40"/>
      <c r="F593" s="38"/>
      <c r="G593" s="38"/>
      <c r="H593" s="38"/>
      <c r="I593" s="40"/>
      <c r="J593" s="40"/>
      <c r="K593" s="40"/>
      <c r="L593" s="40"/>
      <c r="M593" s="40"/>
    </row>
    <row r="594" spans="1:13">
      <c r="A594" s="40"/>
      <c r="F594" s="38"/>
      <c r="G594" s="38"/>
      <c r="H594" s="38"/>
      <c r="I594" s="40"/>
      <c r="J594" s="40"/>
      <c r="K594" s="40"/>
      <c r="L594" s="40"/>
      <c r="M594" s="40"/>
    </row>
    <row r="595" spans="1:13">
      <c r="A595" s="40"/>
      <c r="F595" s="38"/>
      <c r="G595" s="38"/>
      <c r="H595" s="38"/>
      <c r="I595" s="40"/>
      <c r="J595" s="40"/>
      <c r="K595" s="40"/>
      <c r="L595" s="40"/>
      <c r="M595" s="40"/>
    </row>
    <row r="596" spans="1:13">
      <c r="A596" s="40"/>
      <c r="F596" s="38"/>
      <c r="G596" s="38"/>
      <c r="H596" s="38"/>
      <c r="I596" s="40"/>
      <c r="J596" s="40"/>
      <c r="K596" s="40"/>
      <c r="L596" s="40"/>
      <c r="M596" s="40"/>
    </row>
    <row r="597" spans="1:13">
      <c r="A597" s="40"/>
      <c r="F597" s="38"/>
      <c r="G597" s="38"/>
      <c r="H597" s="38"/>
      <c r="I597" s="40"/>
      <c r="J597" s="40"/>
      <c r="K597" s="40"/>
      <c r="L597" s="40"/>
      <c r="M597" s="40"/>
    </row>
    <row r="598" spans="1:13">
      <c r="A598" s="40"/>
      <c r="F598" s="38"/>
      <c r="G598" s="38"/>
      <c r="H598" s="38"/>
      <c r="I598" s="40"/>
      <c r="J598" s="40"/>
      <c r="K598" s="40"/>
      <c r="L598" s="40"/>
      <c r="M598" s="40"/>
    </row>
    <row r="599" spans="1:13">
      <c r="A599" s="40"/>
      <c r="F599" s="38"/>
      <c r="G599" s="38"/>
      <c r="H599" s="38"/>
      <c r="I599" s="40"/>
      <c r="J599" s="40"/>
      <c r="K599" s="40"/>
      <c r="L599" s="40"/>
      <c r="M599" s="40"/>
    </row>
    <row r="600" spans="1:13">
      <c r="A600" s="40"/>
      <c r="F600" s="38"/>
      <c r="G600" s="38"/>
      <c r="H600" s="38"/>
      <c r="I600" s="40"/>
      <c r="J600" s="40"/>
      <c r="K600" s="40"/>
      <c r="L600" s="40"/>
      <c r="M600" s="40"/>
    </row>
    <row r="601" spans="1:13">
      <c r="A601" s="40"/>
      <c r="F601" s="38"/>
      <c r="G601" s="38"/>
      <c r="H601" s="38"/>
      <c r="I601" s="40"/>
      <c r="J601" s="40"/>
      <c r="K601" s="40"/>
      <c r="L601" s="40"/>
      <c r="M601" s="40"/>
    </row>
    <row r="602" spans="1:13">
      <c r="A602" s="40"/>
      <c r="F602" s="38"/>
      <c r="G602" s="38"/>
      <c r="H602" s="38"/>
      <c r="I602" s="40"/>
      <c r="J602" s="40"/>
      <c r="K602" s="40"/>
      <c r="L602" s="40"/>
      <c r="M602" s="40"/>
    </row>
    <row r="603" spans="1:13">
      <c r="A603" s="40"/>
      <c r="F603" s="38"/>
      <c r="G603" s="38"/>
      <c r="H603" s="38"/>
      <c r="I603" s="40"/>
      <c r="J603" s="40"/>
      <c r="K603" s="40"/>
      <c r="L603" s="40"/>
      <c r="M603" s="40"/>
    </row>
    <row r="604" spans="1:13">
      <c r="A604" s="40"/>
      <c r="F604" s="38"/>
      <c r="G604" s="38"/>
      <c r="H604" s="38"/>
      <c r="I604" s="40"/>
      <c r="J604" s="40"/>
      <c r="K604" s="40"/>
      <c r="L604" s="40"/>
      <c r="M604" s="40"/>
    </row>
    <row r="605" spans="1:13">
      <c r="A605" s="40"/>
      <c r="F605" s="38"/>
      <c r="G605" s="38"/>
      <c r="H605" s="38"/>
      <c r="I605" s="40"/>
      <c r="J605" s="40"/>
      <c r="K605" s="40"/>
      <c r="L605" s="40"/>
      <c r="M605" s="40"/>
    </row>
    <row r="606" spans="1:13">
      <c r="A606" s="40"/>
      <c r="F606" s="38"/>
      <c r="G606" s="38"/>
      <c r="H606" s="38"/>
      <c r="I606" s="40"/>
      <c r="J606" s="40"/>
      <c r="K606" s="40"/>
      <c r="L606" s="40"/>
      <c r="M606" s="40"/>
    </row>
    <row r="607" spans="1:13">
      <c r="A607" s="40"/>
      <c r="F607" s="38"/>
      <c r="G607" s="38"/>
      <c r="H607" s="38"/>
      <c r="I607" s="40"/>
      <c r="J607" s="40"/>
      <c r="K607" s="40"/>
      <c r="L607" s="40"/>
      <c r="M607" s="40"/>
    </row>
    <row r="608" spans="1:13">
      <c r="A608" s="40"/>
      <c r="F608" s="38"/>
      <c r="G608" s="38"/>
      <c r="H608" s="38"/>
      <c r="I608" s="40"/>
      <c r="J608" s="40"/>
      <c r="K608" s="40"/>
      <c r="L608" s="40"/>
      <c r="M608" s="40"/>
    </row>
    <row r="609" spans="1:13">
      <c r="A609" s="40"/>
      <c r="F609" s="38"/>
      <c r="G609" s="38"/>
      <c r="H609" s="38"/>
      <c r="I609" s="40"/>
      <c r="J609" s="40"/>
      <c r="K609" s="40"/>
      <c r="L609" s="40"/>
      <c r="M609" s="40"/>
    </row>
    <row r="610" spans="1:13">
      <c r="A610" s="40"/>
      <c r="F610" s="38"/>
      <c r="G610" s="38"/>
      <c r="H610" s="38"/>
      <c r="I610" s="40"/>
      <c r="J610" s="40"/>
      <c r="K610" s="40"/>
      <c r="L610" s="40"/>
      <c r="M610" s="40"/>
    </row>
    <row r="611" spans="1:13">
      <c r="A611" s="40"/>
      <c r="F611" s="38"/>
      <c r="G611" s="38"/>
      <c r="H611" s="38"/>
      <c r="I611" s="40"/>
      <c r="J611" s="40"/>
      <c r="K611" s="40"/>
      <c r="L611" s="40"/>
      <c r="M611" s="40"/>
    </row>
    <row r="612" spans="1:13">
      <c r="A612" s="40"/>
      <c r="F612" s="38"/>
      <c r="G612" s="38"/>
      <c r="H612" s="38"/>
      <c r="I612" s="40"/>
      <c r="J612" s="40"/>
      <c r="K612" s="40"/>
      <c r="L612" s="40"/>
      <c r="M612" s="40"/>
    </row>
    <row r="613" spans="1:13">
      <c r="A613" s="40"/>
      <c r="F613" s="38"/>
      <c r="G613" s="38"/>
      <c r="H613" s="38"/>
      <c r="I613" s="40"/>
      <c r="J613" s="40"/>
      <c r="K613" s="40"/>
      <c r="L613" s="40"/>
      <c r="M613" s="40"/>
    </row>
    <row r="614" spans="1:13">
      <c r="A614" s="40"/>
      <c r="F614" s="38"/>
      <c r="G614" s="38"/>
      <c r="H614" s="38"/>
      <c r="I614" s="40"/>
      <c r="J614" s="40"/>
      <c r="K614" s="40"/>
      <c r="L614" s="40"/>
      <c r="M614" s="40"/>
    </row>
    <row r="615" spans="1:13">
      <c r="A615" s="40"/>
      <c r="F615" s="38"/>
      <c r="G615" s="38"/>
      <c r="H615" s="38"/>
      <c r="I615" s="40"/>
      <c r="J615" s="40"/>
      <c r="K615" s="40"/>
      <c r="L615" s="40"/>
      <c r="M615" s="40"/>
    </row>
    <row r="616" spans="1:13">
      <c r="A616" s="40"/>
      <c r="F616" s="38"/>
      <c r="G616" s="38"/>
      <c r="H616" s="38"/>
      <c r="I616" s="40"/>
      <c r="J616" s="40"/>
      <c r="K616" s="40"/>
      <c r="L616" s="40"/>
      <c r="M616" s="40"/>
    </row>
    <row r="617" spans="1:13">
      <c r="A617" s="40"/>
      <c r="F617" s="38"/>
      <c r="G617" s="38"/>
      <c r="H617" s="38"/>
      <c r="I617" s="40"/>
      <c r="J617" s="40"/>
      <c r="K617" s="40"/>
      <c r="L617" s="40"/>
      <c r="M617" s="40"/>
    </row>
    <row r="618" spans="1:13">
      <c r="A618" s="40"/>
      <c r="F618" s="38"/>
      <c r="G618" s="38"/>
      <c r="H618" s="38"/>
      <c r="I618" s="40"/>
      <c r="J618" s="40"/>
      <c r="K618" s="40"/>
      <c r="L618" s="40"/>
      <c r="M618" s="40"/>
    </row>
    <row r="619" spans="1:13">
      <c r="A619" s="40"/>
      <c r="F619" s="38"/>
      <c r="G619" s="38"/>
      <c r="H619" s="38"/>
      <c r="I619" s="40"/>
      <c r="J619" s="40"/>
      <c r="K619" s="40"/>
      <c r="L619" s="40"/>
      <c r="M619" s="40"/>
    </row>
    <row r="620" spans="1:13">
      <c r="A620" s="40"/>
      <c r="F620" s="38"/>
      <c r="G620" s="38"/>
      <c r="H620" s="38"/>
      <c r="I620" s="40"/>
      <c r="J620" s="40"/>
      <c r="K620" s="40"/>
      <c r="L620" s="40"/>
      <c r="M620" s="40"/>
    </row>
    <row r="621" spans="1:13">
      <c r="A621" s="40"/>
      <c r="F621" s="38"/>
      <c r="G621" s="38"/>
      <c r="H621" s="38"/>
      <c r="I621" s="40"/>
      <c r="J621" s="40"/>
      <c r="K621" s="40"/>
      <c r="L621" s="40"/>
      <c r="M621" s="40"/>
    </row>
    <row r="622" spans="1:13">
      <c r="A622" s="40"/>
      <c r="F622" s="38"/>
      <c r="G622" s="38"/>
      <c r="H622" s="38"/>
      <c r="I622" s="40"/>
      <c r="J622" s="40"/>
      <c r="K622" s="40"/>
      <c r="L622" s="40"/>
      <c r="M622" s="40"/>
    </row>
    <row r="623" spans="1:13">
      <c r="A623" s="40"/>
      <c r="F623" s="38"/>
      <c r="G623" s="38"/>
      <c r="H623" s="38"/>
      <c r="I623" s="40"/>
      <c r="J623" s="40"/>
      <c r="K623" s="40"/>
      <c r="L623" s="40"/>
      <c r="M623" s="40"/>
    </row>
    <row r="624" spans="1:13">
      <c r="A624" s="40"/>
      <c r="F624" s="38"/>
      <c r="G624" s="38"/>
      <c r="H624" s="38"/>
      <c r="I624" s="40"/>
      <c r="J624" s="40"/>
      <c r="K624" s="40"/>
      <c r="L624" s="40"/>
      <c r="M624" s="40"/>
    </row>
    <row r="625" spans="1:13">
      <c r="A625" s="40"/>
      <c r="F625" s="38"/>
      <c r="G625" s="38"/>
      <c r="H625" s="38"/>
      <c r="I625" s="40"/>
      <c r="J625" s="40"/>
      <c r="K625" s="40"/>
      <c r="L625" s="40"/>
      <c r="M625" s="40"/>
    </row>
    <row r="626" spans="1:13">
      <c r="A626" s="40"/>
      <c r="F626" s="38"/>
      <c r="G626" s="38"/>
      <c r="H626" s="38"/>
      <c r="I626" s="40"/>
      <c r="J626" s="40"/>
      <c r="K626" s="40"/>
      <c r="L626" s="40"/>
      <c r="M626" s="40"/>
    </row>
    <row r="627" spans="1:13">
      <c r="A627" s="40"/>
      <c r="F627" s="38"/>
      <c r="G627" s="38"/>
      <c r="H627" s="38"/>
      <c r="I627" s="40"/>
      <c r="J627" s="40"/>
      <c r="K627" s="40"/>
      <c r="L627" s="40"/>
      <c r="M627" s="40"/>
    </row>
    <row r="628" spans="1:13">
      <c r="A628" s="40"/>
      <c r="F628" s="38"/>
      <c r="G628" s="38"/>
      <c r="H628" s="38"/>
      <c r="I628" s="40"/>
      <c r="J628" s="40"/>
      <c r="K628" s="40"/>
      <c r="L628" s="40"/>
      <c r="M628" s="40"/>
    </row>
    <row r="629" spans="1:13">
      <c r="A629" s="40"/>
      <c r="F629" s="38"/>
      <c r="G629" s="38"/>
      <c r="H629" s="38"/>
      <c r="I629" s="40"/>
      <c r="J629" s="40"/>
      <c r="K629" s="40"/>
      <c r="L629" s="40"/>
      <c r="M629" s="40"/>
    </row>
    <row r="630" spans="1:13">
      <c r="A630" s="40"/>
      <c r="F630" s="38"/>
      <c r="G630" s="38"/>
      <c r="H630" s="38"/>
      <c r="I630" s="40"/>
      <c r="J630" s="40"/>
      <c r="K630" s="40"/>
      <c r="L630" s="40"/>
      <c r="M630" s="40"/>
    </row>
    <row r="631" spans="1:13">
      <c r="A631" s="40"/>
      <c r="F631" s="38"/>
      <c r="G631" s="38"/>
      <c r="H631" s="38"/>
      <c r="I631" s="40"/>
      <c r="J631" s="40"/>
      <c r="K631" s="40"/>
      <c r="L631" s="40"/>
      <c r="M631" s="40"/>
    </row>
    <row r="632" spans="1:13">
      <c r="A632" s="40"/>
      <c r="F632" s="38"/>
      <c r="G632" s="38"/>
      <c r="H632" s="38"/>
      <c r="I632" s="40"/>
      <c r="J632" s="40"/>
      <c r="K632" s="40"/>
      <c r="L632" s="40"/>
      <c r="M632" s="40"/>
    </row>
    <row r="633" spans="1:13">
      <c r="A633" s="40"/>
      <c r="F633" s="38"/>
      <c r="G633" s="38"/>
      <c r="H633" s="38"/>
      <c r="I633" s="40"/>
      <c r="J633" s="40"/>
      <c r="K633" s="40"/>
      <c r="L633" s="40"/>
      <c r="M633" s="40"/>
    </row>
    <row r="634" spans="1:13">
      <c r="A634" s="40"/>
      <c r="F634" s="38"/>
      <c r="G634" s="38"/>
      <c r="H634" s="38"/>
      <c r="I634" s="40"/>
      <c r="J634" s="40"/>
      <c r="K634" s="40"/>
      <c r="L634" s="40"/>
      <c r="M634" s="40"/>
    </row>
    <row r="635" spans="1:13">
      <c r="A635" s="40"/>
      <c r="F635" s="38"/>
      <c r="G635" s="38"/>
      <c r="H635" s="38"/>
      <c r="I635" s="40"/>
      <c r="J635" s="40"/>
      <c r="K635" s="40"/>
      <c r="L635" s="40"/>
      <c r="M635" s="40"/>
    </row>
    <row r="636" spans="1:13">
      <c r="A636" s="40"/>
      <c r="F636" s="38"/>
      <c r="G636" s="38"/>
      <c r="H636" s="38"/>
      <c r="I636" s="40"/>
      <c r="J636" s="40"/>
      <c r="K636" s="40"/>
      <c r="L636" s="40"/>
      <c r="M636" s="40"/>
    </row>
    <row r="637" spans="1:13">
      <c r="A637" s="40"/>
      <c r="F637" s="38"/>
      <c r="G637" s="38"/>
      <c r="H637" s="38"/>
      <c r="I637" s="40"/>
      <c r="J637" s="40"/>
      <c r="K637" s="40"/>
      <c r="L637" s="40"/>
      <c r="M637" s="40"/>
    </row>
    <row r="638" spans="1:13">
      <c r="A638" s="40"/>
      <c r="F638" s="38"/>
      <c r="G638" s="38"/>
      <c r="H638" s="38"/>
      <c r="I638" s="40"/>
      <c r="J638" s="40"/>
      <c r="K638" s="40"/>
      <c r="L638" s="40"/>
      <c r="M638" s="40"/>
    </row>
    <row r="639" spans="1:13">
      <c r="A639" s="40"/>
      <c r="F639" s="38"/>
      <c r="G639" s="38"/>
      <c r="H639" s="38"/>
      <c r="I639" s="40"/>
      <c r="J639" s="40"/>
      <c r="K639" s="40"/>
      <c r="L639" s="40"/>
      <c r="M639" s="40"/>
    </row>
    <row r="640" spans="1:13">
      <c r="A640" s="40"/>
      <c r="F640" s="38"/>
      <c r="G640" s="38"/>
      <c r="H640" s="38"/>
      <c r="I640" s="40"/>
      <c r="J640" s="40"/>
      <c r="K640" s="40"/>
      <c r="L640" s="40"/>
      <c r="M640" s="40"/>
    </row>
    <row r="641" spans="1:13">
      <c r="A641" s="40"/>
      <c r="F641" s="38"/>
      <c r="G641" s="38"/>
      <c r="H641" s="38"/>
      <c r="I641" s="40"/>
      <c r="J641" s="40"/>
      <c r="K641" s="40"/>
      <c r="L641" s="40"/>
      <c r="M641" s="40"/>
    </row>
    <row r="642" spans="1:13">
      <c r="A642" s="40"/>
      <c r="F642" s="38"/>
      <c r="G642" s="38"/>
      <c r="H642" s="38"/>
      <c r="I642" s="40"/>
      <c r="J642" s="40"/>
      <c r="K642" s="40"/>
      <c r="L642" s="40"/>
      <c r="M642" s="40"/>
    </row>
    <row r="643" spans="1:13">
      <c r="A643" s="40"/>
      <c r="F643" s="38"/>
      <c r="G643" s="38"/>
      <c r="H643" s="38"/>
      <c r="I643" s="40"/>
      <c r="J643" s="40"/>
      <c r="K643" s="40"/>
      <c r="L643" s="40"/>
      <c r="M643" s="40"/>
    </row>
    <row r="644" spans="1:13">
      <c r="A644" s="40"/>
      <c r="F644" s="38"/>
      <c r="G644" s="38"/>
      <c r="H644" s="38"/>
      <c r="I644" s="40"/>
      <c r="J644" s="40"/>
      <c r="K644" s="40"/>
      <c r="L644" s="40"/>
      <c r="M644" s="40"/>
    </row>
    <row r="645" spans="1:13">
      <c r="A645" s="40"/>
      <c r="F645" s="38"/>
      <c r="G645" s="38"/>
      <c r="H645" s="38"/>
      <c r="I645" s="40"/>
      <c r="J645" s="40"/>
      <c r="K645" s="40"/>
      <c r="L645" s="40"/>
      <c r="M645" s="40"/>
    </row>
    <row r="646" spans="1:13">
      <c r="A646" s="40"/>
      <c r="F646" s="38"/>
      <c r="G646" s="38"/>
      <c r="H646" s="38"/>
      <c r="I646" s="40"/>
      <c r="J646" s="40"/>
      <c r="K646" s="40"/>
      <c r="L646" s="40"/>
      <c r="M646" s="40"/>
    </row>
    <row r="647" spans="1:13">
      <c r="A647" s="40"/>
      <c r="F647" s="38"/>
      <c r="G647" s="38"/>
      <c r="H647" s="38"/>
      <c r="I647" s="40"/>
      <c r="J647" s="40"/>
      <c r="K647" s="40"/>
      <c r="L647" s="40"/>
      <c r="M647" s="40"/>
    </row>
    <row r="648" spans="1:13">
      <c r="A648" s="40"/>
      <c r="F648" s="38"/>
      <c r="G648" s="38"/>
      <c r="H648" s="38"/>
      <c r="I648" s="40"/>
      <c r="J648" s="40"/>
      <c r="K648" s="40"/>
      <c r="L648" s="40"/>
      <c r="M648" s="40"/>
    </row>
    <row r="649" spans="1:13">
      <c r="A649" s="40"/>
      <c r="F649" s="38"/>
      <c r="G649" s="38"/>
      <c r="H649" s="38"/>
      <c r="I649" s="40"/>
      <c r="J649" s="40"/>
      <c r="K649" s="40"/>
      <c r="L649" s="40"/>
      <c r="M649" s="40"/>
    </row>
    <row r="650" spans="1:13">
      <c r="A650" s="40"/>
      <c r="F650" s="38"/>
      <c r="G650" s="38"/>
      <c r="H650" s="38"/>
      <c r="I650" s="40"/>
      <c r="J650" s="40"/>
      <c r="K650" s="40"/>
      <c r="L650" s="40"/>
      <c r="M650" s="40"/>
    </row>
    <row r="651" spans="1:13">
      <c r="A651" s="40"/>
      <c r="F651" s="38"/>
      <c r="G651" s="38"/>
      <c r="H651" s="38"/>
      <c r="I651" s="40"/>
      <c r="J651" s="40"/>
      <c r="K651" s="40"/>
      <c r="L651" s="40"/>
      <c r="M651" s="40"/>
    </row>
    <row r="652" spans="1:13">
      <c r="A652" s="40"/>
      <c r="F652" s="38"/>
      <c r="G652" s="38"/>
      <c r="H652" s="38"/>
      <c r="I652" s="40"/>
      <c r="J652" s="40"/>
      <c r="K652" s="40"/>
      <c r="L652" s="40"/>
      <c r="M652" s="40"/>
    </row>
    <row r="653" spans="1:13">
      <c r="A653" s="40"/>
      <c r="F653" s="38"/>
      <c r="G653" s="38"/>
      <c r="H653" s="38"/>
      <c r="I653" s="40"/>
      <c r="J653" s="40"/>
      <c r="K653" s="40"/>
      <c r="L653" s="40"/>
      <c r="M653" s="40"/>
    </row>
    <row r="654" spans="1:13">
      <c r="A654" s="40"/>
      <c r="F654" s="38"/>
      <c r="G654" s="38"/>
      <c r="H654" s="38"/>
      <c r="I654" s="40"/>
      <c r="J654" s="40"/>
      <c r="K654" s="40"/>
      <c r="L654" s="40"/>
      <c r="M654" s="40"/>
    </row>
    <row r="655" spans="1:13">
      <c r="A655" s="40"/>
      <c r="F655" s="38"/>
      <c r="G655" s="38"/>
      <c r="H655" s="38"/>
      <c r="I655" s="40"/>
      <c r="J655" s="40"/>
      <c r="K655" s="40"/>
      <c r="L655" s="40"/>
      <c r="M655" s="40"/>
    </row>
    <row r="656" spans="1:13">
      <c r="A656" s="40"/>
      <c r="F656" s="38"/>
      <c r="G656" s="38"/>
      <c r="H656" s="38"/>
      <c r="I656" s="40"/>
      <c r="J656" s="40"/>
      <c r="K656" s="40"/>
      <c r="L656" s="40"/>
      <c r="M656" s="40"/>
    </row>
    <row r="657" spans="1:13">
      <c r="A657" s="40"/>
      <c r="F657" s="38"/>
      <c r="G657" s="38"/>
      <c r="H657" s="38"/>
      <c r="I657" s="40"/>
      <c r="J657" s="40"/>
      <c r="K657" s="40"/>
      <c r="L657" s="40"/>
      <c r="M657" s="40"/>
    </row>
    <row r="658" spans="1:13">
      <c r="A658" s="40"/>
      <c r="F658" s="38"/>
      <c r="G658" s="38"/>
      <c r="H658" s="38"/>
      <c r="I658" s="40"/>
      <c r="J658" s="40"/>
      <c r="K658" s="40"/>
      <c r="L658" s="40"/>
      <c r="M658" s="40"/>
    </row>
    <row r="659" spans="1:13">
      <c r="A659" s="40"/>
      <c r="F659" s="38"/>
      <c r="G659" s="38"/>
      <c r="H659" s="38"/>
      <c r="I659" s="40"/>
      <c r="J659" s="40"/>
      <c r="K659" s="40"/>
      <c r="L659" s="40"/>
      <c r="M659" s="40"/>
    </row>
    <row r="660" spans="1:13">
      <c r="A660" s="40"/>
      <c r="F660" s="38"/>
      <c r="G660" s="38"/>
      <c r="H660" s="38"/>
      <c r="I660" s="40"/>
      <c r="J660" s="40"/>
      <c r="K660" s="40"/>
      <c r="L660" s="40"/>
      <c r="M660" s="40"/>
    </row>
    <row r="661" spans="1:13">
      <c r="A661" s="40"/>
      <c r="F661" s="38"/>
      <c r="G661" s="38"/>
      <c r="H661" s="38"/>
      <c r="I661" s="40"/>
      <c r="J661" s="40"/>
      <c r="K661" s="40"/>
      <c r="L661" s="40"/>
      <c r="M661" s="40"/>
    </row>
    <row r="662" spans="1:13">
      <c r="A662" s="40"/>
      <c r="F662" s="38"/>
      <c r="G662" s="38"/>
      <c r="H662" s="38"/>
      <c r="I662" s="40"/>
      <c r="J662" s="40"/>
      <c r="K662" s="40"/>
      <c r="L662" s="40"/>
      <c r="M662" s="40"/>
    </row>
    <row r="663" spans="1:13">
      <c r="A663" s="40"/>
      <c r="F663" s="38"/>
      <c r="G663" s="38"/>
      <c r="H663" s="38"/>
      <c r="I663" s="40"/>
      <c r="J663" s="40"/>
      <c r="K663" s="40"/>
      <c r="L663" s="40"/>
      <c r="M663" s="40"/>
    </row>
    <row r="664" spans="1:13">
      <c r="A664" s="40"/>
      <c r="F664" s="38"/>
      <c r="G664" s="38"/>
      <c r="H664" s="38"/>
      <c r="I664" s="40"/>
      <c r="J664" s="40"/>
      <c r="K664" s="40"/>
      <c r="L664" s="40"/>
      <c r="M664" s="40"/>
    </row>
    <row r="665" spans="1:13">
      <c r="A665" s="40"/>
      <c r="F665" s="38"/>
      <c r="G665" s="38"/>
      <c r="H665" s="38"/>
      <c r="I665" s="40"/>
      <c r="J665" s="40"/>
      <c r="K665" s="40"/>
      <c r="L665" s="40"/>
      <c r="M665" s="40"/>
    </row>
    <row r="666" spans="1:13">
      <c r="A666" s="40"/>
      <c r="F666" s="38"/>
      <c r="G666" s="38"/>
      <c r="H666" s="38"/>
      <c r="I666" s="40"/>
      <c r="J666" s="40"/>
      <c r="K666" s="40"/>
      <c r="L666" s="40"/>
      <c r="M666" s="40"/>
    </row>
    <row r="667" spans="1:13">
      <c r="A667" s="40"/>
      <c r="F667" s="38"/>
      <c r="G667" s="38"/>
      <c r="H667" s="38"/>
      <c r="I667" s="40"/>
      <c r="J667" s="40"/>
      <c r="K667" s="40"/>
      <c r="L667" s="40"/>
      <c r="M667" s="40"/>
    </row>
    <row r="668" spans="1:13">
      <c r="A668" s="40"/>
      <c r="F668" s="38"/>
      <c r="G668" s="38"/>
      <c r="H668" s="38"/>
      <c r="I668" s="40"/>
      <c r="J668" s="40"/>
      <c r="K668" s="40"/>
      <c r="L668" s="40"/>
      <c r="M668" s="40"/>
    </row>
    <row r="669" spans="1:13">
      <c r="A669" s="40"/>
      <c r="F669" s="38"/>
      <c r="G669" s="38"/>
      <c r="H669" s="38"/>
      <c r="I669" s="40"/>
      <c r="J669" s="40"/>
      <c r="K669" s="40"/>
      <c r="L669" s="40"/>
      <c r="M669" s="40"/>
    </row>
    <row r="670" spans="1:13">
      <c r="A670" s="40"/>
      <c r="F670" s="38"/>
      <c r="G670" s="38"/>
      <c r="H670" s="38"/>
      <c r="I670" s="40"/>
      <c r="J670" s="40"/>
      <c r="K670" s="40"/>
      <c r="L670" s="40"/>
      <c r="M670" s="40"/>
    </row>
    <row r="671" spans="1:13">
      <c r="A671" s="40"/>
      <c r="F671" s="38"/>
      <c r="G671" s="38"/>
      <c r="H671" s="38"/>
      <c r="I671" s="40"/>
      <c r="J671" s="40"/>
      <c r="K671" s="40"/>
      <c r="L671" s="40"/>
      <c r="M671" s="40"/>
    </row>
    <row r="672" spans="1:13">
      <c r="A672" s="40"/>
      <c r="F672" s="38"/>
      <c r="G672" s="38"/>
      <c r="H672" s="38"/>
      <c r="I672" s="40"/>
      <c r="J672" s="40"/>
      <c r="K672" s="40"/>
      <c r="L672" s="40"/>
      <c r="M672" s="40"/>
    </row>
    <row r="673" spans="1:13">
      <c r="A673" s="40"/>
      <c r="F673" s="38"/>
      <c r="G673" s="38"/>
      <c r="H673" s="38"/>
      <c r="I673" s="40"/>
      <c r="J673" s="40"/>
      <c r="K673" s="40"/>
      <c r="L673" s="40"/>
      <c r="M673" s="40"/>
    </row>
    <row r="674" spans="1:13">
      <c r="A674" s="40"/>
      <c r="F674" s="38"/>
      <c r="G674" s="38"/>
      <c r="H674" s="38"/>
      <c r="I674" s="40"/>
      <c r="J674" s="40"/>
      <c r="K674" s="40"/>
      <c r="L674" s="40"/>
      <c r="M674" s="40"/>
    </row>
    <row r="675" spans="1:13">
      <c r="A675" s="40"/>
      <c r="F675" s="38"/>
      <c r="G675" s="38"/>
      <c r="H675" s="38"/>
      <c r="I675" s="40"/>
      <c r="J675" s="40"/>
      <c r="K675" s="40"/>
      <c r="L675" s="40"/>
      <c r="M675" s="40"/>
    </row>
    <row r="676" spans="1:13">
      <c r="A676" s="40"/>
      <c r="F676" s="38"/>
      <c r="G676" s="38"/>
      <c r="H676" s="38"/>
      <c r="I676" s="40"/>
      <c r="J676" s="40"/>
      <c r="K676" s="40"/>
      <c r="L676" s="40"/>
      <c r="M676" s="40"/>
    </row>
    <row r="677" spans="1:13">
      <c r="A677" s="40"/>
      <c r="F677" s="38"/>
      <c r="G677" s="38"/>
      <c r="H677" s="38"/>
      <c r="I677" s="40"/>
      <c r="J677" s="40"/>
      <c r="K677" s="40"/>
      <c r="L677" s="40"/>
      <c r="M677" s="40"/>
    </row>
    <row r="678" spans="1:13">
      <c r="A678" s="40"/>
      <c r="F678" s="38"/>
      <c r="G678" s="38"/>
      <c r="H678" s="38"/>
      <c r="I678" s="40"/>
      <c r="J678" s="40"/>
      <c r="K678" s="40"/>
      <c r="L678" s="40"/>
      <c r="M678" s="40"/>
    </row>
    <row r="679" spans="1:13">
      <c r="A679" s="40"/>
      <c r="F679" s="38"/>
      <c r="G679" s="38"/>
      <c r="H679" s="38"/>
      <c r="I679" s="40"/>
      <c r="J679" s="40"/>
      <c r="K679" s="40"/>
      <c r="L679" s="40"/>
      <c r="M679" s="40"/>
    </row>
    <row r="680" spans="1:13">
      <c r="A680" s="40"/>
      <c r="F680" s="38"/>
      <c r="G680" s="38"/>
      <c r="H680" s="38"/>
      <c r="I680" s="40"/>
      <c r="J680" s="40"/>
      <c r="K680" s="40"/>
      <c r="L680" s="40"/>
      <c r="M680" s="40"/>
    </row>
    <row r="681" spans="1:13">
      <c r="A681" s="40"/>
      <c r="F681" s="38"/>
      <c r="G681" s="38"/>
      <c r="H681" s="38"/>
      <c r="I681" s="40"/>
      <c r="J681" s="40"/>
      <c r="K681" s="40"/>
      <c r="L681" s="40"/>
      <c r="M681" s="40"/>
    </row>
    <row r="682" spans="1:13">
      <c r="A682" s="40"/>
      <c r="F682" s="38"/>
      <c r="G682" s="38"/>
      <c r="H682" s="38"/>
      <c r="I682" s="40"/>
      <c r="J682" s="40"/>
      <c r="K682" s="40"/>
      <c r="L682" s="40"/>
      <c r="M682" s="40"/>
    </row>
    <row r="683" spans="1:13">
      <c r="A683" s="40"/>
      <c r="F683" s="38"/>
      <c r="G683" s="38"/>
      <c r="H683" s="38"/>
      <c r="I683" s="40"/>
      <c r="J683" s="40"/>
      <c r="K683" s="40"/>
      <c r="L683" s="40"/>
      <c r="M683" s="40"/>
    </row>
    <row r="684" spans="1:13">
      <c r="A684" s="40"/>
      <c r="F684" s="38"/>
      <c r="G684" s="38"/>
      <c r="H684" s="38"/>
      <c r="I684" s="40"/>
      <c r="J684" s="40"/>
      <c r="K684" s="40"/>
      <c r="L684" s="40"/>
      <c r="M684" s="40"/>
    </row>
    <row r="685" spans="1:13">
      <c r="A685" s="40"/>
      <c r="F685" s="38"/>
      <c r="G685" s="38"/>
      <c r="H685" s="38"/>
      <c r="I685" s="40"/>
      <c r="J685" s="40"/>
      <c r="K685" s="40"/>
      <c r="L685" s="40"/>
      <c r="M685" s="40"/>
    </row>
    <row r="686" spans="1:13">
      <c r="A686" s="40"/>
      <c r="F686" s="38"/>
      <c r="G686" s="38"/>
      <c r="H686" s="38"/>
      <c r="I686" s="40"/>
      <c r="J686" s="40"/>
      <c r="K686" s="40"/>
      <c r="L686" s="40"/>
      <c r="M686" s="40"/>
    </row>
    <row r="687" spans="1:13">
      <c r="A687" s="40"/>
      <c r="F687" s="38"/>
      <c r="G687" s="38"/>
      <c r="H687" s="38"/>
      <c r="I687" s="40"/>
      <c r="J687" s="40"/>
      <c r="K687" s="40"/>
      <c r="L687" s="40"/>
      <c r="M687" s="40"/>
    </row>
    <row r="688" spans="1:13">
      <c r="A688" s="40"/>
      <c r="F688" s="38"/>
      <c r="G688" s="38"/>
      <c r="H688" s="38"/>
      <c r="I688" s="40"/>
      <c r="J688" s="40"/>
      <c r="K688" s="40"/>
      <c r="L688" s="40"/>
      <c r="M688" s="40"/>
    </row>
    <row r="689" spans="1:13">
      <c r="A689" s="40"/>
      <c r="F689" s="38"/>
      <c r="G689" s="38"/>
      <c r="H689" s="38"/>
      <c r="I689" s="40"/>
      <c r="J689" s="40"/>
      <c r="K689" s="40"/>
      <c r="L689" s="40"/>
      <c r="M689" s="40"/>
    </row>
    <row r="690" spans="1:13">
      <c r="A690" s="40"/>
      <c r="F690" s="38"/>
      <c r="G690" s="38"/>
      <c r="H690" s="38"/>
      <c r="I690" s="40"/>
      <c r="J690" s="40"/>
      <c r="K690" s="40"/>
      <c r="L690" s="40"/>
      <c r="M690" s="40"/>
    </row>
    <row r="691" spans="1:13">
      <c r="A691" s="40"/>
      <c r="F691" s="38"/>
      <c r="G691" s="38"/>
      <c r="H691" s="38"/>
      <c r="I691" s="40"/>
      <c r="J691" s="40"/>
      <c r="K691" s="40"/>
      <c r="L691" s="40"/>
      <c r="M691" s="40"/>
    </row>
    <row r="692" spans="1:13">
      <c r="A692" s="40"/>
      <c r="F692" s="38"/>
      <c r="G692" s="38"/>
      <c r="H692" s="38"/>
      <c r="I692" s="40"/>
      <c r="J692" s="40"/>
      <c r="K692" s="40"/>
      <c r="L692" s="40"/>
      <c r="M692" s="40"/>
    </row>
    <row r="693" spans="1:13">
      <c r="A693" s="40"/>
      <c r="F693" s="38"/>
      <c r="G693" s="38"/>
      <c r="H693" s="38"/>
      <c r="I693" s="40"/>
      <c r="J693" s="40"/>
      <c r="K693" s="40"/>
      <c r="L693" s="40"/>
      <c r="M693" s="40"/>
    </row>
    <row r="694" spans="1:13">
      <c r="A694" s="40"/>
      <c r="F694" s="38"/>
      <c r="G694" s="38"/>
      <c r="H694" s="38"/>
      <c r="I694" s="40"/>
      <c r="J694" s="40"/>
      <c r="K694" s="40"/>
      <c r="L694" s="40"/>
      <c r="M694" s="40"/>
    </row>
    <row r="695" spans="1:13">
      <c r="A695" s="40"/>
      <c r="F695" s="38"/>
      <c r="G695" s="38"/>
      <c r="H695" s="38"/>
      <c r="I695" s="40"/>
      <c r="J695" s="40"/>
      <c r="K695" s="40"/>
      <c r="L695" s="40"/>
      <c r="M695" s="40"/>
    </row>
    <row r="696" spans="1:13">
      <c r="A696" s="40"/>
      <c r="F696" s="38"/>
      <c r="G696" s="38"/>
      <c r="H696" s="38"/>
      <c r="I696" s="40"/>
      <c r="J696" s="40"/>
      <c r="K696" s="40"/>
      <c r="L696" s="40"/>
      <c r="M696" s="40"/>
    </row>
    <row r="697" spans="1:13">
      <c r="A697" s="40"/>
      <c r="F697" s="38"/>
      <c r="G697" s="38"/>
      <c r="H697" s="38"/>
      <c r="I697" s="40"/>
      <c r="J697" s="40"/>
      <c r="K697" s="40"/>
      <c r="L697" s="40"/>
      <c r="M697" s="40"/>
    </row>
    <row r="698" spans="1:13">
      <c r="A698" s="40"/>
      <c r="F698" s="38"/>
      <c r="G698" s="38"/>
      <c r="H698" s="38"/>
      <c r="I698" s="40"/>
      <c r="J698" s="40"/>
      <c r="K698" s="40"/>
      <c r="L698" s="40"/>
      <c r="M698" s="40"/>
    </row>
    <row r="699" spans="1:13">
      <c r="A699" s="40"/>
      <c r="F699" s="38"/>
      <c r="G699" s="38"/>
      <c r="H699" s="38"/>
      <c r="I699" s="40"/>
      <c r="J699" s="40"/>
      <c r="K699" s="40"/>
      <c r="L699" s="40"/>
      <c r="M699" s="40"/>
    </row>
    <row r="700" spans="1:13">
      <c r="A700" s="40"/>
      <c r="F700" s="38"/>
      <c r="G700" s="38"/>
      <c r="H700" s="38"/>
      <c r="I700" s="40"/>
      <c r="J700" s="40"/>
      <c r="K700" s="40"/>
      <c r="L700" s="40"/>
      <c r="M700" s="40"/>
    </row>
    <row r="701" spans="1:13">
      <c r="A701" s="40"/>
      <c r="F701" s="38"/>
      <c r="G701" s="38"/>
      <c r="H701" s="38"/>
      <c r="I701" s="40"/>
      <c r="J701" s="40"/>
      <c r="K701" s="40"/>
      <c r="L701" s="40"/>
      <c r="M701" s="40"/>
    </row>
    <row r="702" spans="1:13">
      <c r="A702" s="40"/>
      <c r="F702" s="38"/>
      <c r="G702" s="38"/>
      <c r="H702" s="38"/>
      <c r="I702" s="40"/>
      <c r="J702" s="40"/>
      <c r="K702" s="40"/>
      <c r="L702" s="40"/>
      <c r="M702" s="40"/>
    </row>
    <row r="703" spans="1:13">
      <c r="A703" s="40"/>
      <c r="F703" s="38"/>
      <c r="G703" s="38"/>
      <c r="H703" s="38"/>
      <c r="I703" s="40"/>
      <c r="J703" s="40"/>
      <c r="K703" s="40"/>
      <c r="L703" s="40"/>
      <c r="M703" s="40"/>
    </row>
    <row r="704" spans="1:13">
      <c r="A704" s="40"/>
      <c r="F704" s="38"/>
      <c r="G704" s="38"/>
      <c r="H704" s="38"/>
      <c r="I704" s="40"/>
      <c r="J704" s="40"/>
      <c r="K704" s="40"/>
      <c r="L704" s="40"/>
      <c r="M704" s="40"/>
    </row>
    <row r="705" spans="1:13">
      <c r="A705" s="40"/>
      <c r="F705" s="38"/>
      <c r="G705" s="38"/>
      <c r="H705" s="38"/>
      <c r="I705" s="40"/>
      <c r="J705" s="40"/>
      <c r="K705" s="40"/>
      <c r="L705" s="40"/>
      <c r="M705" s="40"/>
    </row>
    <row r="706" spans="1:13">
      <c r="A706" s="40"/>
      <c r="F706" s="38"/>
      <c r="G706" s="38"/>
      <c r="H706" s="38"/>
      <c r="I706" s="40"/>
      <c r="J706" s="40"/>
      <c r="K706" s="40"/>
      <c r="L706" s="40"/>
      <c r="M706" s="40"/>
    </row>
    <row r="707" spans="1:13">
      <c r="A707" s="40"/>
      <c r="F707" s="38"/>
      <c r="G707" s="38"/>
      <c r="H707" s="38"/>
      <c r="I707" s="40"/>
      <c r="J707" s="40"/>
      <c r="K707" s="40"/>
      <c r="L707" s="40"/>
      <c r="M707" s="40"/>
    </row>
    <row r="708" spans="1:13">
      <c r="A708" s="40"/>
      <c r="F708" s="38"/>
      <c r="G708" s="38"/>
      <c r="H708" s="38"/>
      <c r="I708" s="40"/>
      <c r="J708" s="40"/>
      <c r="K708" s="40"/>
      <c r="L708" s="40"/>
      <c r="M708" s="40"/>
    </row>
    <row r="709" spans="1:13">
      <c r="A709" s="40"/>
      <c r="F709" s="38"/>
      <c r="G709" s="38"/>
      <c r="H709" s="38"/>
      <c r="I709" s="40"/>
      <c r="J709" s="40"/>
      <c r="K709" s="40"/>
      <c r="L709" s="40"/>
      <c r="M709" s="40"/>
    </row>
    <row r="710" spans="1:13">
      <c r="A710" s="40"/>
      <c r="F710" s="38"/>
      <c r="G710" s="38"/>
      <c r="H710" s="38"/>
      <c r="I710" s="40"/>
      <c r="J710" s="40"/>
      <c r="K710" s="40"/>
      <c r="L710" s="40"/>
      <c r="M710" s="40"/>
    </row>
    <row r="711" spans="1:13">
      <c r="A711" s="40"/>
      <c r="F711" s="38"/>
      <c r="G711" s="38"/>
      <c r="H711" s="38"/>
      <c r="I711" s="40"/>
      <c r="J711" s="40"/>
      <c r="K711" s="40"/>
      <c r="L711" s="40"/>
      <c r="M711" s="40"/>
    </row>
    <row r="712" spans="1:13">
      <c r="A712" s="40"/>
      <c r="F712" s="38"/>
      <c r="G712" s="38"/>
      <c r="H712" s="38"/>
      <c r="I712" s="40"/>
      <c r="J712" s="40"/>
      <c r="K712" s="40"/>
      <c r="L712" s="40"/>
      <c r="M712" s="40"/>
    </row>
    <row r="713" spans="1:13">
      <c r="A713" s="40"/>
      <c r="F713" s="38"/>
      <c r="G713" s="38"/>
      <c r="H713" s="38"/>
      <c r="I713" s="40"/>
      <c r="J713" s="40"/>
      <c r="K713" s="40"/>
      <c r="L713" s="40"/>
      <c r="M713" s="40"/>
    </row>
    <row r="714" spans="1:13">
      <c r="A714" s="40"/>
      <c r="F714" s="38"/>
      <c r="G714" s="38"/>
      <c r="H714" s="38"/>
      <c r="I714" s="40"/>
      <c r="J714" s="40"/>
      <c r="K714" s="40"/>
      <c r="L714" s="40"/>
      <c r="M714" s="40"/>
    </row>
    <row r="715" spans="1:13">
      <c r="A715" s="40"/>
      <c r="F715" s="38"/>
      <c r="G715" s="38"/>
      <c r="H715" s="38"/>
      <c r="I715" s="40"/>
      <c r="J715" s="40"/>
      <c r="K715" s="40"/>
      <c r="L715" s="40"/>
      <c r="M715" s="40"/>
    </row>
    <row r="716" spans="1:13">
      <c r="A716" s="40"/>
      <c r="F716" s="38"/>
      <c r="G716" s="38"/>
      <c r="H716" s="38"/>
      <c r="I716" s="40"/>
      <c r="J716" s="40"/>
      <c r="K716" s="40"/>
      <c r="L716" s="40"/>
      <c r="M716" s="40"/>
    </row>
    <row r="717" spans="1:13">
      <c r="A717" s="40"/>
      <c r="F717" s="38"/>
      <c r="G717" s="38"/>
      <c r="H717" s="38"/>
      <c r="I717" s="40"/>
      <c r="J717" s="40"/>
      <c r="K717" s="40"/>
      <c r="L717" s="40"/>
      <c r="M717" s="40"/>
    </row>
    <row r="718" spans="1:13">
      <c r="A718" s="40"/>
      <c r="F718" s="38"/>
      <c r="G718" s="38"/>
      <c r="H718" s="38"/>
      <c r="I718" s="40"/>
      <c r="J718" s="40"/>
      <c r="K718" s="40"/>
      <c r="L718" s="40"/>
      <c r="M718" s="40"/>
    </row>
    <row r="719" spans="1:13">
      <c r="A719" s="40"/>
      <c r="F719" s="38"/>
      <c r="G719" s="38"/>
      <c r="H719" s="38"/>
      <c r="I719" s="40"/>
      <c r="J719" s="40"/>
      <c r="K719" s="40"/>
      <c r="L719" s="40"/>
      <c r="M719" s="40"/>
    </row>
    <row r="720" spans="1:13">
      <c r="A720" s="40"/>
      <c r="F720" s="38"/>
      <c r="G720" s="38"/>
      <c r="H720" s="38"/>
      <c r="I720" s="40"/>
      <c r="J720" s="40"/>
      <c r="K720" s="40"/>
      <c r="L720" s="40"/>
      <c r="M720" s="40"/>
    </row>
    <row r="721" spans="1:13">
      <c r="A721" s="40"/>
      <c r="F721" s="38"/>
      <c r="G721" s="38"/>
      <c r="H721" s="38"/>
      <c r="I721" s="40"/>
      <c r="J721" s="40"/>
      <c r="K721" s="40"/>
      <c r="L721" s="40"/>
      <c r="M721" s="40"/>
    </row>
    <row r="722" spans="1:13">
      <c r="A722" s="40"/>
      <c r="F722" s="38"/>
      <c r="G722" s="38"/>
      <c r="H722" s="38"/>
      <c r="I722" s="40"/>
      <c r="J722" s="40"/>
      <c r="K722" s="40"/>
      <c r="L722" s="40"/>
      <c r="M722" s="40"/>
    </row>
    <row r="723" spans="1:13">
      <c r="A723" s="40"/>
      <c r="F723" s="38"/>
      <c r="G723" s="38"/>
      <c r="H723" s="38"/>
      <c r="I723" s="40"/>
      <c r="J723" s="40"/>
      <c r="K723" s="40"/>
      <c r="L723" s="40"/>
      <c r="M723" s="40"/>
    </row>
    <row r="724" spans="1:13">
      <c r="A724" s="40"/>
      <c r="F724" s="38"/>
      <c r="G724" s="38"/>
      <c r="H724" s="38"/>
      <c r="I724" s="40"/>
      <c r="J724" s="40"/>
      <c r="K724" s="40"/>
      <c r="L724" s="40"/>
      <c r="M724" s="40"/>
    </row>
    <row r="725" spans="1:13">
      <c r="A725" s="40"/>
      <c r="F725" s="38"/>
      <c r="G725" s="38"/>
      <c r="H725" s="38"/>
      <c r="I725" s="40"/>
      <c r="J725" s="40"/>
      <c r="K725" s="40"/>
      <c r="L725" s="40"/>
      <c r="M725" s="40"/>
    </row>
    <row r="726" spans="1:13">
      <c r="A726" s="40"/>
      <c r="F726" s="38"/>
      <c r="G726" s="38"/>
      <c r="H726" s="38"/>
      <c r="I726" s="40"/>
      <c r="J726" s="40"/>
      <c r="K726" s="40"/>
      <c r="L726" s="40"/>
      <c r="M726" s="40"/>
    </row>
    <row r="727" spans="1:13">
      <c r="A727" s="40"/>
      <c r="F727" s="38"/>
      <c r="G727" s="38"/>
      <c r="H727" s="38"/>
      <c r="I727" s="40"/>
      <c r="J727" s="40"/>
      <c r="K727" s="40"/>
      <c r="L727" s="40"/>
      <c r="M727" s="40"/>
    </row>
    <row r="728" spans="1:13">
      <c r="A728" s="40"/>
      <c r="F728" s="38"/>
      <c r="G728" s="38"/>
      <c r="H728" s="38"/>
      <c r="I728" s="40"/>
      <c r="J728" s="40"/>
      <c r="K728" s="40"/>
      <c r="L728" s="40"/>
      <c r="M728" s="40"/>
    </row>
    <row r="729" spans="1:13">
      <c r="A729" s="40"/>
      <c r="F729" s="38"/>
      <c r="G729" s="38"/>
      <c r="H729" s="38"/>
      <c r="I729" s="40"/>
      <c r="J729" s="40"/>
      <c r="K729" s="40"/>
      <c r="L729" s="40"/>
      <c r="M729" s="40"/>
    </row>
    <row r="730" spans="1:13">
      <c r="A730" s="40"/>
      <c r="F730" s="38"/>
      <c r="G730" s="38"/>
      <c r="H730" s="38"/>
      <c r="I730" s="40"/>
      <c r="J730" s="40"/>
      <c r="K730" s="40"/>
      <c r="L730" s="40"/>
      <c r="M730" s="40"/>
    </row>
    <row r="731" spans="1:13">
      <c r="A731" s="40"/>
      <c r="F731" s="38"/>
      <c r="G731" s="38"/>
      <c r="H731" s="38"/>
      <c r="I731" s="40"/>
      <c r="J731" s="40"/>
      <c r="K731" s="40"/>
      <c r="L731" s="40"/>
      <c r="M731" s="40"/>
    </row>
    <row r="732" spans="1:13">
      <c r="A732" s="40"/>
      <c r="F732" s="38"/>
      <c r="G732" s="38"/>
      <c r="H732" s="38"/>
      <c r="I732" s="40"/>
      <c r="J732" s="40"/>
      <c r="K732" s="40"/>
      <c r="L732" s="40"/>
      <c r="M732" s="40"/>
    </row>
    <row r="733" spans="1:13">
      <c r="A733" s="40"/>
      <c r="F733" s="38"/>
      <c r="G733" s="38"/>
      <c r="H733" s="38"/>
      <c r="I733" s="40"/>
      <c r="J733" s="40"/>
      <c r="K733" s="40"/>
      <c r="L733" s="40"/>
      <c r="M733" s="40"/>
    </row>
    <row r="734" spans="1:13">
      <c r="A734" s="40"/>
      <c r="F734" s="38"/>
      <c r="G734" s="38"/>
      <c r="H734" s="38"/>
      <c r="I734" s="40"/>
      <c r="J734" s="40"/>
      <c r="K734" s="40"/>
      <c r="L734" s="40"/>
      <c r="M734" s="40"/>
    </row>
    <row r="735" spans="1:13">
      <c r="A735" s="40"/>
      <c r="F735" s="38"/>
      <c r="G735" s="38"/>
      <c r="H735" s="38"/>
      <c r="I735" s="40"/>
      <c r="J735" s="40"/>
      <c r="K735" s="40"/>
      <c r="L735" s="40"/>
      <c r="M735" s="40"/>
    </row>
    <row r="736" spans="1:13">
      <c r="A736" s="40"/>
      <c r="F736" s="38"/>
      <c r="G736" s="38"/>
      <c r="H736" s="38"/>
      <c r="I736" s="40"/>
      <c r="J736" s="40"/>
      <c r="K736" s="40"/>
      <c r="L736" s="40"/>
      <c r="M736" s="40"/>
    </row>
    <row r="737" spans="1:13">
      <c r="A737" s="40"/>
      <c r="F737" s="38"/>
      <c r="G737" s="38"/>
      <c r="H737" s="38"/>
      <c r="I737" s="40"/>
      <c r="J737" s="40"/>
      <c r="K737" s="40"/>
      <c r="L737" s="40"/>
      <c r="M737" s="40"/>
    </row>
    <row r="738" spans="1:13">
      <c r="A738" s="40"/>
      <c r="F738" s="38"/>
      <c r="G738" s="38"/>
      <c r="H738" s="38"/>
      <c r="I738" s="40"/>
      <c r="J738" s="40"/>
      <c r="K738" s="40"/>
      <c r="L738" s="40"/>
      <c r="M738" s="40"/>
    </row>
    <row r="739" spans="1:13">
      <c r="A739" s="40"/>
      <c r="F739" s="38"/>
      <c r="G739" s="38"/>
      <c r="H739" s="38"/>
      <c r="I739" s="40"/>
      <c r="J739" s="40"/>
      <c r="K739" s="40"/>
      <c r="L739" s="40"/>
      <c r="M739" s="40"/>
    </row>
    <row r="740" spans="1:13">
      <c r="A740" s="40"/>
      <c r="F740" s="38"/>
      <c r="G740" s="38"/>
      <c r="H740" s="38"/>
      <c r="I740" s="40"/>
      <c r="J740" s="40"/>
      <c r="K740" s="40"/>
      <c r="L740" s="40"/>
      <c r="M740" s="40"/>
    </row>
    <row r="741" spans="1:13">
      <c r="A741" s="40"/>
      <c r="F741" s="38"/>
      <c r="G741" s="38"/>
      <c r="H741" s="38"/>
      <c r="I741" s="40"/>
      <c r="J741" s="40"/>
      <c r="K741" s="40"/>
      <c r="L741" s="40"/>
      <c r="M741" s="40"/>
    </row>
    <row r="742" spans="1:13">
      <c r="A742" s="40"/>
      <c r="F742" s="38"/>
      <c r="G742" s="38"/>
      <c r="H742" s="38"/>
      <c r="I742" s="40"/>
      <c r="J742" s="40"/>
      <c r="K742" s="40"/>
      <c r="L742" s="40"/>
      <c r="M742" s="40"/>
    </row>
    <row r="743" spans="1:13">
      <c r="A743" s="40"/>
      <c r="F743" s="38"/>
      <c r="G743" s="38"/>
      <c r="H743" s="38"/>
      <c r="I743" s="40"/>
      <c r="J743" s="40"/>
      <c r="K743" s="40"/>
      <c r="L743" s="40"/>
      <c r="M743" s="40"/>
    </row>
    <row r="744" spans="1:13">
      <c r="A744" s="40"/>
      <c r="F744" s="38"/>
      <c r="G744" s="38"/>
      <c r="H744" s="38"/>
      <c r="I744" s="40"/>
      <c r="J744" s="40"/>
      <c r="K744" s="40"/>
      <c r="L744" s="40"/>
      <c r="M744" s="40"/>
    </row>
    <row r="745" spans="1:13">
      <c r="A745" s="40"/>
      <c r="F745" s="38"/>
      <c r="G745" s="38"/>
      <c r="H745" s="38"/>
      <c r="I745" s="40"/>
      <c r="J745" s="40"/>
      <c r="K745" s="40"/>
      <c r="L745" s="40"/>
      <c r="M745" s="40"/>
    </row>
    <row r="746" spans="1:13">
      <c r="A746" s="40"/>
      <c r="F746" s="38"/>
      <c r="G746" s="38"/>
      <c r="H746" s="38"/>
      <c r="I746" s="40"/>
      <c r="J746" s="40"/>
      <c r="K746" s="40"/>
      <c r="L746" s="40"/>
      <c r="M746" s="40"/>
    </row>
    <row r="747" spans="1:13">
      <c r="A747" s="40"/>
      <c r="F747" s="38"/>
      <c r="G747" s="38"/>
      <c r="H747" s="38"/>
      <c r="I747" s="40"/>
      <c r="J747" s="40"/>
      <c r="K747" s="40"/>
      <c r="L747" s="40"/>
      <c r="M747" s="40"/>
    </row>
    <row r="748" spans="1:13">
      <c r="A748" s="40"/>
      <c r="F748" s="38"/>
      <c r="G748" s="38"/>
      <c r="H748" s="38"/>
      <c r="I748" s="40"/>
      <c r="J748" s="40"/>
      <c r="K748" s="40"/>
      <c r="L748" s="40"/>
      <c r="M748" s="40"/>
    </row>
    <row r="749" spans="1:13">
      <c r="A749" s="40"/>
      <c r="F749" s="38"/>
      <c r="G749" s="38"/>
      <c r="H749" s="38"/>
      <c r="I749" s="40"/>
      <c r="J749" s="40"/>
      <c r="K749" s="40"/>
      <c r="L749" s="40"/>
      <c r="M749" s="40"/>
    </row>
    <row r="750" spans="1:13">
      <c r="A750" s="40"/>
      <c r="F750" s="38"/>
      <c r="G750" s="38"/>
      <c r="H750" s="38"/>
      <c r="I750" s="40"/>
      <c r="J750" s="40"/>
      <c r="K750" s="40"/>
      <c r="L750" s="40"/>
      <c r="M750" s="40"/>
    </row>
    <row r="751" spans="1:13">
      <c r="A751" s="40"/>
      <c r="F751" s="38"/>
      <c r="G751" s="38"/>
      <c r="H751" s="38"/>
      <c r="I751" s="40"/>
      <c r="J751" s="40"/>
      <c r="K751" s="40"/>
      <c r="L751" s="40"/>
      <c r="M751" s="40"/>
    </row>
    <row r="752" spans="1:13">
      <c r="A752" s="40"/>
      <c r="F752" s="38"/>
      <c r="G752" s="38"/>
      <c r="H752" s="38"/>
      <c r="I752" s="40"/>
      <c r="J752" s="40"/>
      <c r="K752" s="40"/>
      <c r="L752" s="40"/>
      <c r="M752" s="40"/>
    </row>
    <row r="753" spans="1:13">
      <c r="A753" s="40"/>
      <c r="F753" s="38"/>
      <c r="G753" s="38"/>
      <c r="H753" s="38"/>
      <c r="I753" s="40"/>
      <c r="J753" s="40"/>
      <c r="K753" s="40"/>
      <c r="L753" s="40"/>
      <c r="M753" s="40"/>
    </row>
    <row r="754" spans="1:13">
      <c r="A754" s="40"/>
      <c r="F754" s="38"/>
      <c r="G754" s="38"/>
      <c r="H754" s="38"/>
      <c r="I754" s="40"/>
      <c r="J754" s="40"/>
      <c r="K754" s="40"/>
      <c r="L754" s="40"/>
      <c r="M754" s="40"/>
    </row>
    <row r="755" spans="1:13">
      <c r="A755" s="40"/>
      <c r="F755" s="38"/>
      <c r="G755" s="38"/>
      <c r="H755" s="38"/>
      <c r="I755" s="40"/>
      <c r="J755" s="40"/>
      <c r="K755" s="40"/>
      <c r="L755" s="40"/>
      <c r="M755" s="40"/>
    </row>
    <row r="756" spans="1:13">
      <c r="A756" s="40"/>
      <c r="F756" s="38"/>
      <c r="G756" s="38"/>
      <c r="H756" s="38"/>
      <c r="I756" s="40"/>
      <c r="J756" s="40"/>
      <c r="K756" s="40"/>
      <c r="L756" s="40"/>
      <c r="M756" s="40"/>
    </row>
    <row r="757" spans="1:13">
      <c r="A757" s="40"/>
      <c r="F757" s="38"/>
      <c r="G757" s="38"/>
      <c r="H757" s="38"/>
      <c r="I757" s="40"/>
      <c r="J757" s="40"/>
      <c r="K757" s="40"/>
      <c r="L757" s="40"/>
      <c r="M757" s="40"/>
    </row>
    <row r="758" spans="1:13">
      <c r="A758" s="40"/>
      <c r="F758" s="38"/>
      <c r="G758" s="38"/>
      <c r="H758" s="38"/>
      <c r="I758" s="40"/>
      <c r="J758" s="40"/>
      <c r="K758" s="40"/>
      <c r="L758" s="40"/>
      <c r="M758" s="40"/>
    </row>
    <row r="759" spans="1:13">
      <c r="A759" s="40"/>
      <c r="F759" s="38"/>
      <c r="G759" s="38"/>
      <c r="H759" s="38"/>
      <c r="I759" s="40"/>
      <c r="J759" s="40"/>
      <c r="K759" s="40"/>
      <c r="L759" s="40"/>
      <c r="M759" s="40"/>
    </row>
    <row r="760" spans="1:13">
      <c r="A760" s="40"/>
      <c r="F760" s="38"/>
      <c r="G760" s="38"/>
      <c r="H760" s="38"/>
      <c r="I760" s="40"/>
      <c r="J760" s="40"/>
      <c r="K760" s="40"/>
      <c r="L760" s="40"/>
      <c r="M760" s="40"/>
    </row>
    <row r="761" spans="1:13">
      <c r="A761" s="40"/>
      <c r="F761" s="38"/>
      <c r="G761" s="38"/>
      <c r="H761" s="38"/>
      <c r="I761" s="40"/>
      <c r="J761" s="40"/>
      <c r="K761" s="40"/>
      <c r="L761" s="40"/>
      <c r="M761" s="40"/>
    </row>
    <row r="762" spans="1:13">
      <c r="A762" s="40"/>
      <c r="F762" s="38"/>
      <c r="G762" s="38"/>
      <c r="H762" s="38"/>
      <c r="I762" s="40"/>
      <c r="J762" s="40"/>
      <c r="K762" s="40"/>
      <c r="L762" s="40"/>
      <c r="M762" s="40"/>
    </row>
    <row r="763" spans="1:13">
      <c r="A763" s="40"/>
      <c r="F763" s="38"/>
      <c r="G763" s="38"/>
      <c r="H763" s="38"/>
      <c r="I763" s="40"/>
      <c r="J763" s="40"/>
      <c r="K763" s="40"/>
      <c r="L763" s="40"/>
      <c r="M763" s="40"/>
    </row>
    <row r="764" spans="1:13">
      <c r="A764" s="40"/>
      <c r="F764" s="38"/>
      <c r="G764" s="38"/>
      <c r="H764" s="38"/>
      <c r="I764" s="40"/>
      <c r="J764" s="40"/>
      <c r="K764" s="40"/>
      <c r="L764" s="40"/>
      <c r="M764" s="40"/>
    </row>
    <row r="765" spans="1:13">
      <c r="A765" s="40"/>
      <c r="F765" s="38"/>
      <c r="G765" s="38"/>
      <c r="H765" s="38"/>
      <c r="I765" s="40"/>
      <c r="J765" s="40"/>
      <c r="K765" s="40"/>
      <c r="L765" s="40"/>
      <c r="M765" s="40"/>
    </row>
    <row r="766" spans="1:13">
      <c r="A766" s="40"/>
      <c r="F766" s="38"/>
      <c r="G766" s="38"/>
      <c r="H766" s="38"/>
      <c r="I766" s="40"/>
      <c r="J766" s="40"/>
      <c r="K766" s="40"/>
      <c r="L766" s="40"/>
      <c r="M766" s="40"/>
    </row>
    <row r="767" spans="1:13">
      <c r="A767" s="40"/>
      <c r="F767" s="38"/>
      <c r="G767" s="38"/>
      <c r="H767" s="38"/>
      <c r="I767" s="40"/>
      <c r="J767" s="40"/>
      <c r="K767" s="40"/>
      <c r="L767" s="40"/>
      <c r="M767" s="40"/>
    </row>
    <row r="768" spans="1:13">
      <c r="A768" s="40"/>
      <c r="F768" s="38"/>
      <c r="G768" s="38"/>
      <c r="H768" s="38"/>
      <c r="I768" s="40"/>
      <c r="J768" s="40"/>
      <c r="K768" s="40"/>
      <c r="L768" s="40"/>
      <c r="M768" s="40"/>
    </row>
    <row r="769" spans="1:13">
      <c r="A769" s="40"/>
      <c r="F769" s="38"/>
      <c r="G769" s="38"/>
      <c r="H769" s="38"/>
      <c r="I769" s="40"/>
      <c r="J769" s="40"/>
      <c r="K769" s="40"/>
      <c r="L769" s="40"/>
      <c r="M769" s="40"/>
    </row>
    <row r="770" spans="1:13">
      <c r="A770" s="40"/>
      <c r="F770" s="38"/>
      <c r="G770" s="38"/>
      <c r="H770" s="38"/>
      <c r="I770" s="40"/>
      <c r="J770" s="40"/>
      <c r="K770" s="40"/>
      <c r="L770" s="40"/>
      <c r="M770" s="40"/>
    </row>
    <row r="771" spans="1:13">
      <c r="A771" s="40"/>
      <c r="F771" s="38"/>
      <c r="G771" s="38"/>
      <c r="H771" s="38"/>
      <c r="I771" s="40"/>
      <c r="J771" s="40"/>
      <c r="K771" s="40"/>
      <c r="L771" s="40"/>
      <c r="M771" s="40"/>
    </row>
    <row r="772" spans="1:13">
      <c r="A772" s="40"/>
      <c r="F772" s="38"/>
      <c r="G772" s="38"/>
      <c r="H772" s="38"/>
      <c r="I772" s="40"/>
      <c r="J772" s="40"/>
      <c r="K772" s="40"/>
      <c r="L772" s="40"/>
      <c r="M772" s="40"/>
    </row>
    <row r="773" spans="1:13">
      <c r="A773" s="40"/>
      <c r="F773" s="38"/>
      <c r="G773" s="38"/>
      <c r="H773" s="38"/>
      <c r="I773" s="40"/>
      <c r="J773" s="40"/>
      <c r="K773" s="40"/>
      <c r="L773" s="40"/>
      <c r="M773" s="40"/>
    </row>
    <row r="774" spans="1:13">
      <c r="A774" s="40"/>
      <c r="F774" s="38"/>
      <c r="G774" s="38"/>
      <c r="H774" s="38"/>
      <c r="I774" s="40"/>
      <c r="J774" s="40"/>
      <c r="K774" s="40"/>
      <c r="L774" s="40"/>
      <c r="M774" s="40"/>
    </row>
    <row r="775" spans="1:13">
      <c r="A775" s="40"/>
      <c r="F775" s="38"/>
      <c r="G775" s="38"/>
      <c r="H775" s="38"/>
      <c r="I775" s="40"/>
      <c r="J775" s="40"/>
      <c r="K775" s="40"/>
      <c r="L775" s="40"/>
      <c r="M775" s="40"/>
    </row>
    <row r="776" spans="1:13">
      <c r="A776" s="40"/>
      <c r="F776" s="38"/>
      <c r="G776" s="38"/>
      <c r="H776" s="38"/>
      <c r="I776" s="40"/>
      <c r="J776" s="40"/>
      <c r="K776" s="40"/>
      <c r="L776" s="40"/>
      <c r="M776" s="40"/>
    </row>
    <row r="777" spans="1:13">
      <c r="A777" s="40"/>
      <c r="F777" s="38"/>
      <c r="G777" s="38"/>
      <c r="H777" s="38"/>
      <c r="I777" s="40"/>
      <c r="J777" s="40"/>
      <c r="K777" s="40"/>
      <c r="L777" s="40"/>
      <c r="M777" s="40"/>
    </row>
    <row r="778" spans="1:13">
      <c r="A778" s="40"/>
      <c r="F778" s="38"/>
      <c r="G778" s="38"/>
      <c r="H778" s="38"/>
      <c r="I778" s="40"/>
      <c r="J778" s="40"/>
      <c r="K778" s="40"/>
      <c r="L778" s="40"/>
      <c r="M778" s="40"/>
    </row>
    <row r="779" spans="1:13">
      <c r="A779" s="40"/>
      <c r="F779" s="38"/>
      <c r="G779" s="38"/>
      <c r="H779" s="38"/>
      <c r="I779" s="40"/>
      <c r="J779" s="40"/>
      <c r="K779" s="40"/>
      <c r="L779" s="40"/>
      <c r="M779" s="40"/>
    </row>
    <row r="780" spans="1:13">
      <c r="A780" s="40"/>
      <c r="F780" s="38"/>
      <c r="G780" s="38"/>
      <c r="H780" s="38"/>
      <c r="I780" s="40"/>
      <c r="J780" s="40"/>
      <c r="K780" s="40"/>
      <c r="L780" s="40"/>
      <c r="M780" s="40"/>
    </row>
    <row r="781" spans="1:13">
      <c r="A781" s="40"/>
      <c r="F781" s="38"/>
      <c r="G781" s="38"/>
      <c r="H781" s="38"/>
      <c r="I781" s="40"/>
      <c r="J781" s="40"/>
      <c r="K781" s="40"/>
      <c r="L781" s="40"/>
      <c r="M781" s="40"/>
    </row>
    <row r="782" spans="1:13">
      <c r="A782" s="40"/>
      <c r="F782" s="38"/>
      <c r="G782" s="38"/>
      <c r="H782" s="38"/>
      <c r="I782" s="40"/>
      <c r="J782" s="40"/>
      <c r="K782" s="40"/>
      <c r="L782" s="40"/>
      <c r="M782" s="40"/>
    </row>
    <row r="783" spans="1:13">
      <c r="A783" s="40"/>
      <c r="F783" s="38"/>
      <c r="G783" s="38"/>
      <c r="H783" s="38"/>
      <c r="I783" s="40"/>
      <c r="J783" s="40"/>
      <c r="K783" s="40"/>
      <c r="L783" s="40"/>
      <c r="M783" s="40"/>
    </row>
    <row r="784" spans="1:13">
      <c r="A784" s="40"/>
      <c r="F784" s="38"/>
      <c r="G784" s="38"/>
      <c r="H784" s="38"/>
      <c r="I784" s="40"/>
      <c r="J784" s="40"/>
      <c r="K784" s="40"/>
      <c r="L784" s="40"/>
      <c r="M784" s="40"/>
    </row>
    <row r="785" spans="1:13">
      <c r="A785" s="40"/>
      <c r="F785" s="38"/>
      <c r="G785" s="38"/>
      <c r="H785" s="38"/>
      <c r="I785" s="40"/>
      <c r="J785" s="40"/>
      <c r="K785" s="40"/>
      <c r="L785" s="40"/>
      <c r="M785" s="40"/>
    </row>
    <row r="786" spans="1:13">
      <c r="A786" s="40"/>
      <c r="F786" s="38"/>
      <c r="G786" s="38"/>
      <c r="H786" s="38"/>
      <c r="I786" s="40"/>
      <c r="J786" s="40"/>
      <c r="K786" s="40"/>
      <c r="L786" s="40"/>
      <c r="M786" s="40"/>
    </row>
    <row r="787" spans="1:13">
      <c r="A787" s="40"/>
      <c r="F787" s="38"/>
      <c r="G787" s="38"/>
      <c r="H787" s="38"/>
      <c r="I787" s="40"/>
      <c r="J787" s="40"/>
      <c r="K787" s="40"/>
      <c r="L787" s="40"/>
      <c r="M787" s="40"/>
    </row>
    <row r="788" spans="1:13">
      <c r="A788" s="40"/>
      <c r="F788" s="38"/>
      <c r="G788" s="38"/>
      <c r="H788" s="38"/>
      <c r="I788" s="40"/>
      <c r="J788" s="40"/>
      <c r="K788" s="40"/>
      <c r="L788" s="40"/>
      <c r="M788" s="40"/>
    </row>
    <row r="789" spans="1:13">
      <c r="A789" s="40"/>
      <c r="F789" s="38"/>
      <c r="G789" s="38"/>
      <c r="H789" s="38"/>
      <c r="I789" s="40"/>
      <c r="J789" s="40"/>
      <c r="K789" s="40"/>
      <c r="L789" s="40"/>
      <c r="M789" s="40"/>
    </row>
    <row r="790" spans="1:13">
      <c r="A790" s="40"/>
      <c r="F790" s="38"/>
      <c r="G790" s="38"/>
      <c r="H790" s="38"/>
      <c r="I790" s="40"/>
      <c r="J790" s="40"/>
      <c r="K790" s="40"/>
      <c r="L790" s="40"/>
      <c r="M790" s="40"/>
    </row>
    <row r="791" spans="1:13">
      <c r="A791" s="40"/>
      <c r="F791" s="38"/>
      <c r="G791" s="38"/>
      <c r="H791" s="38"/>
      <c r="I791" s="40"/>
      <c r="J791" s="40"/>
      <c r="K791" s="40"/>
      <c r="L791" s="40"/>
      <c r="M791" s="40"/>
    </row>
    <row r="792" spans="1:13">
      <c r="A792" s="40"/>
      <c r="F792" s="38"/>
      <c r="G792" s="38"/>
      <c r="H792" s="38"/>
      <c r="I792" s="40"/>
      <c r="J792" s="40"/>
      <c r="K792" s="40"/>
      <c r="L792" s="40"/>
      <c r="M792" s="40"/>
    </row>
    <row r="793" spans="1:13">
      <c r="A793" s="40"/>
      <c r="F793" s="38"/>
      <c r="G793" s="38"/>
      <c r="H793" s="38"/>
      <c r="I793" s="40"/>
      <c r="J793" s="40"/>
      <c r="K793" s="40"/>
      <c r="L793" s="40"/>
      <c r="M793" s="40"/>
    </row>
    <row r="794" spans="1:13">
      <c r="A794" s="40"/>
      <c r="F794" s="38"/>
      <c r="G794" s="38"/>
      <c r="H794" s="38"/>
      <c r="I794" s="40"/>
      <c r="J794" s="40"/>
      <c r="K794" s="40"/>
      <c r="L794" s="40"/>
      <c r="M794" s="40"/>
    </row>
    <row r="795" spans="1:13">
      <c r="A795" s="40"/>
      <c r="F795" s="38"/>
      <c r="G795" s="38"/>
      <c r="H795" s="38"/>
      <c r="I795" s="40"/>
      <c r="J795" s="40"/>
      <c r="K795" s="40"/>
      <c r="L795" s="40"/>
      <c r="M795" s="40"/>
    </row>
    <row r="796" spans="1:13">
      <c r="A796" s="40"/>
      <c r="F796" s="38"/>
      <c r="G796" s="38"/>
      <c r="H796" s="38"/>
      <c r="I796" s="40"/>
      <c r="J796" s="40"/>
      <c r="K796" s="40"/>
      <c r="L796" s="40"/>
      <c r="M796" s="40"/>
    </row>
    <row r="797" spans="1:13">
      <c r="A797" s="40"/>
      <c r="F797" s="38"/>
      <c r="G797" s="38"/>
      <c r="H797" s="38"/>
      <c r="I797" s="40"/>
      <c r="J797" s="40"/>
      <c r="K797" s="40"/>
      <c r="L797" s="40"/>
      <c r="M797" s="40"/>
    </row>
    <row r="798" spans="1:13">
      <c r="A798" s="40"/>
      <c r="F798" s="38"/>
      <c r="G798" s="38"/>
      <c r="H798" s="38"/>
      <c r="I798" s="40"/>
      <c r="J798" s="40"/>
      <c r="K798" s="40"/>
      <c r="L798" s="40"/>
      <c r="M798" s="40"/>
    </row>
    <row r="799" spans="1:13">
      <c r="A799" s="40"/>
      <c r="F799" s="38"/>
      <c r="G799" s="38"/>
      <c r="H799" s="38"/>
      <c r="I799" s="40"/>
      <c r="J799" s="40"/>
      <c r="K799" s="40"/>
      <c r="L799" s="40"/>
      <c r="M799" s="40"/>
    </row>
    <row r="800" spans="1:13">
      <c r="A800" s="40"/>
      <c r="F800" s="38"/>
      <c r="G800" s="38"/>
      <c r="H800" s="38"/>
      <c r="I800" s="40"/>
      <c r="J800" s="40"/>
      <c r="K800" s="40"/>
      <c r="L800" s="40"/>
      <c r="M800" s="40"/>
    </row>
    <row r="801" spans="1:13">
      <c r="A801" s="40"/>
      <c r="F801" s="38"/>
      <c r="G801" s="38"/>
      <c r="H801" s="38"/>
      <c r="I801" s="40"/>
      <c r="J801" s="40"/>
      <c r="K801" s="40"/>
      <c r="L801" s="40"/>
      <c r="M801" s="40"/>
    </row>
    <row r="802" spans="1:13">
      <c r="A802" s="40"/>
      <c r="F802" s="38"/>
      <c r="G802" s="38"/>
      <c r="H802" s="38"/>
      <c r="I802" s="40"/>
      <c r="J802" s="40"/>
      <c r="K802" s="40"/>
      <c r="L802" s="40"/>
      <c r="M802" s="40"/>
    </row>
    <row r="803" spans="1:13">
      <c r="A803" s="40"/>
      <c r="F803" s="38"/>
      <c r="G803" s="38"/>
      <c r="H803" s="38"/>
      <c r="I803" s="40"/>
      <c r="J803" s="40"/>
      <c r="K803" s="40"/>
      <c r="L803" s="40"/>
      <c r="M803" s="40"/>
    </row>
    <row r="804" spans="1:13">
      <c r="A804" s="40"/>
      <c r="F804" s="38"/>
      <c r="G804" s="38"/>
      <c r="H804" s="38"/>
      <c r="I804" s="40"/>
      <c r="J804" s="40"/>
      <c r="K804" s="40"/>
      <c r="L804" s="40"/>
      <c r="M804" s="40"/>
    </row>
    <row r="805" spans="1:13">
      <c r="A805" s="40"/>
      <c r="F805" s="38"/>
      <c r="G805" s="38"/>
      <c r="H805" s="38"/>
      <c r="I805" s="40"/>
      <c r="J805" s="40"/>
      <c r="K805" s="40"/>
      <c r="L805" s="40"/>
      <c r="M805" s="40"/>
    </row>
    <row r="806" spans="1:13">
      <c r="A806" s="40"/>
      <c r="F806" s="38"/>
      <c r="G806" s="38"/>
      <c r="H806" s="38"/>
      <c r="I806" s="40"/>
      <c r="J806" s="40"/>
      <c r="K806" s="40"/>
      <c r="L806" s="40"/>
      <c r="M806" s="40"/>
    </row>
    <row r="807" spans="1:13">
      <c r="A807" s="40"/>
      <c r="F807" s="38"/>
      <c r="G807" s="38"/>
      <c r="H807" s="38"/>
      <c r="I807" s="40"/>
      <c r="J807" s="40"/>
      <c r="K807" s="40"/>
      <c r="L807" s="40"/>
      <c r="M807" s="40"/>
    </row>
    <row r="808" spans="1:13">
      <c r="A808" s="40"/>
      <c r="F808" s="38"/>
      <c r="G808" s="38"/>
      <c r="H808" s="38"/>
      <c r="I808" s="40"/>
      <c r="J808" s="40"/>
      <c r="K808" s="40"/>
      <c r="L808" s="40"/>
      <c r="M808" s="40"/>
    </row>
    <row r="809" spans="1:13">
      <c r="A809" s="40"/>
      <c r="F809" s="38"/>
      <c r="G809" s="38"/>
      <c r="H809" s="38"/>
      <c r="I809" s="40"/>
      <c r="J809" s="40"/>
      <c r="K809" s="40"/>
      <c r="L809" s="40"/>
      <c r="M809" s="40"/>
    </row>
    <row r="810" spans="1:13">
      <c r="A810" s="40"/>
      <c r="F810" s="38"/>
      <c r="G810" s="38"/>
      <c r="H810" s="38"/>
      <c r="I810" s="40"/>
      <c r="J810" s="40"/>
      <c r="K810" s="40"/>
      <c r="L810" s="40"/>
      <c r="M810" s="40"/>
    </row>
    <row r="811" spans="1:13">
      <c r="A811" s="40"/>
      <c r="F811" s="38"/>
      <c r="G811" s="38"/>
      <c r="H811" s="38"/>
      <c r="I811" s="40"/>
      <c r="J811" s="40"/>
      <c r="K811" s="40"/>
      <c r="L811" s="40"/>
      <c r="M811" s="40"/>
    </row>
    <row r="812" spans="1:13">
      <c r="A812" s="40"/>
      <c r="F812" s="38"/>
      <c r="G812" s="38"/>
      <c r="H812" s="38"/>
      <c r="I812" s="40"/>
      <c r="J812" s="40"/>
      <c r="K812" s="40"/>
      <c r="L812" s="40"/>
      <c r="M812" s="40"/>
    </row>
    <row r="813" spans="1:13">
      <c r="A813" s="40"/>
      <c r="F813" s="38"/>
      <c r="G813" s="38"/>
      <c r="H813" s="38"/>
      <c r="I813" s="40"/>
      <c r="J813" s="40"/>
      <c r="K813" s="40"/>
      <c r="L813" s="40"/>
      <c r="M813" s="40"/>
    </row>
    <row r="814" spans="1:13">
      <c r="A814" s="40"/>
      <c r="F814" s="38"/>
      <c r="G814" s="38"/>
      <c r="H814" s="38"/>
      <c r="I814" s="40"/>
      <c r="J814" s="40"/>
      <c r="K814" s="40"/>
      <c r="L814" s="40"/>
      <c r="M814" s="40"/>
    </row>
    <row r="815" spans="1:13">
      <c r="A815" s="40"/>
      <c r="F815" s="38"/>
      <c r="G815" s="38"/>
      <c r="H815" s="38"/>
      <c r="I815" s="40"/>
      <c r="J815" s="40"/>
      <c r="K815" s="40"/>
      <c r="L815" s="40"/>
      <c r="M815" s="40"/>
    </row>
    <row r="816" spans="1:13">
      <c r="A816" s="40"/>
      <c r="F816" s="38"/>
      <c r="G816" s="38"/>
      <c r="H816" s="38"/>
      <c r="I816" s="40"/>
      <c r="J816" s="40"/>
      <c r="K816" s="40"/>
      <c r="L816" s="40"/>
      <c r="M816" s="40"/>
    </row>
    <row r="817" spans="1:13">
      <c r="A817" s="40"/>
      <c r="F817" s="38"/>
      <c r="G817" s="38"/>
      <c r="H817" s="38"/>
      <c r="I817" s="40"/>
      <c r="J817" s="40"/>
      <c r="K817" s="40"/>
      <c r="L817" s="40"/>
      <c r="M817" s="40"/>
    </row>
    <row r="818" spans="1:13">
      <c r="A818" s="40"/>
      <c r="F818" s="38"/>
      <c r="G818" s="38"/>
      <c r="H818" s="38"/>
      <c r="I818" s="40"/>
      <c r="J818" s="40"/>
      <c r="K818" s="40"/>
      <c r="L818" s="40"/>
      <c r="M818" s="40"/>
    </row>
    <row r="819" spans="1:13">
      <c r="A819" s="40"/>
      <c r="F819" s="38"/>
      <c r="G819" s="38"/>
      <c r="H819" s="38"/>
      <c r="I819" s="40"/>
      <c r="J819" s="40"/>
      <c r="K819" s="40"/>
      <c r="L819" s="40"/>
      <c r="M819" s="40"/>
    </row>
    <row r="820" spans="1:13">
      <c r="A820" s="40"/>
      <c r="F820" s="38"/>
      <c r="G820" s="38"/>
      <c r="H820" s="38"/>
      <c r="I820" s="40"/>
      <c r="J820" s="40"/>
      <c r="K820" s="40"/>
      <c r="L820" s="40"/>
      <c r="M820" s="40"/>
    </row>
    <row r="821" spans="1:13">
      <c r="A821" s="40"/>
      <c r="F821" s="38"/>
      <c r="G821" s="38"/>
      <c r="H821" s="38"/>
      <c r="I821" s="40"/>
      <c r="J821" s="40"/>
      <c r="K821" s="40"/>
      <c r="L821" s="40"/>
      <c r="M821" s="40"/>
    </row>
    <row r="822" spans="1:13">
      <c r="A822" s="40"/>
      <c r="F822" s="38"/>
      <c r="G822" s="38"/>
      <c r="H822" s="38"/>
      <c r="I822" s="40"/>
      <c r="J822" s="40"/>
      <c r="K822" s="40"/>
      <c r="L822" s="40"/>
      <c r="M822" s="40"/>
    </row>
    <row r="823" spans="1:13">
      <c r="A823" s="40"/>
      <c r="F823" s="38"/>
      <c r="G823" s="38"/>
      <c r="H823" s="38"/>
      <c r="I823" s="40"/>
      <c r="J823" s="40"/>
      <c r="K823" s="40"/>
      <c r="L823" s="40"/>
      <c r="M823" s="40"/>
    </row>
    <row r="824" spans="1:13">
      <c r="A824" s="40"/>
      <c r="F824" s="38"/>
      <c r="G824" s="38"/>
      <c r="H824" s="38"/>
      <c r="I824" s="40"/>
      <c r="J824" s="40"/>
      <c r="K824" s="40"/>
      <c r="L824" s="40"/>
      <c r="M824" s="40"/>
    </row>
    <row r="825" spans="1:13">
      <c r="A825" s="40"/>
      <c r="F825" s="38"/>
      <c r="G825" s="38"/>
      <c r="H825" s="38"/>
      <c r="I825" s="40"/>
      <c r="J825" s="40"/>
      <c r="K825" s="40"/>
      <c r="L825" s="40"/>
      <c r="M825" s="40"/>
    </row>
    <row r="826" spans="1:13">
      <c r="A826" s="40"/>
      <c r="F826" s="38"/>
      <c r="G826" s="38"/>
      <c r="H826" s="38"/>
      <c r="I826" s="40"/>
      <c r="J826" s="40"/>
      <c r="K826" s="40"/>
      <c r="L826" s="40"/>
      <c r="M826" s="40"/>
    </row>
    <row r="827" spans="1:13">
      <c r="A827" s="40"/>
      <c r="F827" s="38"/>
      <c r="G827" s="38"/>
      <c r="H827" s="38"/>
      <c r="I827" s="40"/>
      <c r="J827" s="40"/>
      <c r="K827" s="40"/>
      <c r="L827" s="40"/>
      <c r="M827" s="40"/>
    </row>
    <row r="828" spans="1:13">
      <c r="A828" s="40"/>
      <c r="F828" s="38"/>
      <c r="G828" s="38"/>
      <c r="H828" s="38"/>
      <c r="I828" s="40"/>
      <c r="J828" s="40"/>
      <c r="K828" s="40"/>
      <c r="L828" s="40"/>
      <c r="M828" s="40"/>
    </row>
    <row r="829" spans="1:13">
      <c r="A829" s="40"/>
      <c r="F829" s="38"/>
      <c r="G829" s="38"/>
      <c r="H829" s="38"/>
      <c r="I829" s="40"/>
      <c r="J829" s="40"/>
      <c r="K829" s="40"/>
      <c r="L829" s="40"/>
      <c r="M829" s="40"/>
    </row>
    <row r="830" spans="1:13">
      <c r="A830" s="40"/>
      <c r="F830" s="38"/>
      <c r="G830" s="38"/>
      <c r="H830" s="38"/>
      <c r="I830" s="40"/>
      <c r="J830" s="40"/>
      <c r="K830" s="40"/>
      <c r="L830" s="40"/>
      <c r="M830" s="40"/>
    </row>
    <row r="831" spans="1:13">
      <c r="A831" s="40"/>
      <c r="F831" s="38"/>
      <c r="G831" s="38"/>
      <c r="H831" s="38"/>
      <c r="I831" s="40"/>
      <c r="J831" s="40"/>
      <c r="K831" s="40"/>
      <c r="L831" s="40"/>
      <c r="M831" s="40"/>
    </row>
    <row r="832" spans="1:13">
      <c r="A832" s="40"/>
      <c r="F832" s="38"/>
      <c r="G832" s="38"/>
      <c r="H832" s="38"/>
      <c r="I832" s="40"/>
      <c r="J832" s="40"/>
      <c r="K832" s="40"/>
      <c r="L832" s="40"/>
      <c r="M832" s="40"/>
    </row>
    <row r="833" spans="1:13">
      <c r="A833" s="40"/>
      <c r="F833" s="38"/>
      <c r="G833" s="38"/>
      <c r="H833" s="38"/>
      <c r="I833" s="40"/>
      <c r="J833" s="40"/>
      <c r="K833" s="40"/>
      <c r="L833" s="40"/>
      <c r="M833" s="40"/>
    </row>
    <row r="834" spans="1:13">
      <c r="A834" s="40"/>
      <c r="F834" s="38"/>
      <c r="G834" s="38"/>
      <c r="H834" s="38"/>
      <c r="I834" s="40"/>
      <c r="J834" s="40"/>
      <c r="K834" s="40"/>
      <c r="L834" s="40"/>
      <c r="M834" s="40"/>
    </row>
    <row r="835" spans="1:13">
      <c r="A835" s="40"/>
      <c r="F835" s="38"/>
      <c r="G835" s="38"/>
      <c r="H835" s="38"/>
      <c r="I835" s="40"/>
      <c r="J835" s="40"/>
      <c r="K835" s="40"/>
      <c r="L835" s="40"/>
      <c r="M835" s="40"/>
    </row>
    <row r="836" spans="1:13">
      <c r="A836" s="40"/>
      <c r="F836" s="38"/>
      <c r="G836" s="38"/>
      <c r="H836" s="38"/>
      <c r="I836" s="40"/>
      <c r="J836" s="40"/>
      <c r="K836" s="40"/>
      <c r="L836" s="40"/>
      <c r="M836" s="40"/>
    </row>
    <row r="837" spans="1:13">
      <c r="A837" s="40"/>
      <c r="F837" s="38"/>
      <c r="G837" s="38"/>
      <c r="H837" s="38"/>
      <c r="I837" s="40"/>
      <c r="J837" s="40"/>
      <c r="K837" s="40"/>
      <c r="L837" s="40"/>
      <c r="M837" s="40"/>
    </row>
    <row r="838" spans="1:13">
      <c r="A838" s="40"/>
      <c r="F838" s="38"/>
      <c r="G838" s="38"/>
      <c r="H838" s="38"/>
      <c r="I838" s="40"/>
      <c r="J838" s="40"/>
      <c r="K838" s="40"/>
      <c r="L838" s="40"/>
      <c r="M838" s="40"/>
    </row>
    <row r="839" spans="1:13">
      <c r="A839" s="40"/>
      <c r="F839" s="38"/>
      <c r="G839" s="38"/>
      <c r="H839" s="38"/>
      <c r="I839" s="40"/>
      <c r="J839" s="40"/>
      <c r="K839" s="40"/>
      <c r="L839" s="40"/>
      <c r="M839" s="40"/>
    </row>
    <row r="840" spans="1:13">
      <c r="A840" s="40"/>
      <c r="F840" s="38"/>
      <c r="G840" s="38"/>
      <c r="H840" s="38"/>
      <c r="I840" s="40"/>
      <c r="J840" s="40"/>
      <c r="K840" s="40"/>
      <c r="L840" s="40"/>
      <c r="M840" s="40"/>
    </row>
    <row r="841" spans="1:13">
      <c r="A841" s="40"/>
      <c r="F841" s="38"/>
      <c r="G841" s="38"/>
      <c r="H841" s="38"/>
      <c r="I841" s="40"/>
      <c r="J841" s="40"/>
      <c r="K841" s="40"/>
      <c r="L841" s="40"/>
      <c r="M841" s="40"/>
    </row>
    <row r="842" spans="1:13">
      <c r="A842" s="40"/>
      <c r="F842" s="38"/>
      <c r="G842" s="38"/>
      <c r="H842" s="38"/>
      <c r="I842" s="40"/>
      <c r="J842" s="40"/>
      <c r="K842" s="40"/>
      <c r="L842" s="40"/>
      <c r="M842" s="40"/>
    </row>
    <row r="843" spans="1:13">
      <c r="A843" s="40"/>
      <c r="F843" s="38"/>
      <c r="G843" s="38"/>
      <c r="H843" s="38"/>
      <c r="I843" s="40"/>
      <c r="J843" s="40"/>
      <c r="K843" s="40"/>
      <c r="L843" s="40"/>
      <c r="M843" s="40"/>
    </row>
    <row r="844" spans="1:13">
      <c r="A844" s="40"/>
      <c r="F844" s="38"/>
      <c r="G844" s="38"/>
      <c r="H844" s="38"/>
      <c r="I844" s="40"/>
      <c r="J844" s="40"/>
      <c r="K844" s="40"/>
      <c r="L844" s="40"/>
      <c r="M844" s="40"/>
    </row>
    <row r="845" spans="1:13">
      <c r="A845" s="40"/>
      <c r="F845" s="38"/>
      <c r="G845" s="38"/>
      <c r="H845" s="38"/>
      <c r="I845" s="40"/>
      <c r="J845" s="40"/>
      <c r="K845" s="40"/>
      <c r="L845" s="40"/>
      <c r="M845" s="40"/>
    </row>
    <row r="846" spans="1:13">
      <c r="A846" s="40"/>
      <c r="F846" s="38"/>
      <c r="G846" s="38"/>
      <c r="H846" s="38"/>
      <c r="I846" s="40"/>
      <c r="J846" s="40"/>
      <c r="K846" s="40"/>
      <c r="L846" s="40"/>
      <c r="M846" s="40"/>
    </row>
    <row r="847" spans="1:13">
      <c r="A847" s="40"/>
      <c r="F847" s="38"/>
      <c r="G847" s="38"/>
      <c r="H847" s="38"/>
      <c r="I847" s="40"/>
      <c r="J847" s="40"/>
      <c r="K847" s="40"/>
      <c r="L847" s="40"/>
      <c r="M847" s="40"/>
    </row>
    <row r="848" spans="1:13">
      <c r="A848" s="40"/>
      <c r="F848" s="38"/>
      <c r="G848" s="38"/>
      <c r="H848" s="38"/>
      <c r="I848" s="40"/>
      <c r="J848" s="40"/>
      <c r="K848" s="40"/>
      <c r="L848" s="40"/>
      <c r="M848" s="40"/>
    </row>
    <row r="849" spans="1:13">
      <c r="A849" s="40"/>
      <c r="F849" s="38"/>
      <c r="G849" s="38"/>
      <c r="H849" s="38"/>
      <c r="I849" s="40"/>
      <c r="J849" s="40"/>
      <c r="K849" s="40"/>
      <c r="L849" s="40"/>
      <c r="M849" s="40"/>
    </row>
    <row r="850" spans="1:13">
      <c r="A850" s="40"/>
      <c r="F850" s="38"/>
      <c r="G850" s="38"/>
      <c r="H850" s="38"/>
      <c r="I850" s="40"/>
      <c r="J850" s="40"/>
      <c r="K850" s="40"/>
      <c r="L850" s="40"/>
      <c r="M850" s="40"/>
    </row>
    <row r="851" spans="1:13">
      <c r="A851" s="40"/>
      <c r="F851" s="38"/>
      <c r="G851" s="38"/>
      <c r="H851" s="38"/>
      <c r="I851" s="40"/>
      <c r="J851" s="40"/>
      <c r="K851" s="40"/>
      <c r="L851" s="40"/>
      <c r="M851" s="40"/>
    </row>
    <row r="852" spans="1:13">
      <c r="A852" s="40"/>
      <c r="F852" s="38"/>
      <c r="G852" s="38"/>
      <c r="H852" s="38"/>
      <c r="I852" s="40"/>
      <c r="J852" s="40"/>
      <c r="K852" s="40"/>
      <c r="L852" s="40"/>
      <c r="M852" s="40"/>
    </row>
    <row r="853" spans="1:13">
      <c r="A853" s="40"/>
      <c r="F853" s="38"/>
      <c r="G853" s="38"/>
      <c r="H853" s="38"/>
      <c r="I853" s="40"/>
      <c r="J853" s="40"/>
      <c r="K853" s="40"/>
      <c r="L853" s="40"/>
      <c r="M853" s="40"/>
    </row>
    <row r="854" spans="1:13">
      <c r="A854" s="40"/>
      <c r="F854" s="38"/>
      <c r="G854" s="38"/>
      <c r="H854" s="38"/>
      <c r="I854" s="40"/>
      <c r="J854" s="40"/>
      <c r="K854" s="40"/>
      <c r="L854" s="40"/>
      <c r="M854" s="40"/>
    </row>
    <row r="855" spans="1:13">
      <c r="A855" s="40"/>
      <c r="F855" s="38"/>
      <c r="G855" s="38"/>
      <c r="H855" s="38"/>
      <c r="I855" s="40"/>
      <c r="J855" s="40"/>
      <c r="K855" s="40"/>
      <c r="L855" s="40"/>
      <c r="M855" s="40"/>
    </row>
    <row r="856" spans="1:13">
      <c r="A856" s="40"/>
      <c r="F856" s="38"/>
      <c r="G856" s="38"/>
      <c r="H856" s="38"/>
      <c r="I856" s="40"/>
      <c r="J856" s="40"/>
      <c r="K856" s="40"/>
      <c r="L856" s="40"/>
      <c r="M856" s="40"/>
    </row>
    <row r="857" spans="1:13">
      <c r="A857" s="40"/>
      <c r="F857" s="38"/>
      <c r="G857" s="38"/>
      <c r="H857" s="38"/>
      <c r="I857" s="40"/>
      <c r="J857" s="40"/>
      <c r="K857" s="40"/>
      <c r="L857" s="40"/>
      <c r="M857" s="40"/>
    </row>
    <row r="858" spans="1:13">
      <c r="A858" s="40"/>
      <c r="F858" s="38"/>
      <c r="G858" s="38"/>
      <c r="H858" s="38"/>
      <c r="I858" s="40"/>
      <c r="J858" s="40"/>
      <c r="K858" s="40"/>
      <c r="L858" s="40"/>
      <c r="M858" s="40"/>
    </row>
    <row r="859" spans="1:13">
      <c r="A859" s="40"/>
      <c r="F859" s="38"/>
      <c r="G859" s="38"/>
      <c r="H859" s="38"/>
      <c r="I859" s="40"/>
      <c r="J859" s="40"/>
      <c r="K859" s="40"/>
      <c r="L859" s="40"/>
      <c r="M859" s="40"/>
    </row>
    <row r="860" spans="1:13">
      <c r="A860" s="40"/>
      <c r="F860" s="38"/>
      <c r="G860" s="38"/>
      <c r="H860" s="38"/>
      <c r="I860" s="40"/>
      <c r="J860" s="40"/>
      <c r="K860" s="40"/>
      <c r="L860" s="40"/>
      <c r="M860" s="40"/>
    </row>
    <row r="861" spans="1:13">
      <c r="A861" s="40"/>
      <c r="F861" s="38"/>
      <c r="G861" s="38"/>
      <c r="H861" s="38"/>
      <c r="I861" s="40"/>
      <c r="J861" s="40"/>
      <c r="K861" s="40"/>
      <c r="L861" s="40"/>
      <c r="M861" s="40"/>
    </row>
    <row r="862" spans="1:13">
      <c r="A862" s="40"/>
      <c r="F862" s="38"/>
      <c r="G862" s="38"/>
      <c r="H862" s="38"/>
      <c r="I862" s="40"/>
      <c r="J862" s="40"/>
      <c r="K862" s="40"/>
      <c r="L862" s="40"/>
      <c r="M862" s="40"/>
    </row>
    <row r="863" spans="1:13">
      <c r="A863" s="40"/>
      <c r="F863" s="38"/>
      <c r="G863" s="38"/>
      <c r="H863" s="38"/>
      <c r="I863" s="40"/>
      <c r="J863" s="40"/>
      <c r="K863" s="40"/>
      <c r="L863" s="40"/>
      <c r="M863" s="40"/>
    </row>
    <row r="864" spans="1:13">
      <c r="A864" s="40"/>
      <c r="F864" s="38"/>
      <c r="G864" s="38"/>
      <c r="H864" s="38"/>
      <c r="I864" s="40"/>
      <c r="J864" s="40"/>
      <c r="K864" s="40"/>
      <c r="L864" s="40"/>
      <c r="M864" s="40"/>
    </row>
    <row r="865" spans="1:13">
      <c r="A865" s="40"/>
      <c r="F865" s="38"/>
      <c r="G865" s="38"/>
      <c r="H865" s="38"/>
      <c r="I865" s="40"/>
      <c r="J865" s="40"/>
      <c r="K865" s="40"/>
      <c r="L865" s="40"/>
      <c r="M865" s="40"/>
    </row>
    <row r="866" spans="1:13">
      <c r="A866" s="40"/>
      <c r="F866" s="38"/>
      <c r="G866" s="38"/>
      <c r="H866" s="38"/>
      <c r="I866" s="40"/>
      <c r="J866" s="40"/>
      <c r="K866" s="40"/>
      <c r="L866" s="40"/>
      <c r="M866" s="40"/>
    </row>
    <row r="867" spans="1:13">
      <c r="A867" s="40"/>
      <c r="F867" s="38"/>
      <c r="G867" s="38"/>
      <c r="H867" s="38"/>
      <c r="I867" s="40"/>
      <c r="J867" s="40"/>
      <c r="K867" s="40"/>
      <c r="L867" s="40"/>
      <c r="M867" s="40"/>
    </row>
    <row r="868" spans="1:13">
      <c r="A868" s="40"/>
      <c r="F868" s="38"/>
      <c r="G868" s="38"/>
      <c r="H868" s="38"/>
      <c r="I868" s="40"/>
      <c r="J868" s="40"/>
      <c r="K868" s="40"/>
      <c r="L868" s="40"/>
      <c r="M868" s="40"/>
    </row>
    <row r="869" spans="1:13">
      <c r="A869" s="40"/>
      <c r="F869" s="38"/>
      <c r="G869" s="38"/>
      <c r="H869" s="38"/>
      <c r="I869" s="40"/>
      <c r="J869" s="40"/>
      <c r="K869" s="40"/>
      <c r="L869" s="40"/>
      <c r="M869" s="40"/>
    </row>
    <row r="870" spans="1:13">
      <c r="A870" s="40"/>
      <c r="F870" s="38"/>
      <c r="G870" s="38"/>
      <c r="H870" s="38"/>
      <c r="I870" s="40"/>
      <c r="J870" s="40"/>
      <c r="K870" s="40"/>
      <c r="L870" s="40"/>
      <c r="M870" s="40"/>
    </row>
    <row r="871" spans="1:13">
      <c r="A871" s="40"/>
      <c r="F871" s="38"/>
      <c r="G871" s="38"/>
      <c r="H871" s="38"/>
      <c r="I871" s="40"/>
      <c r="J871" s="40"/>
      <c r="K871" s="40"/>
      <c r="L871" s="40"/>
      <c r="M871" s="40"/>
    </row>
    <row r="872" spans="1:13">
      <c r="A872" s="40"/>
      <c r="F872" s="38"/>
      <c r="G872" s="38"/>
      <c r="H872" s="38"/>
      <c r="I872" s="40"/>
      <c r="J872" s="40"/>
      <c r="K872" s="40"/>
      <c r="L872" s="40"/>
      <c r="M872" s="40"/>
    </row>
    <row r="873" spans="1:13">
      <c r="A873" s="40"/>
      <c r="F873" s="38"/>
      <c r="G873" s="38"/>
      <c r="H873" s="38"/>
      <c r="I873" s="40"/>
      <c r="J873" s="40"/>
      <c r="K873" s="40"/>
      <c r="L873" s="40"/>
      <c r="M873" s="40"/>
    </row>
    <row r="874" spans="1:13">
      <c r="A874" s="40"/>
      <c r="F874" s="38"/>
      <c r="G874" s="38"/>
      <c r="H874" s="38"/>
      <c r="I874" s="40"/>
      <c r="J874" s="40"/>
      <c r="K874" s="40"/>
      <c r="L874" s="40"/>
      <c r="M874" s="40"/>
    </row>
    <row r="875" spans="1:13">
      <c r="A875" s="40"/>
      <c r="F875" s="38"/>
      <c r="G875" s="38"/>
      <c r="H875" s="38"/>
      <c r="I875" s="40"/>
      <c r="J875" s="40"/>
      <c r="K875" s="40"/>
      <c r="L875" s="40"/>
      <c r="M875" s="40"/>
    </row>
    <row r="876" spans="1:13">
      <c r="A876" s="40"/>
      <c r="F876" s="38"/>
      <c r="G876" s="38"/>
      <c r="H876" s="38"/>
      <c r="I876" s="40"/>
      <c r="J876" s="40"/>
      <c r="K876" s="40"/>
      <c r="L876" s="40"/>
      <c r="M876" s="40"/>
    </row>
    <row r="877" spans="1:13">
      <c r="A877" s="40"/>
      <c r="F877" s="38"/>
      <c r="G877" s="38"/>
      <c r="H877" s="38"/>
      <c r="I877" s="40"/>
      <c r="J877" s="40"/>
      <c r="K877" s="40"/>
      <c r="L877" s="40"/>
      <c r="M877" s="40"/>
    </row>
    <row r="878" spans="1:13">
      <c r="A878" s="40"/>
      <c r="F878" s="38"/>
      <c r="G878" s="38"/>
      <c r="H878" s="38"/>
      <c r="I878" s="40"/>
      <c r="J878" s="40"/>
      <c r="K878" s="40"/>
      <c r="L878" s="40"/>
      <c r="M878" s="40"/>
    </row>
    <row r="879" spans="1:13">
      <c r="A879" s="40"/>
      <c r="F879" s="38"/>
      <c r="G879" s="38"/>
      <c r="H879" s="38"/>
      <c r="I879" s="40"/>
      <c r="J879" s="40"/>
      <c r="K879" s="40"/>
      <c r="L879" s="40"/>
      <c r="M879" s="40"/>
    </row>
    <row r="880" spans="1:13">
      <c r="A880" s="40"/>
      <c r="F880" s="38"/>
      <c r="G880" s="38"/>
      <c r="H880" s="38"/>
      <c r="I880" s="40"/>
      <c r="J880" s="40"/>
      <c r="K880" s="40"/>
      <c r="L880" s="40"/>
      <c r="M880" s="40"/>
    </row>
    <row r="881" spans="1:13">
      <c r="A881" s="40"/>
      <c r="F881" s="38"/>
      <c r="G881" s="38"/>
      <c r="H881" s="38"/>
      <c r="I881" s="40"/>
      <c r="J881" s="40"/>
      <c r="K881" s="40"/>
      <c r="L881" s="40"/>
      <c r="M881" s="40"/>
    </row>
    <row r="882" spans="1:13">
      <c r="A882" s="40"/>
      <c r="F882" s="38"/>
      <c r="G882" s="38"/>
      <c r="H882" s="38"/>
      <c r="I882" s="40"/>
      <c r="J882" s="40"/>
      <c r="K882" s="40"/>
      <c r="L882" s="40"/>
      <c r="M882" s="40"/>
    </row>
    <row r="883" spans="1:13">
      <c r="A883" s="40"/>
      <c r="F883" s="38"/>
      <c r="G883" s="38"/>
      <c r="H883" s="38"/>
      <c r="I883" s="40"/>
      <c r="J883" s="40"/>
      <c r="K883" s="40"/>
      <c r="L883" s="40"/>
      <c r="M883" s="40"/>
    </row>
    <row r="884" spans="1:13">
      <c r="A884" s="40"/>
      <c r="F884" s="38"/>
      <c r="G884" s="38"/>
      <c r="H884" s="38"/>
      <c r="I884" s="40"/>
      <c r="J884" s="40"/>
      <c r="K884" s="40"/>
      <c r="L884" s="40"/>
      <c r="M884" s="40"/>
    </row>
    <row r="885" spans="1:13">
      <c r="A885" s="40"/>
      <c r="F885" s="38"/>
      <c r="G885" s="38"/>
      <c r="H885" s="38"/>
      <c r="I885" s="40"/>
      <c r="J885" s="40"/>
      <c r="K885" s="40"/>
      <c r="L885" s="40"/>
      <c r="M885" s="40"/>
    </row>
    <row r="886" spans="1:13">
      <c r="A886" s="40"/>
      <c r="F886" s="38"/>
      <c r="G886" s="38"/>
      <c r="H886" s="38"/>
      <c r="I886" s="40"/>
      <c r="J886" s="40"/>
      <c r="K886" s="40"/>
      <c r="L886" s="40"/>
      <c r="M886" s="40"/>
    </row>
    <row r="887" spans="1:13">
      <c r="A887" s="40"/>
      <c r="F887" s="38"/>
      <c r="G887" s="38"/>
      <c r="H887" s="38"/>
      <c r="I887" s="40"/>
      <c r="J887" s="40"/>
      <c r="K887" s="40"/>
      <c r="L887" s="40"/>
      <c r="M887" s="40"/>
    </row>
    <row r="888" spans="1:13">
      <c r="A888" s="40"/>
      <c r="F888" s="38"/>
      <c r="G888" s="38"/>
      <c r="H888" s="38"/>
      <c r="I888" s="40"/>
      <c r="J888" s="40"/>
      <c r="K888" s="40"/>
      <c r="L888" s="40"/>
      <c r="M888" s="40"/>
    </row>
    <row r="889" spans="1:13">
      <c r="A889" s="40"/>
      <c r="F889" s="38"/>
      <c r="G889" s="38"/>
      <c r="H889" s="38"/>
      <c r="I889" s="40"/>
      <c r="J889" s="40"/>
      <c r="K889" s="40"/>
      <c r="L889" s="40"/>
      <c r="M889" s="40"/>
    </row>
    <row r="890" spans="1:13">
      <c r="A890" s="40"/>
      <c r="F890" s="38"/>
      <c r="G890" s="38"/>
      <c r="H890" s="38"/>
      <c r="I890" s="40"/>
      <c r="J890" s="40"/>
      <c r="K890" s="40"/>
      <c r="L890" s="40"/>
      <c r="M890" s="40"/>
    </row>
    <row r="891" spans="1:13">
      <c r="A891" s="40"/>
      <c r="F891" s="38"/>
      <c r="G891" s="38"/>
      <c r="H891" s="38"/>
      <c r="I891" s="40"/>
      <c r="J891" s="40"/>
      <c r="K891" s="40"/>
      <c r="L891" s="40"/>
      <c r="M891" s="40"/>
    </row>
    <row r="892" spans="1:13">
      <c r="A892" s="40"/>
      <c r="F892" s="38"/>
      <c r="G892" s="38"/>
      <c r="H892" s="38"/>
      <c r="I892" s="40"/>
      <c r="J892" s="40"/>
      <c r="K892" s="40"/>
      <c r="L892" s="40"/>
      <c r="M892" s="40"/>
    </row>
    <row r="893" spans="1:13">
      <c r="A893" s="40"/>
      <c r="F893" s="38"/>
      <c r="G893" s="38"/>
      <c r="H893" s="38"/>
      <c r="I893" s="40"/>
      <c r="J893" s="40"/>
      <c r="K893" s="40"/>
      <c r="L893" s="40"/>
      <c r="M893" s="40"/>
    </row>
    <row r="894" spans="1:13">
      <c r="A894" s="40"/>
      <c r="F894" s="38"/>
      <c r="G894" s="38"/>
      <c r="H894" s="38"/>
      <c r="I894" s="40"/>
      <c r="J894" s="40"/>
      <c r="K894" s="40"/>
      <c r="L894" s="40"/>
      <c r="M894" s="40"/>
    </row>
    <row r="895" spans="1:13">
      <c r="A895" s="40"/>
      <c r="F895" s="38"/>
      <c r="G895" s="38"/>
      <c r="H895" s="38"/>
      <c r="I895" s="40"/>
      <c r="J895" s="40"/>
      <c r="K895" s="40"/>
      <c r="L895" s="40"/>
      <c r="M895" s="40"/>
    </row>
    <row r="896" spans="1:13">
      <c r="A896" s="40"/>
      <c r="F896" s="38"/>
      <c r="G896" s="38"/>
      <c r="H896" s="38"/>
      <c r="I896" s="40"/>
      <c r="J896" s="40"/>
      <c r="K896" s="40"/>
      <c r="L896" s="40"/>
      <c r="M896" s="40"/>
    </row>
    <row r="897" spans="1:13">
      <c r="A897" s="40"/>
      <c r="F897" s="38"/>
      <c r="G897" s="38"/>
      <c r="H897" s="38"/>
      <c r="I897" s="40"/>
      <c r="J897" s="40"/>
      <c r="K897" s="40"/>
      <c r="L897" s="40"/>
      <c r="M897" s="40"/>
    </row>
    <row r="898" spans="1:13">
      <c r="A898" s="40"/>
      <c r="F898" s="38"/>
      <c r="G898" s="38"/>
      <c r="H898" s="38"/>
      <c r="I898" s="40"/>
      <c r="J898" s="40"/>
      <c r="K898" s="40"/>
      <c r="L898" s="40"/>
      <c r="M898" s="40"/>
    </row>
    <row r="899" spans="1:13">
      <c r="A899" s="40"/>
      <c r="F899" s="38"/>
      <c r="G899" s="38"/>
      <c r="H899" s="38"/>
      <c r="I899" s="40"/>
      <c r="J899" s="40"/>
      <c r="K899" s="40"/>
      <c r="L899" s="40"/>
      <c r="M899" s="40"/>
    </row>
    <row r="900" spans="1:13">
      <c r="A900" s="40"/>
      <c r="F900" s="38"/>
      <c r="G900" s="38"/>
      <c r="H900" s="38"/>
      <c r="I900" s="40"/>
      <c r="J900" s="40"/>
      <c r="K900" s="40"/>
      <c r="L900" s="40"/>
      <c r="M900" s="40"/>
    </row>
    <row r="901" spans="1:13">
      <c r="A901" s="40"/>
      <c r="F901" s="38"/>
      <c r="G901" s="38"/>
      <c r="H901" s="38"/>
      <c r="I901" s="40"/>
      <c r="J901" s="40"/>
      <c r="K901" s="40"/>
      <c r="L901" s="40"/>
      <c r="M901" s="40"/>
    </row>
    <row r="902" spans="1:13">
      <c r="A902" s="40"/>
      <c r="F902" s="38"/>
      <c r="G902" s="38"/>
      <c r="H902" s="38"/>
      <c r="I902" s="40"/>
      <c r="J902" s="40"/>
      <c r="K902" s="40"/>
      <c r="L902" s="40"/>
      <c r="M902" s="40"/>
    </row>
    <row r="903" spans="1:13">
      <c r="A903" s="40"/>
      <c r="F903" s="38"/>
      <c r="G903" s="38"/>
      <c r="H903" s="38"/>
      <c r="I903" s="40"/>
      <c r="J903" s="40"/>
      <c r="K903" s="40"/>
      <c r="L903" s="40"/>
      <c r="M903" s="40"/>
    </row>
    <row r="904" spans="1:13">
      <c r="A904" s="40"/>
      <c r="F904" s="38"/>
      <c r="G904" s="38"/>
      <c r="H904" s="38"/>
      <c r="I904" s="40"/>
      <c r="J904" s="40"/>
      <c r="K904" s="40"/>
      <c r="L904" s="40"/>
      <c r="M904" s="40"/>
    </row>
    <row r="905" spans="1:13">
      <c r="A905" s="40"/>
      <c r="F905" s="38"/>
      <c r="G905" s="38"/>
      <c r="H905" s="38"/>
      <c r="I905" s="40"/>
      <c r="J905" s="40"/>
      <c r="K905" s="40"/>
      <c r="L905" s="40"/>
      <c r="M905" s="40"/>
    </row>
    <row r="906" spans="1:13">
      <c r="A906" s="40"/>
      <c r="F906" s="38"/>
      <c r="G906" s="38"/>
      <c r="H906" s="38"/>
      <c r="I906" s="40"/>
      <c r="J906" s="40"/>
      <c r="K906" s="40"/>
      <c r="L906" s="40"/>
      <c r="M906" s="40"/>
    </row>
    <row r="907" spans="1:13">
      <c r="A907" s="40"/>
      <c r="F907" s="38"/>
      <c r="G907" s="38"/>
      <c r="H907" s="38"/>
      <c r="I907" s="40"/>
      <c r="J907" s="40"/>
      <c r="K907" s="40"/>
      <c r="L907" s="40"/>
      <c r="M907" s="40"/>
    </row>
    <row r="908" spans="1:13">
      <c r="A908" s="40"/>
      <c r="F908" s="38"/>
      <c r="G908" s="38"/>
      <c r="H908" s="38"/>
      <c r="I908" s="40"/>
      <c r="J908" s="40"/>
      <c r="K908" s="40"/>
      <c r="L908" s="40"/>
      <c r="M908" s="40"/>
    </row>
    <row r="909" spans="1:13">
      <c r="A909" s="40"/>
      <c r="F909" s="38"/>
      <c r="G909" s="38"/>
      <c r="H909" s="38"/>
      <c r="I909" s="40"/>
      <c r="J909" s="40"/>
      <c r="K909" s="40"/>
      <c r="L909" s="40"/>
      <c r="M909" s="40"/>
    </row>
    <row r="910" spans="1:13">
      <c r="A910" s="40"/>
      <c r="F910" s="38"/>
      <c r="G910" s="38"/>
      <c r="H910" s="38"/>
      <c r="I910" s="40"/>
      <c r="J910" s="40"/>
      <c r="K910" s="40"/>
      <c r="L910" s="40"/>
      <c r="M910" s="40"/>
    </row>
    <row r="911" spans="1:13">
      <c r="A911" s="40"/>
      <c r="F911" s="38"/>
      <c r="G911" s="38"/>
      <c r="H911" s="38"/>
      <c r="I911" s="40"/>
      <c r="J911" s="40"/>
      <c r="K911" s="40"/>
      <c r="L911" s="40"/>
      <c r="M911" s="40"/>
    </row>
    <row r="912" spans="1:13">
      <c r="A912" s="40"/>
      <c r="F912" s="38"/>
      <c r="G912" s="38"/>
      <c r="H912" s="38"/>
      <c r="I912" s="40"/>
      <c r="J912" s="40"/>
      <c r="K912" s="40"/>
      <c r="L912" s="40"/>
      <c r="M912" s="40"/>
    </row>
    <row r="913" spans="1:13">
      <c r="A913" s="40"/>
      <c r="F913" s="38"/>
      <c r="G913" s="38"/>
      <c r="H913" s="38"/>
      <c r="I913" s="40"/>
      <c r="J913" s="40"/>
      <c r="K913" s="40"/>
      <c r="L913" s="40"/>
      <c r="M913" s="40"/>
    </row>
    <row r="914" spans="1:13">
      <c r="A914" s="40"/>
      <c r="F914" s="38"/>
      <c r="G914" s="38"/>
      <c r="H914" s="38"/>
      <c r="I914" s="40"/>
      <c r="J914" s="40"/>
      <c r="K914" s="40"/>
      <c r="L914" s="40"/>
      <c r="M914" s="40"/>
    </row>
    <row r="915" spans="1:13">
      <c r="A915" s="40"/>
      <c r="F915" s="38"/>
      <c r="G915" s="38"/>
      <c r="H915" s="38"/>
      <c r="I915" s="40"/>
      <c r="J915" s="40"/>
      <c r="K915" s="40"/>
      <c r="L915" s="40"/>
      <c r="M915" s="40"/>
    </row>
    <row r="916" spans="1:13">
      <c r="A916" s="40"/>
      <c r="F916" s="38"/>
      <c r="G916" s="38"/>
      <c r="H916" s="38"/>
      <c r="I916" s="40"/>
      <c r="J916" s="40"/>
      <c r="K916" s="40"/>
      <c r="L916" s="40"/>
      <c r="M916" s="40"/>
    </row>
    <row r="917" spans="1:13">
      <c r="A917" s="40"/>
      <c r="F917" s="38"/>
      <c r="G917" s="38"/>
      <c r="H917" s="38"/>
      <c r="I917" s="40"/>
      <c r="J917" s="40"/>
      <c r="K917" s="40"/>
      <c r="L917" s="40"/>
      <c r="M917" s="40"/>
    </row>
    <row r="918" spans="1:13">
      <c r="A918" s="40"/>
      <c r="F918" s="38"/>
      <c r="G918" s="38"/>
      <c r="H918" s="38"/>
      <c r="I918" s="40"/>
      <c r="J918" s="40"/>
      <c r="K918" s="40"/>
      <c r="L918" s="40"/>
      <c r="M918" s="40"/>
    </row>
    <row r="919" spans="1:13">
      <c r="A919" s="40"/>
      <c r="F919" s="38"/>
      <c r="G919" s="38"/>
      <c r="H919" s="38"/>
      <c r="I919" s="40"/>
      <c r="J919" s="40"/>
      <c r="K919" s="40"/>
      <c r="L919" s="40"/>
      <c r="M919" s="40"/>
    </row>
    <row r="920" spans="1:13">
      <c r="A920" s="40"/>
      <c r="F920" s="38"/>
      <c r="G920" s="38"/>
      <c r="H920" s="38"/>
      <c r="I920" s="40"/>
      <c r="J920" s="40"/>
      <c r="K920" s="40"/>
      <c r="L920" s="40"/>
      <c r="M920" s="40"/>
    </row>
    <row r="921" spans="1:13">
      <c r="A921" s="40"/>
      <c r="F921" s="38"/>
      <c r="G921" s="38"/>
      <c r="H921" s="38"/>
      <c r="I921" s="40"/>
      <c r="J921" s="40"/>
      <c r="K921" s="40"/>
      <c r="L921" s="40"/>
      <c r="M921" s="40"/>
    </row>
    <row r="922" spans="1:13">
      <c r="A922" s="40"/>
      <c r="F922" s="38"/>
      <c r="G922" s="38"/>
      <c r="H922" s="38"/>
      <c r="I922" s="40"/>
      <c r="J922" s="40"/>
      <c r="K922" s="40"/>
      <c r="L922" s="40"/>
      <c r="M922" s="40"/>
    </row>
    <row r="923" spans="1:13">
      <c r="A923" s="40"/>
      <c r="F923" s="38"/>
      <c r="G923" s="38"/>
      <c r="H923" s="38"/>
      <c r="I923" s="40"/>
      <c r="J923" s="40"/>
      <c r="K923" s="40"/>
      <c r="L923" s="40"/>
      <c r="M923" s="40"/>
    </row>
    <row r="924" spans="1:13">
      <c r="A924" s="40"/>
      <c r="F924" s="38"/>
      <c r="G924" s="38"/>
      <c r="H924" s="38"/>
      <c r="I924" s="40"/>
      <c r="J924" s="40"/>
      <c r="K924" s="40"/>
      <c r="L924" s="40"/>
      <c r="M924" s="40"/>
    </row>
    <row r="925" spans="1:13">
      <c r="A925" s="40"/>
      <c r="F925" s="38"/>
      <c r="G925" s="38"/>
      <c r="H925" s="38"/>
      <c r="I925" s="40"/>
      <c r="J925" s="40"/>
      <c r="K925" s="40"/>
      <c r="L925" s="40"/>
      <c r="M925" s="40"/>
    </row>
    <row r="926" spans="1:13">
      <c r="A926" s="40"/>
      <c r="F926" s="38"/>
      <c r="G926" s="38"/>
      <c r="H926" s="38"/>
      <c r="I926" s="40"/>
      <c r="J926" s="40"/>
      <c r="K926" s="40"/>
      <c r="L926" s="40"/>
      <c r="M926" s="40"/>
    </row>
    <row r="927" spans="1:13">
      <c r="A927" s="40"/>
      <c r="F927" s="38"/>
      <c r="G927" s="38"/>
      <c r="H927" s="38"/>
      <c r="I927" s="40"/>
      <c r="J927" s="40"/>
      <c r="K927" s="40"/>
      <c r="L927" s="40"/>
      <c r="M927" s="40"/>
    </row>
    <row r="928" spans="1:13">
      <c r="A928" s="40"/>
      <c r="F928" s="38"/>
      <c r="G928" s="38"/>
      <c r="H928" s="38"/>
      <c r="I928" s="40"/>
      <c r="J928" s="40"/>
      <c r="K928" s="40"/>
      <c r="L928" s="40"/>
      <c r="M928" s="40"/>
    </row>
    <row r="929" spans="1:13">
      <c r="A929" s="40"/>
      <c r="F929" s="38"/>
      <c r="G929" s="38"/>
      <c r="H929" s="38"/>
      <c r="I929" s="40"/>
      <c r="J929" s="40"/>
      <c r="K929" s="40"/>
      <c r="L929" s="40"/>
      <c r="M929" s="40"/>
    </row>
    <row r="930" spans="1:13">
      <c r="A930" s="40"/>
      <c r="F930" s="38"/>
      <c r="G930" s="38"/>
      <c r="H930" s="38"/>
      <c r="I930" s="40"/>
      <c r="J930" s="40"/>
      <c r="K930" s="40"/>
      <c r="L930" s="40"/>
      <c r="M930" s="40"/>
    </row>
    <row r="931" spans="1:13">
      <c r="A931" s="40"/>
      <c r="F931" s="38"/>
      <c r="G931" s="38"/>
      <c r="H931" s="38"/>
      <c r="I931" s="40"/>
      <c r="J931" s="40"/>
      <c r="K931" s="40"/>
      <c r="L931" s="40"/>
      <c r="M931" s="40"/>
    </row>
    <row r="932" spans="1:13">
      <c r="A932" s="40"/>
      <c r="F932" s="38"/>
      <c r="G932" s="38"/>
      <c r="H932" s="38"/>
      <c r="I932" s="40"/>
      <c r="J932" s="40"/>
      <c r="K932" s="40"/>
      <c r="L932" s="40"/>
      <c r="M932" s="40"/>
    </row>
    <row r="933" spans="1:13">
      <c r="A933" s="40"/>
      <c r="F933" s="38"/>
      <c r="G933" s="38"/>
      <c r="H933" s="38"/>
      <c r="I933" s="40"/>
      <c r="J933" s="40"/>
      <c r="K933" s="40"/>
      <c r="L933" s="40"/>
      <c r="M933" s="40"/>
    </row>
    <row r="934" spans="1:13">
      <c r="A934" s="40"/>
      <c r="F934" s="38"/>
      <c r="G934" s="38"/>
      <c r="H934" s="38"/>
      <c r="I934" s="40"/>
      <c r="J934" s="40"/>
      <c r="K934" s="40"/>
      <c r="L934" s="40"/>
      <c r="M934" s="40"/>
    </row>
    <row r="935" spans="1:13">
      <c r="A935" s="40"/>
      <c r="F935" s="38"/>
      <c r="G935" s="38"/>
      <c r="H935" s="38"/>
      <c r="I935" s="40"/>
      <c r="J935" s="40"/>
      <c r="K935" s="40"/>
      <c r="L935" s="40"/>
      <c r="M935" s="40"/>
    </row>
    <row r="936" spans="1:13">
      <c r="A936" s="40"/>
      <c r="F936" s="38"/>
      <c r="G936" s="38"/>
      <c r="H936" s="38"/>
      <c r="I936" s="40"/>
      <c r="J936" s="40"/>
      <c r="K936" s="40"/>
      <c r="L936" s="40"/>
      <c r="M936" s="40"/>
    </row>
    <row r="937" spans="1:13">
      <c r="A937" s="40"/>
      <c r="F937" s="38"/>
      <c r="G937" s="38"/>
      <c r="H937" s="38"/>
      <c r="I937" s="40"/>
      <c r="J937" s="40"/>
      <c r="K937" s="40"/>
      <c r="L937" s="40"/>
      <c r="M937" s="40"/>
    </row>
    <row r="938" spans="1:13">
      <c r="A938" s="40"/>
      <c r="F938" s="38"/>
      <c r="G938" s="38"/>
      <c r="H938" s="38"/>
      <c r="I938" s="40"/>
      <c r="J938" s="40"/>
      <c r="K938" s="40"/>
      <c r="L938" s="40"/>
      <c r="M938" s="40"/>
    </row>
    <row r="939" spans="1:13">
      <c r="A939" s="40"/>
      <c r="F939" s="38"/>
      <c r="G939" s="38"/>
      <c r="H939" s="38"/>
      <c r="I939" s="40"/>
      <c r="J939" s="40"/>
      <c r="K939" s="40"/>
      <c r="L939" s="40"/>
      <c r="M939" s="40"/>
    </row>
    <row r="940" spans="1:13">
      <c r="A940" s="40"/>
      <c r="F940" s="38"/>
      <c r="G940" s="38"/>
      <c r="H940" s="38"/>
      <c r="I940" s="40"/>
      <c r="J940" s="40"/>
      <c r="K940" s="40"/>
      <c r="L940" s="40"/>
      <c r="M940" s="40"/>
    </row>
    <row r="941" spans="1:13">
      <c r="A941" s="40"/>
      <c r="F941" s="38"/>
      <c r="G941" s="38"/>
      <c r="H941" s="38"/>
      <c r="I941" s="40"/>
      <c r="J941" s="40"/>
      <c r="K941" s="40"/>
      <c r="L941" s="40"/>
      <c r="M941" s="40"/>
    </row>
    <row r="942" spans="1:13">
      <c r="A942" s="40"/>
      <c r="F942" s="38"/>
      <c r="G942" s="38"/>
      <c r="H942" s="38"/>
      <c r="I942" s="40"/>
      <c r="J942" s="40"/>
      <c r="K942" s="40"/>
      <c r="L942" s="40"/>
      <c r="M942" s="40"/>
    </row>
    <row r="943" spans="1:13">
      <c r="A943" s="40"/>
      <c r="F943" s="38"/>
      <c r="G943" s="38"/>
      <c r="H943" s="38"/>
      <c r="I943" s="40"/>
      <c r="J943" s="40"/>
      <c r="K943" s="40"/>
      <c r="L943" s="40"/>
      <c r="M943" s="40"/>
    </row>
    <row r="944" spans="1:13">
      <c r="A944" s="40"/>
      <c r="F944" s="38"/>
      <c r="G944" s="38"/>
      <c r="H944" s="38"/>
      <c r="I944" s="40"/>
      <c r="J944" s="40"/>
      <c r="K944" s="40"/>
      <c r="L944" s="40"/>
      <c r="M944" s="40"/>
    </row>
    <row r="945" spans="1:13">
      <c r="A945" s="40"/>
      <c r="F945" s="38"/>
      <c r="G945" s="38"/>
      <c r="H945" s="38"/>
      <c r="I945" s="40"/>
      <c r="J945" s="40"/>
      <c r="K945" s="40"/>
      <c r="L945" s="40"/>
      <c r="M945" s="40"/>
    </row>
    <row r="946" spans="1:13">
      <c r="A946" s="40"/>
      <c r="F946" s="38"/>
      <c r="G946" s="38"/>
      <c r="H946" s="38"/>
      <c r="I946" s="40"/>
      <c r="J946" s="40"/>
      <c r="K946" s="40"/>
      <c r="L946" s="40"/>
      <c r="M946" s="40"/>
    </row>
    <row r="947" spans="1:13">
      <c r="A947" s="40"/>
      <c r="F947" s="38"/>
      <c r="G947" s="38"/>
      <c r="H947" s="38"/>
      <c r="I947" s="40"/>
      <c r="J947" s="40"/>
      <c r="K947" s="40"/>
      <c r="L947" s="40"/>
      <c r="M947" s="40"/>
    </row>
    <row r="948" spans="1:13">
      <c r="A948" s="40"/>
      <c r="F948" s="38"/>
      <c r="G948" s="38"/>
      <c r="H948" s="38"/>
      <c r="I948" s="40"/>
      <c r="J948" s="40"/>
      <c r="K948" s="40"/>
      <c r="L948" s="40"/>
      <c r="M948" s="40"/>
    </row>
    <row r="949" spans="1:13">
      <c r="A949" s="40"/>
      <c r="F949" s="38"/>
      <c r="G949" s="38"/>
      <c r="H949" s="38"/>
      <c r="I949" s="40"/>
      <c r="J949" s="40"/>
      <c r="K949" s="40"/>
      <c r="L949" s="40"/>
      <c r="M949" s="40"/>
    </row>
    <row r="950" spans="1:13">
      <c r="A950" s="40"/>
      <c r="F950" s="38"/>
      <c r="G950" s="38"/>
      <c r="H950" s="38"/>
      <c r="I950" s="40"/>
      <c r="J950" s="40"/>
      <c r="K950" s="40"/>
      <c r="L950" s="40"/>
      <c r="M950" s="40"/>
    </row>
    <row r="951" spans="1:13">
      <c r="A951" s="40"/>
      <c r="F951" s="38"/>
      <c r="G951" s="38"/>
      <c r="H951" s="38"/>
      <c r="I951" s="40"/>
      <c r="J951" s="40"/>
      <c r="K951" s="40"/>
      <c r="L951" s="40"/>
      <c r="M951" s="40"/>
    </row>
    <row r="952" spans="1:13">
      <c r="A952" s="40"/>
      <c r="F952" s="38"/>
      <c r="G952" s="38"/>
      <c r="H952" s="38"/>
      <c r="I952" s="40"/>
      <c r="J952" s="40"/>
      <c r="K952" s="40"/>
      <c r="L952" s="40"/>
      <c r="M952" s="40"/>
    </row>
    <row r="953" spans="1:13">
      <c r="A953" s="40"/>
      <c r="F953" s="38"/>
      <c r="G953" s="38"/>
      <c r="H953" s="38"/>
      <c r="I953" s="40"/>
      <c r="J953" s="40"/>
      <c r="K953" s="40"/>
      <c r="L953" s="40"/>
      <c r="M953" s="40"/>
    </row>
    <row r="954" spans="1:13">
      <c r="A954" s="40"/>
      <c r="F954" s="38"/>
      <c r="G954" s="38"/>
      <c r="H954" s="38"/>
      <c r="I954" s="40"/>
      <c r="J954" s="40"/>
      <c r="K954" s="40"/>
      <c r="L954" s="40"/>
      <c r="M954" s="40"/>
    </row>
    <row r="955" spans="1:13">
      <c r="A955" s="40"/>
      <c r="F955" s="38"/>
      <c r="G955" s="38"/>
      <c r="H955" s="38"/>
      <c r="I955" s="40"/>
      <c r="J955" s="40"/>
      <c r="K955" s="40"/>
      <c r="L955" s="40"/>
      <c r="M955" s="40"/>
    </row>
    <row r="956" spans="1:13">
      <c r="A956" s="40"/>
      <c r="F956" s="38"/>
      <c r="G956" s="38"/>
      <c r="H956" s="38"/>
      <c r="I956" s="40"/>
      <c r="J956" s="40"/>
      <c r="K956" s="40"/>
      <c r="L956" s="40"/>
      <c r="M956" s="40"/>
    </row>
    <row r="957" spans="1:13">
      <c r="A957" s="40"/>
      <c r="F957" s="38"/>
      <c r="G957" s="38"/>
      <c r="H957" s="38"/>
      <c r="I957" s="40"/>
      <c r="J957" s="40"/>
      <c r="K957" s="40"/>
      <c r="L957" s="40"/>
      <c r="M957" s="40"/>
    </row>
    <row r="958" spans="1:13">
      <c r="A958" s="40"/>
      <c r="F958" s="38"/>
      <c r="G958" s="38"/>
      <c r="H958" s="38"/>
      <c r="I958" s="40"/>
      <c r="J958" s="40"/>
      <c r="K958" s="40"/>
      <c r="L958" s="40"/>
      <c r="M958" s="40"/>
    </row>
    <row r="959" spans="1:13">
      <c r="A959" s="40"/>
      <c r="F959" s="38"/>
      <c r="G959" s="38"/>
      <c r="H959" s="38"/>
      <c r="I959" s="40"/>
      <c r="J959" s="40"/>
      <c r="K959" s="40"/>
      <c r="L959" s="40"/>
      <c r="M959" s="40"/>
    </row>
    <row r="960" spans="1:13">
      <c r="A960" s="40"/>
      <c r="F960" s="38"/>
      <c r="G960" s="38"/>
      <c r="H960" s="38"/>
      <c r="I960" s="40"/>
      <c r="J960" s="40"/>
      <c r="K960" s="40"/>
      <c r="L960" s="40"/>
      <c r="M960" s="40"/>
    </row>
    <row r="961" spans="1:13">
      <c r="A961" s="40"/>
      <c r="F961" s="38"/>
      <c r="G961" s="38"/>
      <c r="H961" s="38"/>
      <c r="I961" s="40"/>
      <c r="J961" s="40"/>
      <c r="K961" s="40"/>
      <c r="L961" s="40"/>
      <c r="M961" s="40"/>
    </row>
    <row r="962" spans="1:13">
      <c r="A962" s="40"/>
      <c r="F962" s="38"/>
      <c r="G962" s="38"/>
      <c r="H962" s="38"/>
      <c r="I962" s="40"/>
      <c r="J962" s="40"/>
      <c r="K962" s="40"/>
      <c r="L962" s="40"/>
      <c r="M962" s="40"/>
    </row>
    <row r="963" spans="1:13">
      <c r="A963" s="40"/>
      <c r="F963" s="38"/>
      <c r="G963" s="38"/>
      <c r="H963" s="38"/>
      <c r="I963" s="40"/>
      <c r="J963" s="40"/>
      <c r="K963" s="40"/>
      <c r="L963" s="40"/>
      <c r="M963" s="40"/>
    </row>
    <row r="964" spans="1:13">
      <c r="A964" s="40"/>
      <c r="F964" s="38"/>
      <c r="G964" s="38"/>
      <c r="H964" s="38"/>
      <c r="I964" s="40"/>
      <c r="J964" s="40"/>
      <c r="K964" s="40"/>
      <c r="L964" s="40"/>
      <c r="M964" s="40"/>
    </row>
    <row r="965" spans="1:13">
      <c r="A965" s="40"/>
      <c r="F965" s="38"/>
      <c r="G965" s="38"/>
      <c r="H965" s="38"/>
      <c r="I965" s="40"/>
      <c r="J965" s="40"/>
      <c r="K965" s="40"/>
      <c r="L965" s="40"/>
      <c r="M965" s="40"/>
    </row>
    <row r="966" spans="1:13">
      <c r="A966" s="40"/>
      <c r="F966" s="38"/>
      <c r="G966" s="38"/>
      <c r="H966" s="38"/>
      <c r="I966" s="40"/>
      <c r="J966" s="40"/>
      <c r="K966" s="40"/>
      <c r="L966" s="40"/>
      <c r="M966" s="40"/>
    </row>
    <row r="967" spans="1:13">
      <c r="A967" s="40"/>
      <c r="F967" s="38"/>
      <c r="G967" s="38"/>
      <c r="H967" s="38"/>
      <c r="I967" s="40"/>
      <c r="J967" s="40"/>
      <c r="K967" s="40"/>
      <c r="L967" s="40"/>
      <c r="M967" s="40"/>
    </row>
    <row r="968" spans="1:13">
      <c r="A968" s="40"/>
      <c r="F968" s="38"/>
      <c r="G968" s="38"/>
      <c r="H968" s="38"/>
      <c r="I968" s="40"/>
      <c r="J968" s="40"/>
      <c r="K968" s="40"/>
      <c r="L968" s="40"/>
      <c r="M968" s="40"/>
    </row>
    <row r="969" spans="1:13">
      <c r="A969" s="40"/>
      <c r="F969" s="38"/>
      <c r="G969" s="38"/>
      <c r="H969" s="38"/>
      <c r="I969" s="40"/>
      <c r="J969" s="40"/>
      <c r="K969" s="40"/>
      <c r="L969" s="40"/>
      <c r="M969" s="40"/>
    </row>
    <row r="970" spans="1:13">
      <c r="A970" s="40"/>
      <c r="F970" s="38"/>
      <c r="G970" s="38"/>
      <c r="H970" s="38"/>
      <c r="I970" s="40"/>
      <c r="J970" s="40"/>
      <c r="K970" s="40"/>
      <c r="L970" s="40"/>
      <c r="M970" s="40"/>
    </row>
    <row r="971" spans="1:13">
      <c r="A971" s="40"/>
      <c r="F971" s="38"/>
      <c r="G971" s="38"/>
      <c r="H971" s="38"/>
      <c r="I971" s="40"/>
      <c r="J971" s="40"/>
      <c r="K971" s="40"/>
      <c r="L971" s="40"/>
      <c r="M971" s="40"/>
    </row>
    <row r="972" spans="1:13">
      <c r="A972" s="40"/>
      <c r="F972" s="38"/>
      <c r="G972" s="38"/>
      <c r="H972" s="38"/>
      <c r="I972" s="40"/>
      <c r="J972" s="40"/>
      <c r="K972" s="40"/>
      <c r="L972" s="40"/>
      <c r="M972" s="40"/>
    </row>
    <row r="973" spans="1:13">
      <c r="A973" s="40"/>
      <c r="F973" s="38"/>
      <c r="G973" s="38"/>
      <c r="H973" s="38"/>
      <c r="I973" s="40"/>
      <c r="J973" s="40"/>
      <c r="K973" s="40"/>
      <c r="L973" s="40"/>
      <c r="M973" s="40"/>
    </row>
    <row r="974" spans="1:13">
      <c r="A974" s="40"/>
      <c r="F974" s="38"/>
      <c r="G974" s="38"/>
      <c r="H974" s="38"/>
      <c r="I974" s="40"/>
      <c r="J974" s="40"/>
      <c r="K974" s="40"/>
      <c r="L974" s="40"/>
      <c r="M974" s="40"/>
    </row>
    <row r="975" spans="1:13">
      <c r="A975" s="40"/>
      <c r="F975" s="38"/>
      <c r="G975" s="38"/>
      <c r="H975" s="38"/>
      <c r="I975" s="40"/>
      <c r="J975" s="40"/>
      <c r="K975" s="40"/>
      <c r="L975" s="40"/>
      <c r="M975" s="40"/>
    </row>
    <row r="976" spans="1:13">
      <c r="A976" s="40"/>
      <c r="F976" s="38"/>
      <c r="G976" s="38"/>
      <c r="H976" s="38"/>
      <c r="I976" s="40"/>
      <c r="J976" s="40"/>
      <c r="K976" s="40"/>
      <c r="L976" s="40"/>
      <c r="M976" s="40"/>
    </row>
    <row r="977" spans="1:13">
      <c r="A977" s="40"/>
      <c r="F977" s="38"/>
      <c r="G977" s="38"/>
      <c r="H977" s="38"/>
      <c r="I977" s="40"/>
      <c r="J977" s="40"/>
      <c r="K977" s="40"/>
      <c r="L977" s="40"/>
      <c r="M977" s="40"/>
    </row>
    <row r="978" spans="1:13">
      <c r="A978" s="40"/>
      <c r="F978" s="38"/>
      <c r="G978" s="38"/>
      <c r="H978" s="38"/>
      <c r="I978" s="40"/>
      <c r="J978" s="40"/>
      <c r="K978" s="40"/>
      <c r="L978" s="40"/>
      <c r="M978" s="40"/>
    </row>
    <row r="979" spans="1:13">
      <c r="A979" s="40"/>
      <c r="F979" s="38"/>
      <c r="G979" s="38"/>
      <c r="H979" s="38"/>
      <c r="I979" s="40"/>
      <c r="J979" s="40"/>
      <c r="K979" s="40"/>
      <c r="L979" s="40"/>
      <c r="M979" s="40"/>
    </row>
    <row r="980" spans="1:13">
      <c r="A980" s="40"/>
      <c r="F980" s="38"/>
      <c r="G980" s="38"/>
      <c r="H980" s="38"/>
      <c r="I980" s="40"/>
      <c r="J980" s="40"/>
      <c r="K980" s="40"/>
      <c r="L980" s="40"/>
      <c r="M980" s="40"/>
    </row>
    <row r="981" spans="1:13">
      <c r="A981" s="40"/>
      <c r="F981" s="38"/>
      <c r="G981" s="38"/>
      <c r="H981" s="38"/>
      <c r="I981" s="40"/>
      <c r="J981" s="40"/>
      <c r="K981" s="40"/>
      <c r="L981" s="40"/>
      <c r="M981" s="40"/>
    </row>
    <row r="982" spans="1:13">
      <c r="A982" s="40"/>
      <c r="F982" s="38"/>
      <c r="G982" s="38"/>
      <c r="H982" s="38"/>
      <c r="I982" s="40"/>
      <c r="J982" s="40"/>
      <c r="K982" s="40"/>
      <c r="L982" s="40"/>
      <c r="M982" s="40"/>
    </row>
    <row r="983" spans="1:13">
      <c r="A983" s="40"/>
      <c r="F983" s="38"/>
      <c r="G983" s="38"/>
      <c r="H983" s="38"/>
      <c r="I983" s="40"/>
      <c r="J983" s="40"/>
      <c r="K983" s="40"/>
      <c r="L983" s="40"/>
      <c r="M983" s="40"/>
    </row>
    <row r="984" spans="1:13">
      <c r="A984" s="40"/>
      <c r="F984" s="38"/>
      <c r="G984" s="38"/>
      <c r="H984" s="38"/>
      <c r="I984" s="40"/>
      <c r="J984" s="40"/>
      <c r="K984" s="40"/>
      <c r="L984" s="40"/>
      <c r="M984" s="40"/>
    </row>
    <row r="985" spans="1:13">
      <c r="A985" s="40"/>
      <c r="F985" s="38"/>
      <c r="G985" s="38"/>
      <c r="H985" s="38"/>
      <c r="I985" s="40"/>
      <c r="J985" s="40"/>
      <c r="K985" s="40"/>
      <c r="L985" s="40"/>
      <c r="M985" s="40"/>
    </row>
    <row r="986" spans="1:13">
      <c r="A986" s="40"/>
      <c r="F986" s="38"/>
      <c r="G986" s="38"/>
      <c r="H986" s="38"/>
      <c r="I986" s="40"/>
      <c r="J986" s="40"/>
      <c r="K986" s="40"/>
      <c r="L986" s="40"/>
      <c r="M986" s="40"/>
    </row>
    <row r="987" spans="1:13">
      <c r="A987" s="40"/>
      <c r="F987" s="38"/>
      <c r="G987" s="38"/>
      <c r="H987" s="38"/>
      <c r="I987" s="40"/>
      <c r="J987" s="40"/>
      <c r="K987" s="40"/>
      <c r="L987" s="40"/>
      <c r="M987" s="40"/>
    </row>
    <row r="988" spans="1:13">
      <c r="A988" s="40"/>
      <c r="F988" s="38"/>
      <c r="G988" s="38"/>
      <c r="H988" s="38"/>
      <c r="I988" s="40"/>
      <c r="J988" s="40"/>
      <c r="K988" s="40"/>
      <c r="L988" s="40"/>
      <c r="M988" s="40"/>
    </row>
    <row r="989" spans="1:13">
      <c r="A989" s="40"/>
      <c r="F989" s="38"/>
      <c r="G989" s="38"/>
      <c r="H989" s="38"/>
      <c r="I989" s="40"/>
      <c r="J989" s="40"/>
      <c r="K989" s="40"/>
      <c r="L989" s="40"/>
      <c r="M989" s="40"/>
    </row>
    <row r="990" spans="1:13">
      <c r="A990" s="40"/>
      <c r="F990" s="38"/>
      <c r="G990" s="38"/>
      <c r="H990" s="38"/>
      <c r="I990" s="40"/>
      <c r="J990" s="40"/>
      <c r="K990" s="40"/>
      <c r="L990" s="40"/>
      <c r="M990" s="40"/>
    </row>
    <row r="991" spans="1:13">
      <c r="A991" s="40"/>
      <c r="F991" s="38"/>
      <c r="G991" s="38"/>
      <c r="H991" s="38"/>
      <c r="I991" s="40"/>
      <c r="J991" s="40"/>
      <c r="K991" s="40"/>
      <c r="L991" s="40"/>
      <c r="M991" s="40"/>
    </row>
    <row r="992" spans="1:13">
      <c r="A992" s="40"/>
      <c r="F992" s="38"/>
      <c r="G992" s="38"/>
      <c r="H992" s="38"/>
      <c r="I992" s="40"/>
      <c r="J992" s="40"/>
      <c r="K992" s="40"/>
      <c r="L992" s="40"/>
      <c r="M992" s="40"/>
    </row>
    <row r="993" spans="1:13">
      <c r="A993" s="40"/>
      <c r="F993" s="38"/>
      <c r="G993" s="38"/>
      <c r="H993" s="38"/>
      <c r="I993" s="40"/>
      <c r="J993" s="40"/>
      <c r="K993" s="40"/>
      <c r="L993" s="40"/>
      <c r="M993" s="40"/>
    </row>
    <row r="994" spans="1:13">
      <c r="A994" s="40"/>
      <c r="F994" s="38"/>
      <c r="G994" s="38"/>
      <c r="H994" s="38"/>
      <c r="I994" s="40"/>
      <c r="J994" s="40"/>
      <c r="K994" s="40"/>
      <c r="L994" s="40"/>
      <c r="M994" s="40"/>
    </row>
    <row r="995" spans="1:13">
      <c r="A995" s="40"/>
      <c r="F995" s="38"/>
      <c r="G995" s="38"/>
      <c r="H995" s="38"/>
      <c r="I995" s="40"/>
      <c r="J995" s="40"/>
      <c r="K995" s="40"/>
      <c r="L995" s="40"/>
      <c r="M995" s="40"/>
    </row>
    <row r="996" spans="1:13">
      <c r="A996" s="40"/>
      <c r="F996" s="38"/>
      <c r="G996" s="38"/>
      <c r="H996" s="38"/>
      <c r="I996" s="40"/>
      <c r="J996" s="40"/>
      <c r="K996" s="40"/>
      <c r="L996" s="40"/>
      <c r="M996" s="40"/>
    </row>
    <row r="997" spans="1:13">
      <c r="A997" s="40"/>
      <c r="F997" s="38"/>
      <c r="G997" s="38"/>
      <c r="H997" s="38"/>
      <c r="I997" s="40"/>
      <c r="J997" s="40"/>
      <c r="K997" s="40"/>
      <c r="L997" s="40"/>
      <c r="M997" s="40"/>
    </row>
    <row r="998" spans="1:13">
      <c r="A998" s="40"/>
      <c r="F998" s="38"/>
      <c r="G998" s="38"/>
      <c r="H998" s="38"/>
      <c r="I998" s="40"/>
      <c r="J998" s="40"/>
      <c r="K998" s="40"/>
      <c r="L998" s="40"/>
      <c r="M998" s="40"/>
    </row>
    <row r="999" spans="1:13">
      <c r="A999" s="40"/>
      <c r="F999" s="38"/>
      <c r="G999" s="38"/>
      <c r="H999" s="38"/>
      <c r="I999" s="40"/>
      <c r="J999" s="40"/>
      <c r="K999" s="40"/>
      <c r="L999" s="40"/>
      <c r="M999" s="40"/>
    </row>
    <row r="1000" spans="1:13">
      <c r="A1000" s="40"/>
      <c r="F1000" s="38"/>
      <c r="G1000" s="38"/>
      <c r="H1000" s="38"/>
      <c r="I1000" s="40"/>
      <c r="J1000" s="40"/>
      <c r="K1000" s="40"/>
      <c r="L1000" s="40"/>
      <c r="M1000" s="40"/>
    </row>
    <row r="1001" spans="1:13">
      <c r="A1001" s="40"/>
      <c r="F1001" s="38"/>
      <c r="G1001" s="38"/>
      <c r="H1001" s="38"/>
      <c r="I1001" s="40"/>
      <c r="J1001" s="40"/>
      <c r="K1001" s="40"/>
      <c r="L1001" s="40"/>
      <c r="M1001" s="40"/>
    </row>
    <row r="1002" spans="1:13">
      <c r="A1002" s="40"/>
      <c r="F1002" s="38"/>
      <c r="G1002" s="38"/>
      <c r="H1002" s="38"/>
      <c r="I1002" s="40"/>
      <c r="J1002" s="40"/>
      <c r="K1002" s="40"/>
      <c r="L1002" s="40"/>
      <c r="M1002" s="40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A1001"/>
  <sheetViews>
    <sheetView showGridLines="0" workbookViewId="0">
      <pane xSplit="5" topLeftCell="F1" activePane="topRight" state="frozen"/>
      <selection pane="topRight" activeCell="G2" sqref="G2"/>
    </sheetView>
  </sheetViews>
  <sheetFormatPr defaultColWidth="12.5703125" defaultRowHeight="15.75" customHeight="1"/>
  <cols>
    <col min="1" max="1" width="9.85546875" customWidth="1"/>
    <col min="2" max="2" width="19.5703125" customWidth="1"/>
  </cols>
  <sheetData>
    <row r="1" spans="1:53">
      <c r="A1" s="21"/>
      <c r="B1" s="22"/>
      <c r="C1" s="22"/>
      <c r="D1" s="22"/>
      <c r="E1" s="22"/>
      <c r="F1" s="23" t="s">
        <v>45</v>
      </c>
      <c r="G1" s="23" t="s">
        <v>46</v>
      </c>
      <c r="H1" s="23" t="s">
        <v>47</v>
      </c>
      <c r="I1" s="23" t="s">
        <v>48</v>
      </c>
      <c r="J1" s="23" t="s">
        <v>49</v>
      </c>
      <c r="K1" s="23" t="s">
        <v>50</v>
      </c>
      <c r="L1" s="23" t="s">
        <v>51</v>
      </c>
      <c r="M1" s="24" t="s">
        <v>496</v>
      </c>
      <c r="N1" s="24" t="s">
        <v>54</v>
      </c>
      <c r="O1" s="24" t="s">
        <v>497</v>
      </c>
      <c r="P1" s="24" t="s">
        <v>498</v>
      </c>
      <c r="Q1" s="24" t="s">
        <v>499</v>
      </c>
      <c r="R1" s="24" t="s">
        <v>500</v>
      </c>
      <c r="S1" s="24" t="s">
        <v>57</v>
      </c>
      <c r="T1" s="24" t="s">
        <v>501</v>
      </c>
      <c r="U1" s="24" t="s">
        <v>502</v>
      </c>
      <c r="V1" s="25" t="s">
        <v>59</v>
      </c>
      <c r="W1" t="s">
        <v>60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</row>
    <row r="2" spans="1:53">
      <c r="A2" s="21"/>
      <c r="B2" s="22"/>
      <c r="C2" s="22"/>
      <c r="D2" s="22"/>
      <c r="E2" s="22"/>
      <c r="F2" s="23" t="s">
        <v>93</v>
      </c>
      <c r="G2" s="23" t="s">
        <v>94</v>
      </c>
      <c r="H2" s="23" t="s">
        <v>94</v>
      </c>
      <c r="I2" s="23" t="s">
        <v>95</v>
      </c>
      <c r="J2" s="23" t="s">
        <v>96</v>
      </c>
      <c r="K2" s="23" t="s">
        <v>97</v>
      </c>
      <c r="L2" s="23" t="s">
        <v>94</v>
      </c>
      <c r="M2" s="24" t="s">
        <v>98</v>
      </c>
      <c r="N2" s="24" t="s">
        <v>98</v>
      </c>
      <c r="O2" s="24" t="s">
        <v>98</v>
      </c>
      <c r="P2" s="24" t="s">
        <v>98</v>
      </c>
      <c r="Q2" s="24" t="s">
        <v>98</v>
      </c>
      <c r="R2" s="24" t="s">
        <v>98</v>
      </c>
      <c r="S2" s="24" t="s">
        <v>98</v>
      </c>
      <c r="T2" s="24" t="s">
        <v>98</v>
      </c>
      <c r="U2" s="24" t="s">
        <v>98</v>
      </c>
      <c r="V2" s="24" t="s">
        <v>98</v>
      </c>
      <c r="W2" t="s">
        <v>99</v>
      </c>
      <c r="X2" t="s">
        <v>99</v>
      </c>
      <c r="Y2" t="s">
        <v>99</v>
      </c>
      <c r="Z2" t="s">
        <v>99</v>
      </c>
      <c r="AA2" t="s">
        <v>99</v>
      </c>
      <c r="AB2" t="s">
        <v>99</v>
      </c>
      <c r="AC2" t="s">
        <v>99</v>
      </c>
      <c r="AD2" t="s">
        <v>99</v>
      </c>
      <c r="AE2" t="s">
        <v>99</v>
      </c>
      <c r="AF2" t="s">
        <v>99</v>
      </c>
      <c r="AG2" t="s">
        <v>99</v>
      </c>
      <c r="AH2" t="s">
        <v>99</v>
      </c>
      <c r="AI2" t="s">
        <v>99</v>
      </c>
      <c r="AJ2" t="s">
        <v>99</v>
      </c>
      <c r="AK2" t="s">
        <v>99</v>
      </c>
      <c r="AL2" t="s">
        <v>99</v>
      </c>
      <c r="AM2" t="s">
        <v>99</v>
      </c>
      <c r="AN2" t="s">
        <v>99</v>
      </c>
      <c r="AO2" t="s">
        <v>99</v>
      </c>
      <c r="AP2" t="s">
        <v>94</v>
      </c>
      <c r="AQ2" t="s">
        <v>94</v>
      </c>
      <c r="AR2" t="s">
        <v>94</v>
      </c>
      <c r="AS2" t="s">
        <v>94</v>
      </c>
      <c r="AT2" t="s">
        <v>94</v>
      </c>
      <c r="AU2" t="s">
        <v>94</v>
      </c>
      <c r="AV2" t="s">
        <v>93</v>
      </c>
      <c r="AW2" t="s">
        <v>93</v>
      </c>
      <c r="AX2" t="s">
        <v>93</v>
      </c>
      <c r="AY2" t="s">
        <v>93</v>
      </c>
      <c r="AZ2" t="s">
        <v>100</v>
      </c>
      <c r="BA2" t="s">
        <v>100</v>
      </c>
    </row>
    <row r="3" spans="1:53">
      <c r="A3" s="26"/>
      <c r="B3" s="26"/>
      <c r="C3" s="27"/>
      <c r="D3" s="27"/>
      <c r="E3" s="27"/>
      <c r="F3" s="28">
        <f t="shared" ref="F3:V3" ca="1" si="0">DATEDIF(F4,NOW(),"M")</f>
        <v>8</v>
      </c>
      <c r="G3" s="28">
        <f t="shared" ca="1" si="0"/>
        <v>2</v>
      </c>
      <c r="H3" s="28">
        <f t="shared" ca="1" si="0"/>
        <v>1</v>
      </c>
      <c r="I3" s="28">
        <f t="shared" ca="1" si="0"/>
        <v>1</v>
      </c>
      <c r="J3" s="28">
        <f t="shared" ca="1" si="0"/>
        <v>1</v>
      </c>
      <c r="K3" s="28">
        <f t="shared" ca="1" si="0"/>
        <v>1</v>
      </c>
      <c r="L3" s="28">
        <f t="shared" ca="1" si="0"/>
        <v>1</v>
      </c>
      <c r="M3" s="29">
        <f t="shared" ca="1" si="0"/>
        <v>8</v>
      </c>
      <c r="N3" s="29">
        <f t="shared" ca="1" si="0"/>
        <v>7</v>
      </c>
      <c r="O3" s="29">
        <f t="shared" ca="1" si="0"/>
        <v>6</v>
      </c>
      <c r="P3" s="29">
        <f t="shared" ca="1" si="0"/>
        <v>6</v>
      </c>
      <c r="Q3" s="29">
        <f t="shared" ca="1" si="0"/>
        <v>5</v>
      </c>
      <c r="R3" s="29">
        <f t="shared" ca="1" si="0"/>
        <v>4</v>
      </c>
      <c r="S3" s="29">
        <f t="shared" ca="1" si="0"/>
        <v>4</v>
      </c>
      <c r="T3" s="29">
        <f t="shared" ca="1" si="0"/>
        <v>4</v>
      </c>
      <c r="U3" s="29">
        <f t="shared" ca="1" si="0"/>
        <v>2</v>
      </c>
      <c r="V3" s="30">
        <f t="shared" ca="1" si="0"/>
        <v>1</v>
      </c>
    </row>
    <row r="4" spans="1:53">
      <c r="A4" s="26"/>
      <c r="B4" s="26"/>
      <c r="C4" s="60" t="s">
        <v>101</v>
      </c>
      <c r="D4" s="61"/>
      <c r="E4" s="62"/>
      <c r="F4" s="31">
        <v>45658</v>
      </c>
      <c r="G4" s="31">
        <v>45839</v>
      </c>
      <c r="H4" s="31">
        <v>45870</v>
      </c>
      <c r="I4" s="31">
        <v>45870</v>
      </c>
      <c r="J4" s="31">
        <v>45870</v>
      </c>
      <c r="K4" s="31">
        <v>45870</v>
      </c>
      <c r="L4" s="31">
        <v>45870</v>
      </c>
      <c r="M4" s="32">
        <v>45658</v>
      </c>
      <c r="N4" s="32">
        <v>45689</v>
      </c>
      <c r="O4" s="32">
        <v>45717</v>
      </c>
      <c r="P4" s="32">
        <v>45717</v>
      </c>
      <c r="Q4" s="32">
        <v>45748</v>
      </c>
      <c r="R4" s="32">
        <v>45778</v>
      </c>
      <c r="S4" s="32">
        <v>45778</v>
      </c>
      <c r="T4" s="32">
        <v>45778</v>
      </c>
      <c r="U4" s="32">
        <v>45839</v>
      </c>
      <c r="V4" s="33">
        <v>45870</v>
      </c>
    </row>
    <row r="5" spans="1:53">
      <c r="A5" s="26"/>
      <c r="B5" s="26"/>
      <c r="C5" s="63"/>
      <c r="D5" s="64"/>
      <c r="E5" s="65"/>
      <c r="F5" s="34">
        <v>2025</v>
      </c>
      <c r="G5" s="34">
        <v>2025</v>
      </c>
      <c r="H5" s="34">
        <v>2025</v>
      </c>
      <c r="I5" s="34">
        <v>2025</v>
      </c>
      <c r="J5" s="34">
        <v>2025</v>
      </c>
      <c r="K5" s="34">
        <v>2025</v>
      </c>
      <c r="L5" s="34">
        <v>2025</v>
      </c>
      <c r="M5" s="29">
        <v>2025</v>
      </c>
      <c r="N5" s="29">
        <v>2025</v>
      </c>
      <c r="O5" s="29">
        <v>2025</v>
      </c>
      <c r="P5" s="29">
        <v>2025</v>
      </c>
      <c r="Q5" s="29">
        <v>2025</v>
      </c>
      <c r="R5" s="29">
        <v>2025</v>
      </c>
      <c r="S5" s="29">
        <v>2025</v>
      </c>
      <c r="T5" s="29">
        <v>2025</v>
      </c>
      <c r="U5" s="29">
        <v>2025</v>
      </c>
      <c r="V5" s="30">
        <v>2025</v>
      </c>
    </row>
    <row r="6" spans="1:53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 t="s">
        <v>18</v>
      </c>
      <c r="G6" s="28" t="s">
        <v>19</v>
      </c>
      <c r="H6" s="28" t="s">
        <v>19</v>
      </c>
      <c r="I6" s="28" t="s">
        <v>19</v>
      </c>
      <c r="J6" s="28" t="s">
        <v>18</v>
      </c>
      <c r="K6" s="28" t="s">
        <v>18</v>
      </c>
      <c r="L6" s="28" t="s">
        <v>19</v>
      </c>
      <c r="M6" s="37" t="s">
        <v>15</v>
      </c>
      <c r="N6" s="37" t="s">
        <v>15</v>
      </c>
      <c r="O6" s="37" t="s">
        <v>15</v>
      </c>
      <c r="P6" s="37" t="s">
        <v>15</v>
      </c>
      <c r="Q6" s="37" t="s">
        <v>15</v>
      </c>
      <c r="R6" s="37" t="s">
        <v>15</v>
      </c>
      <c r="S6" s="37" t="s">
        <v>107</v>
      </c>
      <c r="T6" s="37" t="s">
        <v>107</v>
      </c>
      <c r="U6" s="37" t="s">
        <v>15</v>
      </c>
      <c r="V6" s="30" t="s">
        <v>107</v>
      </c>
      <c r="W6" t="s">
        <v>19</v>
      </c>
      <c r="X6" t="s">
        <v>18</v>
      </c>
      <c r="Y6" t="s">
        <v>19</v>
      </c>
      <c r="Z6" t="s">
        <v>19</v>
      </c>
      <c r="AA6" t="s">
        <v>18</v>
      </c>
      <c r="AB6" t="s">
        <v>19</v>
      </c>
      <c r="AC6" t="s">
        <v>19</v>
      </c>
      <c r="AD6" t="s">
        <v>19</v>
      </c>
      <c r="AE6" t="s">
        <v>18</v>
      </c>
      <c r="AF6" t="s">
        <v>18</v>
      </c>
      <c r="AG6" t="s">
        <v>18</v>
      </c>
      <c r="AH6" t="s">
        <v>18</v>
      </c>
      <c r="AI6" t="s">
        <v>19</v>
      </c>
      <c r="AJ6" t="s">
        <v>19</v>
      </c>
      <c r="AK6" t="s">
        <v>19</v>
      </c>
      <c r="AL6" t="s">
        <v>19</v>
      </c>
      <c r="AM6" t="s">
        <v>19</v>
      </c>
      <c r="AN6" t="s">
        <v>19</v>
      </c>
      <c r="AO6" t="s">
        <v>19</v>
      </c>
      <c r="AP6" t="s">
        <v>19</v>
      </c>
      <c r="AQ6" t="s">
        <v>19</v>
      </c>
      <c r="AR6" t="s">
        <v>19</v>
      </c>
      <c r="AS6" t="s">
        <v>19</v>
      </c>
      <c r="AT6" t="s">
        <v>19</v>
      </c>
      <c r="AU6" t="s">
        <v>19</v>
      </c>
      <c r="AV6" t="s">
        <v>19</v>
      </c>
      <c r="AW6" t="s">
        <v>19</v>
      </c>
      <c r="AX6" t="s">
        <v>18</v>
      </c>
      <c r="AY6" t="s">
        <v>18</v>
      </c>
      <c r="AZ6" t="s">
        <v>19</v>
      </c>
      <c r="BA6" t="s">
        <v>18</v>
      </c>
    </row>
    <row r="7" spans="1:53">
      <c r="A7" s="38">
        <v>1</v>
      </c>
      <c r="B7" s="39" t="s">
        <v>28</v>
      </c>
      <c r="C7" s="38">
        <f ca="1">COUNTIFS(F7:V7,"&gt;0",$F$3:V$3,"&lt;13")</f>
        <v>9</v>
      </c>
      <c r="D7" s="38">
        <f ca="1">SUMIF($F$3:V$3,"&lt;13",F7:V7)</f>
        <v>6330</v>
      </c>
      <c r="E7" s="38">
        <f ca="1">IFERROR(__xludf.DUMMYFUNCTION("ARRAY_CONSTRAIN(ARRAYFORMULA(SUMPRODUCT(LARGE(FILTER(F7:V7, F$3:V$3 &lt; 13),{1,2,3,4,5,6,7}))), 1, 1)"),5940)</f>
        <v>5940</v>
      </c>
      <c r="F7" s="38">
        <v>90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40">
        <v>0</v>
      </c>
      <c r="N7" s="40">
        <v>540</v>
      </c>
      <c r="O7" s="40">
        <v>300</v>
      </c>
      <c r="P7" s="40">
        <v>500</v>
      </c>
      <c r="Q7" s="40">
        <v>0</v>
      </c>
      <c r="R7" s="40">
        <v>500</v>
      </c>
      <c r="S7" s="40">
        <v>1000</v>
      </c>
      <c r="T7" s="40">
        <v>900</v>
      </c>
      <c r="U7" s="40">
        <v>500</v>
      </c>
      <c r="V7" s="40">
        <v>2000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45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40</v>
      </c>
      <c r="AT7">
        <v>0</v>
      </c>
      <c r="AU7">
        <v>0</v>
      </c>
      <c r="AV7">
        <v>0</v>
      </c>
      <c r="AW7">
        <v>0</v>
      </c>
      <c r="AX7">
        <v>90</v>
      </c>
      <c r="AY7">
        <v>100</v>
      </c>
      <c r="AZ7">
        <v>0</v>
      </c>
      <c r="BA7">
        <v>0</v>
      </c>
    </row>
    <row r="8" spans="1:53">
      <c r="A8" s="38">
        <v>2</v>
      </c>
      <c r="B8" s="39" t="s">
        <v>30</v>
      </c>
      <c r="C8" s="38">
        <f ca="1">COUNTIFS(F8:V8,"&gt;0",$F$3:V$3,"&lt;13")</f>
        <v>9</v>
      </c>
      <c r="D8" s="38">
        <f ca="1">SUMIF($F$3:V$3,"&lt;13",F8:V8)</f>
        <v>2525</v>
      </c>
      <c r="E8" s="38">
        <f ca="1">IFERROR(__xludf.DUMMYFUNCTION("ARRAY_CONSTRAIN(ARRAYFORMULA(SUMPRODUCT(LARGE(FILTER(F8:V8, F$3:V$3 &lt; 13),{1,2,3,4,5,6,7}))), 1, 1)"),2400)</f>
        <v>2400</v>
      </c>
      <c r="F8" s="38">
        <v>80</v>
      </c>
      <c r="G8" s="38">
        <v>0</v>
      </c>
      <c r="H8" s="38">
        <v>0</v>
      </c>
      <c r="I8" s="38">
        <v>45</v>
      </c>
      <c r="J8" s="38">
        <v>0</v>
      </c>
      <c r="K8" s="38">
        <v>0</v>
      </c>
      <c r="L8" s="38">
        <v>0</v>
      </c>
      <c r="M8" s="40">
        <v>0</v>
      </c>
      <c r="N8" s="40">
        <v>300</v>
      </c>
      <c r="O8" s="40">
        <v>250</v>
      </c>
      <c r="P8" s="40">
        <v>0</v>
      </c>
      <c r="Q8" s="40">
        <v>450</v>
      </c>
      <c r="R8" s="40">
        <v>300</v>
      </c>
      <c r="S8" s="40">
        <v>0</v>
      </c>
      <c r="T8" s="40">
        <v>500</v>
      </c>
      <c r="U8" s="40">
        <v>300</v>
      </c>
      <c r="V8" s="40">
        <v>300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</v>
      </c>
      <c r="AT8">
        <v>0</v>
      </c>
      <c r="AU8">
        <v>40</v>
      </c>
      <c r="AV8">
        <v>0</v>
      </c>
      <c r="AW8">
        <v>0</v>
      </c>
      <c r="AX8">
        <v>80</v>
      </c>
      <c r="AY8">
        <v>0</v>
      </c>
      <c r="AZ8">
        <v>0</v>
      </c>
      <c r="BA8">
        <v>0</v>
      </c>
    </row>
    <row r="9" spans="1:53">
      <c r="A9" s="38">
        <v>3</v>
      </c>
      <c r="B9" s="39" t="s">
        <v>29</v>
      </c>
      <c r="C9" s="38">
        <f ca="1">COUNTIFS(F9:V9,"&gt;0",$F$3:V$3,"&lt;13")</f>
        <v>6</v>
      </c>
      <c r="D9" s="38">
        <f ca="1">SUMIF($F$3:V$3,"&lt;13",F9:V9)</f>
        <v>1815</v>
      </c>
      <c r="E9" s="38">
        <f ca="1">IFERROR(__xludf.DUMMYFUNCTION("ARRAY_CONSTRAIN(ARRAYFORMULA(SUMPRODUCT(LARGE(FILTER(F9:V9, F$3:V$3 &lt; 13),{1,2,3,4,5,6,7}))), 1, 1)"),1815)</f>
        <v>1815</v>
      </c>
      <c r="F9" s="38">
        <v>90</v>
      </c>
      <c r="G9" s="38">
        <v>40</v>
      </c>
      <c r="H9" s="38">
        <v>0</v>
      </c>
      <c r="I9" s="38">
        <v>45</v>
      </c>
      <c r="J9" s="38">
        <v>0</v>
      </c>
      <c r="K9" s="38">
        <v>0</v>
      </c>
      <c r="L9" s="38">
        <v>0</v>
      </c>
      <c r="M9" s="40">
        <v>0</v>
      </c>
      <c r="N9" s="40">
        <v>540</v>
      </c>
      <c r="O9" s="40">
        <v>0</v>
      </c>
      <c r="P9" s="40">
        <v>0</v>
      </c>
      <c r="Q9" s="40">
        <v>0</v>
      </c>
      <c r="R9" s="40">
        <v>0</v>
      </c>
      <c r="S9" s="40">
        <v>600</v>
      </c>
      <c r="T9" s="40">
        <v>0</v>
      </c>
      <c r="U9" s="40">
        <v>0</v>
      </c>
      <c r="V9" s="40">
        <v>500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50</v>
      </c>
      <c r="AM9">
        <v>0</v>
      </c>
      <c r="AN9">
        <v>0</v>
      </c>
      <c r="AO9">
        <v>0</v>
      </c>
      <c r="AP9">
        <v>0</v>
      </c>
      <c r="AQ9">
        <v>0</v>
      </c>
      <c r="AR9">
        <v>40</v>
      </c>
      <c r="AS9">
        <v>50</v>
      </c>
      <c r="AT9">
        <v>0</v>
      </c>
      <c r="AU9">
        <v>45</v>
      </c>
      <c r="AV9">
        <v>35</v>
      </c>
      <c r="AW9">
        <v>50</v>
      </c>
      <c r="AX9">
        <v>90</v>
      </c>
      <c r="AY9">
        <v>80</v>
      </c>
      <c r="AZ9">
        <v>0</v>
      </c>
      <c r="BA9">
        <v>0</v>
      </c>
    </row>
    <row r="10" spans="1:53">
      <c r="A10" s="38">
        <v>4</v>
      </c>
      <c r="B10" s="41" t="s">
        <v>503</v>
      </c>
      <c r="C10" s="38">
        <f ca="1">COUNTIFS(F10:V10,"&gt;0",$F$3:V$3,"&lt;13")</f>
        <v>6</v>
      </c>
      <c r="D10" s="38">
        <f ca="1">SUMIF($F$3:V$3,"&lt;13",F10:V10)</f>
        <v>1265</v>
      </c>
      <c r="E10" s="38">
        <f ca="1">IFERROR(__xludf.DUMMYFUNCTION("ARRAY_CONSTRAIN(ARRAYFORMULA(SUMPRODUCT(LARGE(FILTER(F10:V10, F$3:V$3 &lt; 13),{1,2,3,4,5,6,7}))), 1, 1)"),1265)</f>
        <v>1265</v>
      </c>
      <c r="F10" s="38">
        <v>0</v>
      </c>
      <c r="G10" s="38">
        <v>0</v>
      </c>
      <c r="H10" s="38">
        <v>25</v>
      </c>
      <c r="I10" s="38">
        <v>0</v>
      </c>
      <c r="J10" s="38">
        <v>100</v>
      </c>
      <c r="K10" s="38">
        <v>0</v>
      </c>
      <c r="L10" s="38">
        <v>0</v>
      </c>
      <c r="M10" s="40">
        <v>300</v>
      </c>
      <c r="N10" s="40">
        <v>240</v>
      </c>
      <c r="O10" s="40">
        <v>0</v>
      </c>
      <c r="P10" s="40">
        <v>0</v>
      </c>
      <c r="Q10" s="40">
        <v>0</v>
      </c>
      <c r="R10" s="40">
        <v>0</v>
      </c>
      <c r="S10" s="40">
        <v>400</v>
      </c>
      <c r="T10" s="40">
        <v>0</v>
      </c>
      <c r="U10" s="40">
        <v>0</v>
      </c>
      <c r="V10" s="40">
        <v>200</v>
      </c>
      <c r="W10">
        <v>0</v>
      </c>
      <c r="X10">
        <v>100</v>
      </c>
      <c r="Y10">
        <v>50</v>
      </c>
      <c r="Z10">
        <v>0</v>
      </c>
      <c r="AA10">
        <v>0</v>
      </c>
      <c r="AB10">
        <v>50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100</v>
      </c>
      <c r="AI10">
        <v>0</v>
      </c>
      <c r="AJ10">
        <v>0</v>
      </c>
      <c r="AK10">
        <v>0</v>
      </c>
      <c r="AL10">
        <v>35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>
      <c r="A11" s="38">
        <v>5</v>
      </c>
      <c r="B11" s="39" t="s">
        <v>504</v>
      </c>
      <c r="C11" s="38">
        <f ca="1">COUNTIFS(F11:V11,"&gt;0",$F$3:V$3,"&lt;13")</f>
        <v>7</v>
      </c>
      <c r="D11" s="38">
        <f ca="1">SUMIF($F$3:V$3,"&lt;13",F11:V11)</f>
        <v>1005</v>
      </c>
      <c r="E11" s="38">
        <f ca="1">IFERROR(__xludf.DUMMYFUNCTION("ARRAY_CONSTRAIN(ARRAYFORMULA(SUMPRODUCT(LARGE(FILTER(F11:V11, F$3:V$3 &lt; 13),{1,2,3,4,5,6,7}))), 1, 1)"),1005)</f>
        <v>1005</v>
      </c>
      <c r="F11" s="38">
        <v>70</v>
      </c>
      <c r="G11" s="38">
        <v>30</v>
      </c>
      <c r="H11" s="38">
        <v>30</v>
      </c>
      <c r="I11" s="38">
        <v>35</v>
      </c>
      <c r="J11" s="38">
        <v>0</v>
      </c>
      <c r="K11" s="38">
        <v>0</v>
      </c>
      <c r="L11" s="38">
        <v>0</v>
      </c>
      <c r="M11" s="40">
        <v>0</v>
      </c>
      <c r="N11" s="40">
        <v>240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300</v>
      </c>
      <c r="V11" s="40">
        <v>300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35</v>
      </c>
      <c r="AR11">
        <v>35</v>
      </c>
      <c r="AS11">
        <v>40</v>
      </c>
      <c r="AT11">
        <v>0</v>
      </c>
      <c r="AU11">
        <v>35</v>
      </c>
      <c r="AV11">
        <v>50</v>
      </c>
      <c r="AW11">
        <v>35</v>
      </c>
      <c r="AX11">
        <v>70</v>
      </c>
      <c r="AY11">
        <v>100</v>
      </c>
      <c r="AZ11">
        <v>0</v>
      </c>
      <c r="BA11">
        <v>0</v>
      </c>
    </row>
    <row r="12" spans="1:53">
      <c r="A12" s="38">
        <v>6</v>
      </c>
      <c r="B12" s="39" t="s">
        <v>505</v>
      </c>
      <c r="C12" s="38">
        <f ca="1">COUNTIFS(F12:V12,"&gt;0",$F$3:V$3,"&lt;13")</f>
        <v>6</v>
      </c>
      <c r="D12" s="38">
        <f ca="1">SUMIF($F$3:V$3,"&lt;13",F12:V12)</f>
        <v>630</v>
      </c>
      <c r="E12" s="38">
        <f ca="1">IFERROR(__xludf.DUMMYFUNCTION("ARRAY_CONSTRAIN(ARRAYFORMULA(SUMPRODUCT(LARGE(FILTER(F12:V12, F$3:V$3 &lt; 13),{1,2,3,4,5,6,7}))), 1, 1)"),630)</f>
        <v>630</v>
      </c>
      <c r="F12" s="38">
        <v>80</v>
      </c>
      <c r="G12" s="38">
        <v>25</v>
      </c>
      <c r="H12" s="38">
        <v>30</v>
      </c>
      <c r="I12" s="38">
        <v>50</v>
      </c>
      <c r="J12" s="38">
        <v>0</v>
      </c>
      <c r="K12" s="38">
        <v>0</v>
      </c>
      <c r="L12" s="38">
        <v>45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400</v>
      </c>
      <c r="T12" s="40">
        <v>0</v>
      </c>
      <c r="U12" s="40">
        <v>0</v>
      </c>
      <c r="V12" s="40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100</v>
      </c>
      <c r="AI12">
        <v>50</v>
      </c>
      <c r="AJ12">
        <v>40</v>
      </c>
      <c r="AK12">
        <v>40</v>
      </c>
      <c r="AL12">
        <v>40</v>
      </c>
      <c r="AM12">
        <v>0</v>
      </c>
      <c r="AN12">
        <v>0</v>
      </c>
      <c r="AO12">
        <v>30</v>
      </c>
      <c r="AP12">
        <v>40</v>
      </c>
      <c r="AQ12">
        <v>35</v>
      </c>
      <c r="AR12">
        <v>35</v>
      </c>
      <c r="AS12">
        <v>35</v>
      </c>
      <c r="AT12">
        <v>0</v>
      </c>
      <c r="AU12">
        <v>0</v>
      </c>
      <c r="AV12">
        <v>0</v>
      </c>
      <c r="AW12">
        <v>40</v>
      </c>
      <c r="AX12">
        <v>80</v>
      </c>
      <c r="AY12">
        <v>70</v>
      </c>
      <c r="AZ12">
        <v>0</v>
      </c>
      <c r="BA12">
        <v>0</v>
      </c>
    </row>
    <row r="13" spans="1:53">
      <c r="A13" s="38">
        <v>7</v>
      </c>
      <c r="B13" s="41" t="s">
        <v>506</v>
      </c>
      <c r="C13" s="38">
        <f ca="1">COUNTIFS(F13:V13,"&gt;0",$F$3:V$3,"&lt;13")</f>
        <v>2</v>
      </c>
      <c r="D13" s="38">
        <f ca="1">SUMIF($F$3:V$3,"&lt;13",F13:V13)</f>
        <v>490</v>
      </c>
      <c r="E13" s="38">
        <f ca="1">IFERROR(__xludf.DUMMYFUNCTION("ARRAY_CONSTRAIN(ARRAYFORMULA(SUMPRODUCT(LARGE(FILTER(F13:V13, F$3:V$3 &lt; 13),{1,2,3,4,5,6,7}))), 1, 1)"),490)</f>
        <v>490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40">
        <v>0</v>
      </c>
      <c r="N13" s="40">
        <v>240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250</v>
      </c>
      <c r="V13" s="40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100</v>
      </c>
      <c r="AI13">
        <v>0</v>
      </c>
      <c r="AJ13">
        <v>0</v>
      </c>
      <c r="AK13">
        <v>45</v>
      </c>
      <c r="AL13">
        <v>35</v>
      </c>
      <c r="AM13">
        <v>0</v>
      </c>
      <c r="AN13">
        <v>0</v>
      </c>
      <c r="AO13">
        <v>30</v>
      </c>
      <c r="AP13">
        <v>0</v>
      </c>
      <c r="AQ13">
        <v>0</v>
      </c>
      <c r="AR13">
        <v>0</v>
      </c>
      <c r="AS13">
        <v>40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>
      <c r="A14" s="38">
        <v>8</v>
      </c>
      <c r="B14" s="41" t="s">
        <v>507</v>
      </c>
      <c r="C14" s="38">
        <f ca="1">COUNTIFS(F14:V14,"&gt;0",$F$3:V$3,"&lt;13")</f>
        <v>2</v>
      </c>
      <c r="D14" s="38">
        <f ca="1">SUMIF($F$3:V$3,"&lt;13",F14:V14)</f>
        <v>490</v>
      </c>
      <c r="E14" s="38">
        <f ca="1">IFERROR(__xludf.DUMMYFUNCTION("ARRAY_CONSTRAIN(ARRAYFORMULA(SUMPRODUCT(LARGE(FILTER(F14:V14, F$3:V$3 &lt; 13),{1,2,3,4,5,6,7}))), 1, 1)"),490)</f>
        <v>490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40">
        <v>0</v>
      </c>
      <c r="N14" s="40">
        <v>240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250</v>
      </c>
      <c r="V14" s="40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>
      <c r="A15" s="38">
        <v>9</v>
      </c>
      <c r="B15" s="39" t="s">
        <v>44</v>
      </c>
      <c r="C15" s="38">
        <f ca="1">COUNTIFS(F15:V15,"&gt;0",$F$3:V$3,"&lt;13")</f>
        <v>4</v>
      </c>
      <c r="D15" s="38">
        <f ca="1">SUMIF($F$3:V$3,"&lt;13",F15:V15)</f>
        <v>410</v>
      </c>
      <c r="E15" s="38">
        <f ca="1">IFERROR(__xludf.DUMMYFUNCTION("ARRAY_CONSTRAIN(ARRAYFORMULA(SUMPRODUCT(LARGE(FILTER(F15:V15, F$3:V$3 &lt; 13),{1,2,3,4,5,6,7}))), 1, 1)"),410)</f>
        <v>410</v>
      </c>
      <c r="F15" s="38">
        <v>0</v>
      </c>
      <c r="G15" s="38">
        <v>0</v>
      </c>
      <c r="H15" s="38">
        <v>35</v>
      </c>
      <c r="I15" s="38">
        <v>45</v>
      </c>
      <c r="J15" s="38">
        <v>90</v>
      </c>
      <c r="K15" s="38">
        <v>0</v>
      </c>
      <c r="L15" s="38">
        <v>0</v>
      </c>
      <c r="M15" s="40">
        <v>0</v>
      </c>
      <c r="N15" s="40">
        <v>240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>
        <v>50</v>
      </c>
      <c r="X15">
        <v>0</v>
      </c>
      <c r="Y15">
        <v>0</v>
      </c>
      <c r="Z15">
        <v>50</v>
      </c>
      <c r="AA15">
        <v>100</v>
      </c>
      <c r="AB15">
        <v>45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100</v>
      </c>
      <c r="AI15">
        <v>0</v>
      </c>
      <c r="AJ15">
        <v>0</v>
      </c>
      <c r="AK15">
        <v>0</v>
      </c>
      <c r="AL15">
        <v>40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90</v>
      </c>
      <c r="AZ15">
        <v>0</v>
      </c>
      <c r="BA15">
        <v>0</v>
      </c>
    </row>
    <row r="16" spans="1:53">
      <c r="A16" s="38">
        <v>10</v>
      </c>
      <c r="B16" s="41" t="s">
        <v>508</v>
      </c>
      <c r="C16" s="38">
        <f ca="1">COUNTIFS(F16:V16,"&gt;0",$F$3:V$3,"&lt;13")</f>
        <v>5</v>
      </c>
      <c r="D16" s="38">
        <f ca="1">SUMIF($F$3:V$3,"&lt;13",F16:V16)</f>
        <v>245</v>
      </c>
      <c r="E16" s="38">
        <f ca="1">IFERROR(__xludf.DUMMYFUNCTION("ARRAY_CONSTRAIN(ARRAYFORMULA(SUMPRODUCT(LARGE(FILTER(F16:V16, F$3:V$3 &lt; 13),{1,2,3,4,5,6,7}))), 1, 1)"),245)</f>
        <v>245</v>
      </c>
      <c r="F16" s="38">
        <v>60</v>
      </c>
      <c r="G16" s="38">
        <v>25</v>
      </c>
      <c r="H16" s="38">
        <v>25</v>
      </c>
      <c r="I16" s="38">
        <v>0</v>
      </c>
      <c r="J16" s="38">
        <v>0</v>
      </c>
      <c r="K16" s="38">
        <v>100</v>
      </c>
      <c r="L16" s="38">
        <v>35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50</v>
      </c>
      <c r="AD16">
        <v>0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40</v>
      </c>
      <c r="AL16">
        <v>0</v>
      </c>
      <c r="AM16">
        <v>0</v>
      </c>
      <c r="AN16">
        <v>0</v>
      </c>
      <c r="AO16">
        <v>0</v>
      </c>
      <c r="AP16">
        <v>40</v>
      </c>
      <c r="AQ16">
        <v>35</v>
      </c>
      <c r="AR16">
        <v>35</v>
      </c>
      <c r="AS16">
        <v>35</v>
      </c>
      <c r="AT16">
        <v>40</v>
      </c>
      <c r="AU16">
        <v>0</v>
      </c>
      <c r="AV16">
        <v>0</v>
      </c>
      <c r="AW16">
        <v>0</v>
      </c>
      <c r="AX16">
        <v>60</v>
      </c>
      <c r="AY16">
        <v>0</v>
      </c>
      <c r="AZ16">
        <v>0</v>
      </c>
      <c r="BA16">
        <v>0</v>
      </c>
    </row>
    <row r="17" spans="1:53">
      <c r="A17" s="38">
        <v>11</v>
      </c>
      <c r="B17" s="41" t="s">
        <v>509</v>
      </c>
      <c r="C17" s="38">
        <f ca="1">COUNTIFS(F17:V17,"&gt;0",$F$3:V$3,"&lt;13")</f>
        <v>4</v>
      </c>
      <c r="D17" s="38">
        <f ca="1">SUMIF($F$3:V$3,"&lt;13",F17:V17)</f>
        <v>215</v>
      </c>
      <c r="E17" s="38">
        <f ca="1">IFERROR(__xludf.DUMMYFUNCTION("ARRAY_CONSTRAIN(ARRAYFORMULA(SUMPRODUCT(LARGE(FILTER(F17:V17, F$3:V$3 &lt; 13),{1,2,3,4,5,6,7}))), 1, 1)"),215)</f>
        <v>215</v>
      </c>
      <c r="F17" s="38">
        <v>50</v>
      </c>
      <c r="G17" s="38">
        <v>0</v>
      </c>
      <c r="H17" s="38">
        <v>30</v>
      </c>
      <c r="I17" s="38">
        <v>45</v>
      </c>
      <c r="J17" s="38">
        <v>0</v>
      </c>
      <c r="K17" s="38">
        <v>90</v>
      </c>
      <c r="L17" s="38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35</v>
      </c>
      <c r="AS17">
        <v>0</v>
      </c>
      <c r="AT17">
        <v>0</v>
      </c>
      <c r="AU17">
        <v>0</v>
      </c>
      <c r="AV17">
        <v>30</v>
      </c>
      <c r="AW17">
        <v>0</v>
      </c>
      <c r="AX17">
        <v>50</v>
      </c>
      <c r="AY17">
        <v>60</v>
      </c>
      <c r="AZ17">
        <v>0</v>
      </c>
      <c r="BA17">
        <v>0</v>
      </c>
    </row>
    <row r="18" spans="1:53">
      <c r="A18" s="38">
        <v>12</v>
      </c>
      <c r="B18" s="41" t="s">
        <v>510</v>
      </c>
      <c r="C18" s="38">
        <f ca="1">COUNTIFS(F18:V18,"&gt;0",$F$3:V$3,"&lt;13")</f>
        <v>4</v>
      </c>
      <c r="D18" s="38">
        <f ca="1">SUMIF($F$3:V$3,"&lt;13",F18:V18)</f>
        <v>155</v>
      </c>
      <c r="E18" s="38">
        <f ca="1">IFERROR(__xludf.DUMMYFUNCTION("ARRAY_CONSTRAIN(ARRAYFORMULA(SUMPRODUCT(LARGE(FILTER(F18:V18, F$3:V$3 &lt; 13),{1,2,3,4,5,6,7}))), 1, 1)"),155)</f>
        <v>155</v>
      </c>
      <c r="F18" s="38">
        <v>50</v>
      </c>
      <c r="G18" s="38">
        <v>35</v>
      </c>
      <c r="H18" s="38">
        <v>30</v>
      </c>
      <c r="I18" s="38">
        <v>0</v>
      </c>
      <c r="J18" s="38">
        <v>0</v>
      </c>
      <c r="K18" s="38">
        <v>0</v>
      </c>
      <c r="L18" s="38">
        <v>40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>
        <v>0</v>
      </c>
      <c r="X18">
        <v>0</v>
      </c>
      <c r="Y18">
        <v>0</v>
      </c>
      <c r="Z18">
        <v>0</v>
      </c>
      <c r="AA18">
        <v>90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45</v>
      </c>
      <c r="AK18">
        <v>0</v>
      </c>
      <c r="AL18">
        <v>0</v>
      </c>
      <c r="AM18">
        <v>40</v>
      </c>
      <c r="AN18">
        <v>50</v>
      </c>
      <c r="AO18">
        <v>0</v>
      </c>
      <c r="AP18">
        <v>0</v>
      </c>
      <c r="AQ18">
        <v>40</v>
      </c>
      <c r="AR18">
        <v>35</v>
      </c>
      <c r="AS18">
        <v>40</v>
      </c>
      <c r="AT18">
        <v>0</v>
      </c>
      <c r="AU18">
        <v>50</v>
      </c>
      <c r="AV18">
        <v>45</v>
      </c>
      <c r="AW18">
        <v>45</v>
      </c>
      <c r="AX18">
        <v>100</v>
      </c>
      <c r="AY18">
        <v>60</v>
      </c>
      <c r="AZ18">
        <v>0</v>
      </c>
      <c r="BA18">
        <v>0</v>
      </c>
    </row>
    <row r="19" spans="1:53">
      <c r="A19" s="38">
        <v>13</v>
      </c>
      <c r="B19" s="39" t="s">
        <v>511</v>
      </c>
      <c r="C19" s="38">
        <f ca="1">COUNTIFS(F19:V19,"&gt;0",$F$3:V$3,"&lt;13")</f>
        <v>3</v>
      </c>
      <c r="D19" s="38">
        <f ca="1">SUMIF($F$3:V$3,"&lt;13",F19:V19)</f>
        <v>110</v>
      </c>
      <c r="E19" s="38">
        <f ca="1">IFERROR(__xludf.DUMMYFUNCTION("ARRAY_CONSTRAIN(ARRAYFORMULA(SUMPRODUCT(LARGE(FILTER(F19:V19, F$3:V$3 &lt; 13),{1,2,3,4,5,6,7}))), 1, 1)"),110)</f>
        <v>110</v>
      </c>
      <c r="F19" s="38">
        <v>0</v>
      </c>
      <c r="G19" s="38">
        <v>35</v>
      </c>
      <c r="H19" s="38">
        <v>40</v>
      </c>
      <c r="I19" s="38">
        <v>0</v>
      </c>
      <c r="J19" s="38">
        <v>0</v>
      </c>
      <c r="K19" s="38">
        <v>0</v>
      </c>
      <c r="L19" s="38">
        <v>35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35</v>
      </c>
      <c r="AL19">
        <v>40</v>
      </c>
      <c r="AM19">
        <v>40</v>
      </c>
      <c r="AN19">
        <v>0</v>
      </c>
      <c r="AO19">
        <v>45</v>
      </c>
      <c r="AP19">
        <v>45</v>
      </c>
      <c r="AQ19">
        <v>40</v>
      </c>
      <c r="AR19">
        <v>40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>
      <c r="A20" s="38">
        <v>14</v>
      </c>
      <c r="B20" s="41" t="s">
        <v>512</v>
      </c>
      <c r="C20" s="38">
        <f ca="1">COUNTIFS(F20:V20,"&gt;0",$F$3:V$3,"&lt;13")</f>
        <v>3</v>
      </c>
      <c r="D20" s="38">
        <f ca="1">SUMIF($F$3:V$3,"&lt;13",F20:V20)</f>
        <v>105</v>
      </c>
      <c r="E20" s="38">
        <f ca="1">IFERROR(__xludf.DUMMYFUNCTION("ARRAY_CONSTRAIN(ARRAYFORMULA(SUMPRODUCT(LARGE(FILTER(F20:V20, F$3:V$3 &lt; 13),{1,2,3,4,5,6,7}))), 1, 1)"),105)</f>
        <v>105</v>
      </c>
      <c r="F20" s="38">
        <v>0</v>
      </c>
      <c r="G20" s="38">
        <v>0</v>
      </c>
      <c r="H20" s="40">
        <v>30</v>
      </c>
      <c r="I20" s="38">
        <v>35</v>
      </c>
      <c r="J20" s="38">
        <v>0</v>
      </c>
      <c r="K20" s="38">
        <v>0</v>
      </c>
      <c r="L20" s="38">
        <v>40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90</v>
      </c>
      <c r="AI20">
        <v>0</v>
      </c>
      <c r="AJ20">
        <v>0</v>
      </c>
      <c r="AK20">
        <v>0</v>
      </c>
      <c r="AL20">
        <v>0</v>
      </c>
      <c r="AM20">
        <v>40</v>
      </c>
      <c r="AN20">
        <v>45</v>
      </c>
      <c r="AO20">
        <v>0</v>
      </c>
      <c r="AP20">
        <v>0</v>
      </c>
      <c r="AQ20">
        <v>0</v>
      </c>
      <c r="AR20">
        <v>35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>
      <c r="A21" s="38">
        <v>15</v>
      </c>
      <c r="B21" s="41" t="s">
        <v>513</v>
      </c>
      <c r="C21" s="38">
        <f ca="1">COUNTIFS(F21:V21,"&gt;0",$F$3:V$3,"&lt;13")</f>
        <v>1</v>
      </c>
      <c r="D21" s="38">
        <f ca="1">SUMIF($F$3:V$3,"&lt;13",F21:V21)</f>
        <v>90</v>
      </c>
      <c r="E21" s="38">
        <f ca="1">IFERROR(__xludf.DUMMYFUNCTION("ARRAY_CONSTRAIN(ARRAYFORMULA(SUMPRODUCT(LARGE(FILTER(F21:V21, F$3:V$3 &lt; 13),{1,2,3,4,5,6,7}))), 1, 1)"),90)</f>
        <v>90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90</v>
      </c>
      <c r="L21" s="38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</v>
      </c>
      <c r="AE21">
        <v>0</v>
      </c>
      <c r="AF21">
        <v>0</v>
      </c>
      <c r="AG21">
        <v>0</v>
      </c>
      <c r="AH21">
        <v>90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>
      <c r="A22" s="38">
        <v>16</v>
      </c>
      <c r="B22" s="39" t="s">
        <v>514</v>
      </c>
      <c r="C22" s="38">
        <f ca="1">COUNTIFS(F22:V22,"&gt;0",$F$3:V$3,"&lt;13")</f>
        <v>2</v>
      </c>
      <c r="D22" s="38">
        <f ca="1">SUMIF($F$3:V$3,"&lt;13",F22:V22)</f>
        <v>85</v>
      </c>
      <c r="E22" s="38">
        <f ca="1">IFERROR(__xludf.DUMMYFUNCTION("ARRAY_CONSTRAIN(ARRAYFORMULA(SUMPRODUCT(LARGE(FILTER(F22:V22, F$3:V$3 &lt; 13),{1,2,3,4,5,6,7}))), 1, 1)"),85)</f>
        <v>85</v>
      </c>
      <c r="F22" s="38">
        <v>0</v>
      </c>
      <c r="G22" s="38">
        <v>40</v>
      </c>
      <c r="H22" s="38">
        <v>45</v>
      </c>
      <c r="I22" s="38">
        <v>0</v>
      </c>
      <c r="J22" s="38">
        <v>0</v>
      </c>
      <c r="K22" s="38">
        <v>0</v>
      </c>
      <c r="L22" s="38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40</v>
      </c>
      <c r="AQ22">
        <v>40</v>
      </c>
      <c r="AR22">
        <v>45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>
      <c r="A23" s="38">
        <v>17</v>
      </c>
      <c r="B23" s="41" t="s">
        <v>515</v>
      </c>
      <c r="C23" s="38">
        <f ca="1">COUNTIFS(F23:V23,"&gt;0",$F$3:V$3,"&lt;13")</f>
        <v>2</v>
      </c>
      <c r="D23" s="38">
        <f ca="1">SUMIF($F$3:V$3,"&lt;13",F23:V23)</f>
        <v>85</v>
      </c>
      <c r="E23" s="38">
        <f ca="1">IFERROR(__xludf.DUMMYFUNCTION("ARRAY_CONSTRAIN(ARRAYFORMULA(SUMPRODUCT(LARGE(FILTER(F23:V23, F$3:V$3 &lt; 13),{1,2,3,4,5,6,7}))), 1, 1)"),85)</f>
        <v>85</v>
      </c>
      <c r="F23" s="38">
        <v>0</v>
      </c>
      <c r="G23" s="38">
        <v>50</v>
      </c>
      <c r="H23" s="38">
        <v>0</v>
      </c>
      <c r="I23" s="38">
        <v>0</v>
      </c>
      <c r="J23" s="38">
        <v>0</v>
      </c>
      <c r="K23" s="38">
        <v>0</v>
      </c>
      <c r="L23" s="38">
        <v>35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40</v>
      </c>
      <c r="AL23">
        <v>0</v>
      </c>
      <c r="AM23">
        <v>0</v>
      </c>
      <c r="AN23">
        <v>0</v>
      </c>
      <c r="AO23">
        <v>0</v>
      </c>
      <c r="AP23">
        <v>50</v>
      </c>
      <c r="AQ23">
        <v>50</v>
      </c>
      <c r="AR23">
        <v>0</v>
      </c>
      <c r="AS23">
        <v>0</v>
      </c>
      <c r="AT23">
        <v>0</v>
      </c>
      <c r="AU23">
        <v>0</v>
      </c>
      <c r="AV23">
        <v>30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>
      <c r="A24" s="38">
        <v>18</v>
      </c>
      <c r="B24" s="39" t="s">
        <v>516</v>
      </c>
      <c r="C24" s="38">
        <f ca="1">COUNTIFS(F24:V24,"&gt;0",$F$3:V$3,"&lt;13")</f>
        <v>2</v>
      </c>
      <c r="D24" s="38">
        <f ca="1">SUMIF($F$3:V$3,"&lt;13",F24:V24)</f>
        <v>80</v>
      </c>
      <c r="E24" s="38">
        <f ca="1">IFERROR(__xludf.DUMMYFUNCTION("ARRAY_CONSTRAIN(ARRAYFORMULA(SUMPRODUCT(LARGE(FILTER(F24:V24, F$3:V$3 &lt; 13),{1,2,3,4,5,6,7}))), 1, 1)"),80)</f>
        <v>80</v>
      </c>
      <c r="F24" s="38">
        <v>50</v>
      </c>
      <c r="G24" s="38">
        <v>30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90</v>
      </c>
      <c r="AI24">
        <v>50</v>
      </c>
      <c r="AJ24">
        <v>0</v>
      </c>
      <c r="AK24">
        <v>0</v>
      </c>
      <c r="AL24">
        <v>40</v>
      </c>
      <c r="AM24">
        <v>45</v>
      </c>
      <c r="AN24">
        <v>0</v>
      </c>
      <c r="AO24">
        <v>50</v>
      </c>
      <c r="AP24">
        <v>0</v>
      </c>
      <c r="AQ24">
        <v>40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50</v>
      </c>
      <c r="AY24">
        <v>0</v>
      </c>
      <c r="AZ24">
        <v>0</v>
      </c>
      <c r="BA24">
        <v>0</v>
      </c>
    </row>
    <row r="25" spans="1:53">
      <c r="A25" s="38">
        <v>19</v>
      </c>
      <c r="B25" s="41" t="s">
        <v>517</v>
      </c>
      <c r="C25" s="38">
        <f ca="1">COUNTIFS(F25:V25,"&gt;0",$F$3:V$3,"&lt;13")</f>
        <v>2</v>
      </c>
      <c r="D25" s="38">
        <f ca="1">SUMIF($F$3:V$3,"&lt;13",F25:V25)</f>
        <v>80</v>
      </c>
      <c r="E25" s="38">
        <f ca="1">IFERROR(__xludf.DUMMYFUNCTION("ARRAY_CONSTRAIN(ARRAYFORMULA(SUMPRODUCT(LARGE(FILTER(F25:V25, F$3:V$3 &lt; 13),{1,2,3,4,5,6,7}))), 1, 1)"),80)</f>
        <v>80</v>
      </c>
      <c r="F25" s="38">
        <v>0</v>
      </c>
      <c r="G25" s="38">
        <v>30</v>
      </c>
      <c r="H25" s="38">
        <v>50</v>
      </c>
      <c r="I25" s="38">
        <v>0</v>
      </c>
      <c r="J25" s="38">
        <v>0</v>
      </c>
      <c r="K25" s="38">
        <v>0</v>
      </c>
      <c r="L25" s="38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35</v>
      </c>
      <c r="AN25">
        <v>40</v>
      </c>
      <c r="AO25">
        <v>0</v>
      </c>
      <c r="AP25">
        <v>40</v>
      </c>
      <c r="AQ25">
        <v>40</v>
      </c>
      <c r="AR25">
        <v>50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>
      <c r="A26" s="38">
        <v>20</v>
      </c>
      <c r="B26" s="39" t="s">
        <v>518</v>
      </c>
      <c r="C26" s="38">
        <f ca="1">COUNTIFS(F26:V26,"&gt;0",$F$3:V$3,"&lt;13")</f>
        <v>2</v>
      </c>
      <c r="D26" s="38">
        <f ca="1">SUMIF($F$3:V$3,"&lt;13",F26:V26)</f>
        <v>80</v>
      </c>
      <c r="E26" s="38">
        <f ca="1">IFERROR(__xludf.DUMMYFUNCTION("ARRAY_CONSTRAIN(ARRAYFORMULA(SUMPRODUCT(LARGE(FILTER(F26:V26, F$3:V$3 &lt; 13),{1,2,3,4,5,6,7}))), 1, 1)"),80)</f>
        <v>80</v>
      </c>
      <c r="F26" s="38">
        <v>0</v>
      </c>
      <c r="G26" s="38">
        <v>45</v>
      </c>
      <c r="H26" s="38">
        <v>0</v>
      </c>
      <c r="I26" s="38">
        <v>0</v>
      </c>
      <c r="J26" s="38">
        <v>0</v>
      </c>
      <c r="K26" s="38">
        <v>0</v>
      </c>
      <c r="L26" s="38">
        <v>35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90</v>
      </c>
      <c r="AI26">
        <v>0</v>
      </c>
      <c r="AJ26">
        <v>45</v>
      </c>
      <c r="AK26">
        <v>50</v>
      </c>
      <c r="AL26">
        <v>0</v>
      </c>
      <c r="AM26">
        <v>35</v>
      </c>
      <c r="AN26">
        <v>45</v>
      </c>
      <c r="AO26">
        <v>35</v>
      </c>
      <c r="AP26">
        <v>40</v>
      </c>
      <c r="AQ26">
        <v>45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A27" s="38">
        <v>21</v>
      </c>
      <c r="B27" s="39" t="s">
        <v>519</v>
      </c>
      <c r="C27" s="38">
        <f ca="1">COUNTIFS(F27:V27,"&gt;0",$F$3:V$3,"&lt;13")</f>
        <v>2</v>
      </c>
      <c r="D27" s="38">
        <f ca="1">SUMIF($F$3:V$3,"&lt;13",F27:V27)</f>
        <v>70</v>
      </c>
      <c r="E27" s="38">
        <f ca="1">IFERROR(__xludf.DUMMYFUNCTION("ARRAY_CONSTRAIN(ARRAYFORMULA(SUMPRODUCT(LARGE(FILTER(F27:V27, F$3:V$3 &lt; 13),{1,2,3,4,5,6,7}))), 1, 1)"),70)</f>
        <v>70</v>
      </c>
      <c r="F27" s="38">
        <v>0</v>
      </c>
      <c r="G27" s="38">
        <v>0</v>
      </c>
      <c r="H27" s="38">
        <v>35</v>
      </c>
      <c r="I27" s="38">
        <v>35</v>
      </c>
      <c r="J27" s="38">
        <v>0</v>
      </c>
      <c r="K27" s="38">
        <v>0</v>
      </c>
      <c r="L27" s="38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35</v>
      </c>
      <c r="AS27">
        <v>45</v>
      </c>
      <c r="AT27">
        <v>50</v>
      </c>
      <c r="AU27">
        <v>40</v>
      </c>
      <c r="AV27">
        <v>40</v>
      </c>
      <c r="AW27">
        <v>35</v>
      </c>
      <c r="AX27">
        <v>0</v>
      </c>
      <c r="AY27">
        <v>0</v>
      </c>
      <c r="AZ27">
        <v>0</v>
      </c>
      <c r="BA27">
        <v>0</v>
      </c>
    </row>
    <row r="28" spans="1:53">
      <c r="A28" s="38">
        <v>22</v>
      </c>
      <c r="B28" s="41" t="s">
        <v>520</v>
      </c>
      <c r="C28" s="38">
        <f ca="1">COUNTIFS(F28:V28,"&gt;0",$F$3:V$3,"&lt;13")</f>
        <v>1</v>
      </c>
      <c r="D28" s="38">
        <f ca="1">SUMIF($F$3:V$3,"&lt;13",F28:V28)</f>
        <v>70</v>
      </c>
      <c r="E28" s="38">
        <f ca="1">IFERROR(__xludf.DUMMYFUNCTION("ARRAY_CONSTRAIN(ARRAYFORMULA(SUMPRODUCT(LARGE(FILTER(F28:V28, F$3:V$3 &lt; 13),{1,2,3,4,5,6,7}))), 1, 1)"),70)</f>
        <v>70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40">
        <v>70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30</v>
      </c>
      <c r="AE28">
        <v>80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>
      <c r="A29" s="40">
        <v>23</v>
      </c>
      <c r="B29" s="41" t="s">
        <v>521</v>
      </c>
      <c r="C29" s="38">
        <f ca="1">COUNTIFS(F29:V29,"&gt;0",$F$3:V$3,"&lt;13")</f>
        <v>1</v>
      </c>
      <c r="D29" s="38">
        <f ca="1">SUMIF($F$3:V$3,"&lt;13",F29:V29)</f>
        <v>50</v>
      </c>
      <c r="E29" s="38">
        <f ca="1">IFERROR(__xludf.DUMMYFUNCTION("ARRAY_CONSTRAIN(ARRAYFORMULA(SUMPRODUCT(LARGE(FILTER(F29:V29, F$3:V$3 &lt; 13),{1,2,3,4,5,6,7}))), 1, 1)"),50)</f>
        <v>50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40">
        <v>50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>
      <c r="A30" s="40">
        <v>24</v>
      </c>
      <c r="B30" s="41" t="s">
        <v>522</v>
      </c>
      <c r="C30" s="38">
        <f ca="1">COUNTIFS(F30:V30,"&gt;0",$F$3:V$3,"&lt;13")</f>
        <v>1</v>
      </c>
      <c r="D30" s="38">
        <f ca="1">SUMIF($F$3:V$3,"&lt;13",F30:V30)</f>
        <v>45</v>
      </c>
      <c r="E30" s="38">
        <f ca="1">IFERROR(__xludf.DUMMYFUNCTION("ARRAY_CONSTRAIN(ARRAYFORMULA(SUMPRODUCT(LARGE(FILTER(F30:V30, F$3:V$3 &lt; 13),{1,2,3,4,5,6,7}))), 1, 1)"),45)</f>
        <v>45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40">
        <v>45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>
      <c r="A31" s="38">
        <v>25</v>
      </c>
      <c r="B31" s="41" t="s">
        <v>523</v>
      </c>
      <c r="C31" s="38">
        <f ca="1">COUNTIFS(F31:V31,"&gt;0",$F$3:V$3,"&lt;13")</f>
        <v>1</v>
      </c>
      <c r="D31" s="38">
        <f ca="1">SUMIF($F$3:V$3,"&lt;13",F31:V31)</f>
        <v>30</v>
      </c>
      <c r="E31" s="38">
        <f ca="1">IFERROR(__xludf.DUMMYFUNCTION("ARRAY_CONSTRAIN(ARRAYFORMULA(SUMPRODUCT(LARGE(FILTER(F31:V31, F$3:V$3 &lt; 13),{1,2,3,4,5,6,7}))), 1, 1)"),30)</f>
        <v>30</v>
      </c>
      <c r="F31" s="38">
        <v>0</v>
      </c>
      <c r="G31" s="40">
        <v>30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40</v>
      </c>
      <c r="AM31">
        <v>0</v>
      </c>
      <c r="AN31">
        <v>0</v>
      </c>
      <c r="AO31">
        <v>0</v>
      </c>
      <c r="AP31">
        <v>0</v>
      </c>
      <c r="AQ31">
        <v>35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>
      <c r="A32" s="38">
        <v>26</v>
      </c>
      <c r="B32" s="39" t="s">
        <v>524</v>
      </c>
      <c r="C32" s="38">
        <f ca="1">COUNTIFS(F32:V32,"&gt;0",$F$3:V$3,"&lt;13")</f>
        <v>1</v>
      </c>
      <c r="D32" s="38">
        <f ca="1">SUMIF($F$3:V$3,"&lt;13",F32:V32)</f>
        <v>25</v>
      </c>
      <c r="E32" s="38">
        <f ca="1">IFERROR(__xludf.DUMMYFUNCTION("ARRAY_CONSTRAIN(ARRAYFORMULA(SUMPRODUCT(LARGE(FILTER(F32:V32, F$3:V$3 &lt; 13),{1,2,3,4,5,6,7}))), 1, 1)"),25)</f>
        <v>25</v>
      </c>
      <c r="F32" s="38">
        <v>0</v>
      </c>
      <c r="G32" s="38">
        <v>0</v>
      </c>
      <c r="H32" s="38">
        <v>25</v>
      </c>
      <c r="I32" s="38">
        <v>0</v>
      </c>
      <c r="J32" s="38">
        <v>0</v>
      </c>
      <c r="K32" s="38">
        <v>0</v>
      </c>
      <c r="L32" s="38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>
      <c r="A33" s="38">
        <v>27</v>
      </c>
      <c r="B33" s="41" t="s">
        <v>525</v>
      </c>
      <c r="C33" s="38">
        <f ca="1">COUNTIFS(F33:V33,"&gt;0",$F$3:V$3,"&lt;13")</f>
        <v>1</v>
      </c>
      <c r="D33" s="38">
        <f ca="1">SUMIF($F$3:V$3,"&lt;13",F33:V33)</f>
        <v>25</v>
      </c>
      <c r="E33" s="38">
        <f ca="1">IFERROR(__xludf.DUMMYFUNCTION("ARRAY_CONSTRAIN(ARRAYFORMULA(SUMPRODUCT(LARGE(FILTER(F33:V33, F$3:V$3 &lt; 13),{1,2,3,4,5,6,7}))), 1, 1)"),25)</f>
        <v>25</v>
      </c>
      <c r="F33" s="38">
        <v>0</v>
      </c>
      <c r="G33" s="38">
        <v>25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40</v>
      </c>
      <c r="AK33">
        <v>0</v>
      </c>
      <c r="AL33">
        <v>0</v>
      </c>
      <c r="AM33">
        <v>50</v>
      </c>
      <c r="AN33">
        <v>40</v>
      </c>
      <c r="AO33">
        <v>35</v>
      </c>
      <c r="AP33">
        <v>40</v>
      </c>
      <c r="AQ33">
        <v>35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>
      <c r="A34" s="38">
        <v>28</v>
      </c>
      <c r="B34" s="39" t="s">
        <v>526</v>
      </c>
      <c r="C34" s="38">
        <f ca="1">COUNTIFS(F34:V34,"&gt;0",$F$3:V$3,"&lt;13")</f>
        <v>1</v>
      </c>
      <c r="D34" s="38">
        <f ca="1">SUMIF($F$3:V$3,"&lt;13",F34:V34)</f>
        <v>25</v>
      </c>
      <c r="E34" s="38">
        <f ca="1">IFERROR(__xludf.DUMMYFUNCTION("ARRAY_CONSTRAIN(ARRAYFORMULA(SUMPRODUCT(LARGE(FILTER(F34:V34, F$3:V$3 &lt; 13),{1,2,3,4,5,6,7}))), 1, 1)"),25)</f>
        <v>25</v>
      </c>
      <c r="F34" s="38">
        <v>0</v>
      </c>
      <c r="G34" s="38">
        <v>25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50</v>
      </c>
      <c r="AK34">
        <v>40</v>
      </c>
      <c r="AL34">
        <v>0</v>
      </c>
      <c r="AM34">
        <v>0</v>
      </c>
      <c r="AN34">
        <v>0</v>
      </c>
      <c r="AO34">
        <v>0</v>
      </c>
      <c r="AP34">
        <v>45</v>
      </c>
      <c r="AQ34">
        <v>35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>
      <c r="A35" s="38">
        <v>29</v>
      </c>
      <c r="B35" s="41" t="s">
        <v>527</v>
      </c>
      <c r="C35" s="38">
        <f ca="1">COUNTIFS(F35:V35,"&gt;0",$F$3:V$3,"&lt;13")</f>
        <v>1</v>
      </c>
      <c r="D35" s="38">
        <f ca="1">SUMIF($F$3:V$3,"&lt;13",F35:V35)</f>
        <v>25</v>
      </c>
      <c r="E35" s="38">
        <f ca="1">IFERROR(__xludf.DUMMYFUNCTION("ARRAY_CONSTRAIN(ARRAYFORMULA(SUMPRODUCT(LARGE(FILTER(F35:V35, F$3:V$3 &lt; 13),{1,2,3,4,5,6,7}))), 1, 1)"),25)</f>
        <v>25</v>
      </c>
      <c r="F35" s="38">
        <v>0</v>
      </c>
      <c r="G35" s="40">
        <v>25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30</v>
      </c>
      <c r="AP35">
        <v>45</v>
      </c>
      <c r="AQ35">
        <v>35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38">
        <v>30</v>
      </c>
      <c r="B36" s="41" t="s">
        <v>528</v>
      </c>
      <c r="C36" s="38">
        <f>COUNTIFS(F36:V36,"&gt;0",$F$3:V$3,"&lt;13")</f>
        <v>0</v>
      </c>
      <c r="D36" s="38">
        <f ca="1">SUMIF($F$3:V$3,"&lt;13",F36:V36)</f>
        <v>0</v>
      </c>
      <c r="E36" s="38">
        <f ca="1">IFERROR(__xludf.DUMMYFUNCTION("ARRAY_CONSTRAIN(ARRAYFORMULA(SUMPRODUCT(LARGE(FILTER(F36:V36, F$3:V$3 &lt; 13),{1,2,3,4,5,6,7}))), 1, 1)"),0)</f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45</v>
      </c>
      <c r="AU36">
        <v>35</v>
      </c>
      <c r="AV36">
        <v>30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>
      <c r="A37" s="38">
        <v>31</v>
      </c>
      <c r="B37" s="41" t="s">
        <v>529</v>
      </c>
      <c r="C37" s="38">
        <f>COUNTIFS(F37:V37,"&gt;0",$F$3:V$3,"&lt;13")</f>
        <v>0</v>
      </c>
      <c r="D37" s="38">
        <f ca="1">SUMIF($F$3:V$3,"&lt;13",F37:V37)</f>
        <v>0</v>
      </c>
      <c r="E37" s="38">
        <f ca="1">IFERROR(__xludf.DUMMYFUNCTION("ARRAY_CONSTRAIN(ARRAYFORMULA(SUMPRODUCT(LARGE(FILTER(F37:V37, F$3:V$3 &lt; 13),{1,2,3,4,5,6,7}))), 1, 1)"),0)</f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100</v>
      </c>
      <c r="AG37">
        <v>80</v>
      </c>
      <c r="AH37">
        <v>0</v>
      </c>
      <c r="AI37">
        <v>40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>
      <c r="A38" s="38">
        <v>32</v>
      </c>
      <c r="B38" s="41" t="s">
        <v>530</v>
      </c>
      <c r="C38" s="38">
        <f>COUNTIFS(F38:V38,"&gt;0",$F$3:V$3,"&lt;13")</f>
        <v>0</v>
      </c>
      <c r="D38" s="38">
        <f ca="1">SUMIF($F$3:V$3,"&lt;13",F38:V38)</f>
        <v>0</v>
      </c>
      <c r="E38" s="38">
        <f ca="1">IFERROR(__xludf.DUMMYFUNCTION("ARRAY_CONSTRAIN(ARRAYFORMULA(SUMPRODUCT(LARGE(FILTER(F38:V38, F$3:V$3 &lt; 13),{1,2,3,4,5,6,7}))), 1, 1)"),0)</f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90</v>
      </c>
      <c r="AG38">
        <v>0</v>
      </c>
      <c r="AH38">
        <v>0</v>
      </c>
      <c r="AI38">
        <v>40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>
      <c r="A39" s="38">
        <v>33</v>
      </c>
      <c r="B39" s="41" t="s">
        <v>531</v>
      </c>
      <c r="C39" s="38">
        <f>COUNTIFS(F39:V39,"&gt;0",$F$3:V$3,"&lt;13")</f>
        <v>0</v>
      </c>
      <c r="D39" s="38">
        <f ca="1">SUMIF($F$3:V$3,"&lt;13",F39:V39)</f>
        <v>0</v>
      </c>
      <c r="E39" s="38">
        <f ca="1">IFERROR(__xludf.DUMMYFUNCTION("ARRAY_CONSTRAIN(ARRAYFORMULA(SUMPRODUCT(LARGE(FILTER(F39:V39, F$3:V$3 &lt; 13),{1,2,3,4,5,6,7}))), 1, 1)"),0)</f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40</v>
      </c>
      <c r="AD39">
        <v>0</v>
      </c>
      <c r="AE39">
        <v>90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40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>
      <c r="A40" s="38">
        <v>34</v>
      </c>
      <c r="B40" s="41" t="s">
        <v>532</v>
      </c>
      <c r="C40" s="38">
        <f>COUNTIFS(F40:V40,"&gt;0",$F$3:V$3,"&lt;13")</f>
        <v>0</v>
      </c>
      <c r="D40" s="38">
        <f ca="1">SUMIF($F$3:V$3,"&lt;13",F40:V40)</f>
        <v>0</v>
      </c>
      <c r="E40" s="38">
        <f ca="1">IFERROR(__xludf.DUMMYFUNCTION("ARRAY_CONSTRAIN(ARRAYFORMULA(SUMPRODUCT(LARGE(FILTER(F40:V40, F$3:V$3 &lt; 13),{1,2,3,4,5,6,7}))), 1, 1)"),0)</f>
        <v>0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>
      <c r="A41" s="40">
        <v>35</v>
      </c>
      <c r="B41" s="39" t="s">
        <v>533</v>
      </c>
      <c r="C41" s="38">
        <f>COUNTIFS(F41:V41,"&gt;0",$F$3:V$3,"&lt;13")</f>
        <v>0</v>
      </c>
      <c r="D41" s="38">
        <f ca="1">SUMIF($F$3:V$3,"&lt;13",F41:V41)</f>
        <v>0</v>
      </c>
      <c r="E41" s="38">
        <f ca="1">IFERROR(__xludf.DUMMYFUNCTION("ARRAY_CONSTRAIN(ARRAYFORMULA(SUMPRODUCT(LARGE(FILTER(F41:V41, F$3:V$3 &lt; 13),{1,2,3,4,5,6,7}))), 1, 1)"),0)</f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>
      <c r="A42" s="40">
        <v>36</v>
      </c>
      <c r="B42" s="41" t="s">
        <v>534</v>
      </c>
      <c r="C42" s="38">
        <f>COUNTIFS(F42:V42,"&gt;0",$F$3:V$3,"&lt;13")</f>
        <v>0</v>
      </c>
      <c r="D42" s="38">
        <f ca="1">SUMIF($F$3:V$3,"&lt;13",F42:V42)</f>
        <v>0</v>
      </c>
      <c r="E42" s="38">
        <f ca="1">IFERROR(__xludf.DUMMYFUNCTION("ARRAY_CONSTRAIN(ARRAYFORMULA(SUMPRODUCT(LARGE(FILTER(F42:V42, F$3:V$3 &lt; 13),{1,2,3,4,5,6,7}))), 1, 1)"),0)</f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80</v>
      </c>
      <c r="AG42">
        <v>80</v>
      </c>
      <c r="AH42">
        <v>90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40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>
      <c r="A43" s="40">
        <v>37</v>
      </c>
      <c r="B43" s="41" t="s">
        <v>535</v>
      </c>
      <c r="C43" s="38">
        <f>COUNTIFS(F43:V43,"&gt;0",$F$3:V$3,"&lt;13")</f>
        <v>0</v>
      </c>
      <c r="D43" s="38">
        <f ca="1">SUMIF($F$3:V$3,"&lt;13",F43:V43)</f>
        <v>0</v>
      </c>
      <c r="E43" s="38">
        <f ca="1">IFERROR(__xludf.DUMMYFUNCTION("ARRAY_CONSTRAIN(ARRAYFORMULA(SUMPRODUCT(LARGE(FILTER(F43:V43, F$3:V$3 &lt; 13),{1,2,3,4,5,6,7}))), 1, 1)"),0)</f>
        <v>0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40">
        <v>0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>
      <c r="A44" s="40">
        <v>38</v>
      </c>
      <c r="B44" s="41" t="s">
        <v>536</v>
      </c>
      <c r="C44" s="38">
        <f>COUNTIFS(F44:V44,"&gt;0",$F$3:V$3,"&lt;13")</f>
        <v>0</v>
      </c>
      <c r="D44" s="38">
        <f ca="1">SUMIF($F$3:V$3,"&lt;13",F44:V44)</f>
        <v>0</v>
      </c>
      <c r="E44" s="38">
        <f ca="1">IFERROR(__xludf.DUMMYFUNCTION("ARRAY_CONSTRAIN(ARRAYFORMULA(SUMPRODUCT(LARGE(FILTER(F44:V44, F$3:V$3 &lt; 13),{1,2,3,4,5,6,7}))), 1, 1)"),0)</f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>
      <c r="A45" s="40">
        <v>39</v>
      </c>
      <c r="B45" s="41" t="s">
        <v>537</v>
      </c>
      <c r="C45" s="38">
        <f>COUNTIFS(F45:V45,"&gt;0",$F$3:V$3,"&lt;13")</f>
        <v>0</v>
      </c>
      <c r="D45" s="38">
        <f ca="1">SUMIF($F$3:V$3,"&lt;13",F45:V45)</f>
        <v>0</v>
      </c>
      <c r="E45" s="38">
        <f ca="1">IFERROR(__xludf.DUMMYFUNCTION("ARRAY_CONSTRAIN(ARRAYFORMULA(SUMPRODUCT(LARGE(FILTER(F45:V45, F$3:V$3 &lt; 13),{1,2,3,4,5,6,7}))), 1, 1)"),0)</f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>
      <c r="A46" s="40">
        <v>40</v>
      </c>
      <c r="B46" s="41" t="s">
        <v>538</v>
      </c>
      <c r="C46" s="38">
        <f>COUNTIFS(F46:V46,"&gt;0",$F$3:V$3,"&lt;13")</f>
        <v>0</v>
      </c>
      <c r="D46" s="38">
        <f ca="1">SUMIF($F$3:V$3,"&lt;13",F46:V46)</f>
        <v>0</v>
      </c>
      <c r="E46" s="38">
        <f ca="1">IFERROR(__xludf.DUMMYFUNCTION("ARRAY_CONSTRAIN(ARRAYFORMULA(SUMPRODUCT(LARGE(FILTER(F46:V46, F$3:V$3 &lt; 13),{1,2,3,4,5,6,7}))), 1, 1)"),0)</f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>
      <c r="A47" s="40">
        <v>41</v>
      </c>
      <c r="B47" s="41" t="s">
        <v>539</v>
      </c>
      <c r="C47" s="38">
        <f>COUNTIFS(F47:V47,"&gt;0",$F$3:V$3,"&lt;13")</f>
        <v>0</v>
      </c>
      <c r="D47" s="38">
        <f ca="1">SUMIF($F$3:V$3,"&lt;13",F47:V47)</f>
        <v>0</v>
      </c>
      <c r="E47" s="38">
        <f ca="1">IFERROR(__xludf.DUMMYFUNCTION("ARRAY_CONSTRAIN(ARRAYFORMULA(SUMPRODUCT(LARGE(FILTER(F47:V47, F$3:V$3 &lt; 13),{1,2,3,4,5,6,7}))), 1, 1)"),0)</f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>
      <c r="A48" s="40">
        <v>42</v>
      </c>
      <c r="B48" s="41" t="s">
        <v>540</v>
      </c>
      <c r="C48" s="38">
        <f>COUNTIFS(F48:V48,"&gt;0",$F$3:V$3,"&lt;13")</f>
        <v>0</v>
      </c>
      <c r="D48" s="38">
        <f ca="1">SUMIF($F$3:V$3,"&lt;13",F48:V48)</f>
        <v>0</v>
      </c>
      <c r="E48" s="38">
        <f ca="1">IFERROR(__xludf.DUMMYFUNCTION("ARRAY_CONSTRAIN(ARRAYFORMULA(SUMPRODUCT(LARGE(FILTER(F48:V48, F$3:V$3 &lt; 13),{1,2,3,4,5,6,7}))), 1, 1)"),0)</f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>
      <c r="A49" s="40">
        <v>43</v>
      </c>
      <c r="B49" s="41" t="s">
        <v>541</v>
      </c>
      <c r="C49" s="38">
        <f>COUNTIFS(F49:V49,"&gt;0",$F$3:V$3,"&lt;13")</f>
        <v>0</v>
      </c>
      <c r="D49" s="38">
        <f ca="1">SUMIF($F$3:V$3,"&lt;13",F49:V49)</f>
        <v>0</v>
      </c>
      <c r="E49" s="38">
        <f ca="1">IFERROR(__xludf.DUMMYFUNCTION("ARRAY_CONSTRAIN(ARRAYFORMULA(SUMPRODUCT(LARGE(FILTER(F49:V49, F$3:V$3 &lt; 13),{1,2,3,4,5,6,7}))), 1, 1)"),0)</f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>
      <c r="A50" s="40">
        <v>44</v>
      </c>
      <c r="B50" s="41" t="s">
        <v>542</v>
      </c>
      <c r="C50" s="38">
        <f>COUNTIFS(F50:V50,"&gt;0",$F$3:V$3,"&lt;13")</f>
        <v>0</v>
      </c>
      <c r="D50" s="38">
        <f ca="1">SUMIF($F$3:V$3,"&lt;13",F50:V50)</f>
        <v>0</v>
      </c>
      <c r="E50" s="38">
        <f ca="1">IFERROR(__xludf.DUMMYFUNCTION("ARRAY_CONSTRAIN(ARRAYFORMULA(SUMPRODUCT(LARGE(FILTER(F50:V50, F$3:V$3 &lt; 13),{1,2,3,4,5,6,7}))), 1, 1)"),0)</f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>
      <c r="A51" s="40">
        <v>45</v>
      </c>
      <c r="B51" s="41" t="s">
        <v>543</v>
      </c>
      <c r="C51" s="38">
        <f>COUNTIFS(F51:V51,"&gt;0",$F$3:V$3,"&lt;13")</f>
        <v>0</v>
      </c>
      <c r="D51" s="38">
        <f ca="1">SUMIF($F$3:V$3,"&lt;13",F51:V51)</f>
        <v>0</v>
      </c>
      <c r="E51" s="38">
        <f ca="1">IFERROR(__xludf.DUMMYFUNCTION("ARRAY_CONSTRAIN(ARRAYFORMULA(SUMPRODUCT(LARGE(FILTER(F51:V51, F$3:V$3 &lt; 13),{1,2,3,4,5,6,7}))), 1, 1)"),0)</f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>
      <c r="A52" s="40">
        <v>46</v>
      </c>
      <c r="B52" s="41" t="s">
        <v>544</v>
      </c>
      <c r="C52" s="38">
        <f>COUNTIFS(F52:V52,"&gt;0",$F$3:V$3,"&lt;13")</f>
        <v>0</v>
      </c>
      <c r="D52" s="38">
        <f ca="1">SUMIF($F$3:V$3,"&lt;13",F52:V52)</f>
        <v>0</v>
      </c>
      <c r="E52" s="38">
        <f ca="1">IFERROR(__xludf.DUMMYFUNCTION("ARRAY_CONSTRAIN(ARRAYFORMULA(SUMPRODUCT(LARGE(FILTER(F52:V52, F$3:V$3 &lt; 13),{1,2,3,4,5,6,7}))), 1, 1)"),0)</f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>
      <c r="A53" s="40">
        <v>47</v>
      </c>
      <c r="B53" s="41" t="s">
        <v>545</v>
      </c>
      <c r="C53" s="38">
        <f>COUNTIFS(F53:V53,"&gt;0",$F$3:V$3,"&lt;13")</f>
        <v>0</v>
      </c>
      <c r="D53" s="38">
        <f ca="1">SUMIF($F$3:V$3,"&lt;13",F53:V53)</f>
        <v>0</v>
      </c>
      <c r="E53" s="38">
        <f ca="1">IFERROR(__xludf.DUMMYFUNCTION("ARRAY_CONSTRAIN(ARRAYFORMULA(SUMPRODUCT(LARGE(FILTER(F53:V53, F$3:V$3 &lt; 13),{1,2,3,4,5,6,7}))), 1, 1)"),0)</f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>
      <c r="A54" s="40">
        <v>48</v>
      </c>
      <c r="B54" s="41" t="s">
        <v>546</v>
      </c>
      <c r="C54" s="38">
        <f>COUNTIFS(F54:V54,"&gt;0",$F$3:V$3,"&lt;13")</f>
        <v>0</v>
      </c>
      <c r="D54" s="38">
        <f ca="1">SUMIF($F$3:V$3,"&lt;13",F54:V54)</f>
        <v>0</v>
      </c>
      <c r="E54" s="38">
        <f ca="1">IFERROR(__xludf.DUMMYFUNCTION("ARRAY_CONSTRAIN(ARRAYFORMULA(SUMPRODUCT(LARGE(FILTER(F54:V54, F$3:V$3 &lt; 13),{1,2,3,4,5,6,7}))), 1, 1)"),0)</f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>
      <c r="A55" s="40">
        <v>49</v>
      </c>
      <c r="B55" s="41" t="s">
        <v>547</v>
      </c>
      <c r="C55" s="38">
        <f>COUNTIFS(F55:V55,"&gt;0",$F$3:V$3,"&lt;13")</f>
        <v>0</v>
      </c>
      <c r="D55" s="38">
        <f ca="1">SUMIF($F$3:V$3,"&lt;13",F55:V55)</f>
        <v>0</v>
      </c>
      <c r="E55" s="38">
        <f ca="1">IFERROR(__xludf.DUMMYFUNCTION("ARRAY_CONSTRAIN(ARRAYFORMULA(SUMPRODUCT(LARGE(FILTER(F55:V55, F$3:V$3 &lt; 13),{1,2,3,4,5,6,7}))), 1, 1)"),0)</f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50</v>
      </c>
      <c r="BA55">
        <v>90</v>
      </c>
    </row>
    <row r="56" spans="1:53">
      <c r="A56" s="40">
        <v>50</v>
      </c>
      <c r="B56" s="41" t="s">
        <v>548</v>
      </c>
      <c r="C56" s="38">
        <f>COUNTIFS(F56:V56,"&gt;0",$F$3:V$3,"&lt;13")</f>
        <v>0</v>
      </c>
      <c r="D56" s="38">
        <f ca="1">SUMIF($F$3:V$3,"&lt;13",F56:V56)</f>
        <v>0</v>
      </c>
      <c r="E56" s="38">
        <f ca="1">IFERROR(__xludf.DUMMYFUNCTION("ARRAY_CONSTRAIN(ARRAYFORMULA(SUMPRODUCT(LARGE(FILTER(F56:V56, F$3:V$3 &lt; 13),{1,2,3,4,5,6,7}))), 1, 1)"),0)</f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>
      <c r="A57" s="40">
        <v>51</v>
      </c>
      <c r="B57" s="41" t="s">
        <v>549</v>
      </c>
      <c r="C57" s="38">
        <f>COUNTIFS(F57:V57,"&gt;0",$F$3:V$3,"&lt;13")</f>
        <v>0</v>
      </c>
      <c r="D57" s="38">
        <f ca="1">SUMIF($F$3:V$3,"&lt;13",F57:V57)</f>
        <v>0</v>
      </c>
      <c r="E57" s="38">
        <f ca="1">IFERROR(__xludf.DUMMYFUNCTION("ARRAY_CONSTRAIN(ARRAYFORMULA(SUMPRODUCT(LARGE(FILTER(F57:V57, F$3:V$3 &lt; 13),{1,2,3,4,5,6,7}))), 1, 1)"),0)</f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>
      <c r="A58" s="40">
        <v>52</v>
      </c>
      <c r="B58" s="41" t="s">
        <v>550</v>
      </c>
      <c r="C58" s="38">
        <f>COUNTIFS(F58:V58,"&gt;0",$F$3:V$3,"&lt;13")</f>
        <v>0</v>
      </c>
      <c r="D58" s="38">
        <f ca="1">SUMIF($F$3:V$3,"&lt;13",F58:V58)</f>
        <v>0</v>
      </c>
      <c r="E58" s="38">
        <f ca="1">IFERROR(__xludf.DUMMYFUNCTION("ARRAY_CONSTRAIN(ARRAYFORMULA(SUMPRODUCT(LARGE(FILTER(F58:V58, F$3:V$3 &lt; 13),{1,2,3,4,5,6,7}))), 1, 1)"),0)</f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70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>
      <c r="A59" s="40">
        <v>53</v>
      </c>
      <c r="B59" s="41" t="s">
        <v>551</v>
      </c>
      <c r="C59" s="38">
        <f>COUNTIFS(F59:V59,"&gt;0",$F$3:V$3,"&lt;13")</f>
        <v>0</v>
      </c>
      <c r="D59" s="38">
        <f ca="1">SUMIF($F$3:V$3,"&lt;13",F59:V59)</f>
        <v>0</v>
      </c>
      <c r="E59" s="38">
        <f ca="1">IFERROR(__xludf.DUMMYFUNCTION("ARRAY_CONSTRAIN(ARRAYFORMULA(SUMPRODUCT(LARGE(FILTER(F59:V59, F$3:V$3 &lt; 13),{1,2,3,4,5,6,7}))), 1, 1)"),0)</f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>
      <c r="A60" s="40">
        <v>54</v>
      </c>
      <c r="B60" s="41" t="s">
        <v>552</v>
      </c>
      <c r="C60" s="38">
        <f>COUNTIFS(F60:V60,"&gt;0",$F$3:V$3,"&lt;13")</f>
        <v>0</v>
      </c>
      <c r="D60" s="38">
        <f ca="1">SUMIF($F$3:V$3,"&lt;13",F60:V60)</f>
        <v>0</v>
      </c>
      <c r="E60" s="38">
        <f ca="1">IFERROR(__xludf.DUMMYFUNCTION("ARRAY_CONSTRAIN(ARRAYFORMULA(SUMPRODUCT(LARGE(FILTER(F60:V60, F$3:V$3 &lt; 13),{1,2,3,4,5,6,7}))), 1, 1)"),0)</f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>
      <c r="A61" s="40">
        <v>55</v>
      </c>
      <c r="B61" s="41" t="s">
        <v>553</v>
      </c>
      <c r="C61" s="38">
        <f>COUNTIFS(F61:V61,"&gt;0",$F$3:V$3,"&lt;13")</f>
        <v>0</v>
      </c>
      <c r="D61" s="38">
        <f ca="1">SUMIF($F$3:V$3,"&lt;13",F61:V61)</f>
        <v>0</v>
      </c>
      <c r="E61" s="38">
        <f ca="1">IFERROR(__xludf.DUMMYFUNCTION("ARRAY_CONSTRAIN(ARRAYFORMULA(SUMPRODUCT(LARGE(FILTER(F61:V61, F$3:V$3 &lt; 13),{1,2,3,4,5,6,7}))), 1, 1)"),0)</f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>
      <c r="A62" s="40">
        <v>56</v>
      </c>
      <c r="B62" s="39" t="s">
        <v>554</v>
      </c>
      <c r="C62" s="38">
        <f>COUNTIFS(F62:V62,"&gt;0",$F$3:V$3,"&lt;13")</f>
        <v>0</v>
      </c>
      <c r="D62" s="38">
        <f ca="1">SUMIF($F$3:V$3,"&lt;13",F62:V62)</f>
        <v>0</v>
      </c>
      <c r="E62" s="38">
        <f ca="1">IFERROR(__xludf.DUMMYFUNCTION("ARRAY_CONSTRAIN(ARRAYFORMULA(SUMPRODUCT(LARGE(FILTER(F62:V62, F$3:V$3 &lt; 13),{1,2,3,4,5,6,7}))), 1, 1)"),0)</f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>
      <c r="A63" s="40">
        <v>57</v>
      </c>
      <c r="B63" s="41" t="s">
        <v>555</v>
      </c>
      <c r="C63" s="38">
        <f>COUNTIFS(F63:V63,"&gt;0",$F$3:V$3,"&lt;13")</f>
        <v>0</v>
      </c>
      <c r="D63" s="38">
        <f ca="1">SUMIF($F$3:V$3,"&lt;13",F63:V63)</f>
        <v>0</v>
      </c>
      <c r="E63" s="38">
        <f ca="1">IFERROR(__xludf.DUMMYFUNCTION("ARRAY_CONSTRAIN(ARRAYFORMULA(SUMPRODUCT(LARGE(FILTER(F63:V63, F$3:V$3 &lt; 13),{1,2,3,4,5,6,7}))), 1, 1)"),0)</f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>
      <c r="A64" s="40">
        <v>58</v>
      </c>
      <c r="B64" s="41" t="s">
        <v>556</v>
      </c>
      <c r="C64" s="38">
        <f>COUNTIFS(F64:V64,"&gt;0",$F$3:V$3,"&lt;13")</f>
        <v>0</v>
      </c>
      <c r="D64" s="38">
        <f ca="1">SUMIF($F$3:V$3,"&lt;13",F64:V64)</f>
        <v>0</v>
      </c>
      <c r="E64" s="38">
        <f ca="1">IFERROR(__xludf.DUMMYFUNCTION("ARRAY_CONSTRAIN(ARRAYFORMULA(SUMPRODUCT(LARGE(FILTER(F64:V64, F$3:V$3 &lt; 13),{1,2,3,4,5,6,7}))), 1, 1)"),0)</f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>
      <c r="A65" s="40">
        <v>59</v>
      </c>
      <c r="B65" s="39" t="s">
        <v>557</v>
      </c>
      <c r="C65" s="38">
        <f>COUNTIFS(F65:V65,"&gt;0",$F$3:V$3,"&lt;13")</f>
        <v>0</v>
      </c>
      <c r="D65" s="38">
        <f ca="1">SUMIF($F$3:V$3,"&lt;13",F65:V65)</f>
        <v>0</v>
      </c>
      <c r="E65" s="38">
        <f ca="1">IFERROR(__xludf.DUMMYFUNCTION("ARRAY_CONSTRAIN(ARRAYFORMULA(SUMPRODUCT(LARGE(FILTER(F65:V65, F$3:V$3 &lt; 13),{1,2,3,4,5,6,7}))), 1, 1)"),0)</f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>
      <c r="A66" s="40">
        <v>60</v>
      </c>
      <c r="B66" s="39" t="s">
        <v>558</v>
      </c>
      <c r="C66" s="38">
        <f>COUNTIFS(F66:V66,"&gt;0",$F$3:V$3,"&lt;13")</f>
        <v>0</v>
      </c>
      <c r="D66" s="38">
        <f ca="1">SUMIF($F$3:V$3,"&lt;13",F66:V66)</f>
        <v>0</v>
      </c>
      <c r="E66" s="38">
        <f ca="1">IFERROR(__xludf.DUMMYFUNCTION("ARRAY_CONSTRAIN(ARRAYFORMULA(SUMPRODUCT(LARGE(FILTER(F66:V66, F$3:V$3 &lt; 13),{1,2,3,4,5,6,7}))), 1, 1)"),0)</f>
        <v>0</v>
      </c>
      <c r="F66" s="38">
        <v>0</v>
      </c>
      <c r="G66" s="38">
        <v>0</v>
      </c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>
      <c r="A67" s="40">
        <v>61</v>
      </c>
      <c r="B67" s="41" t="s">
        <v>559</v>
      </c>
      <c r="C67" s="38">
        <f>COUNTIFS(F67:V67,"&gt;0",$F$3:V$3,"&lt;13")</f>
        <v>0</v>
      </c>
      <c r="D67" s="38">
        <f ca="1">SUMIF($F$3:V$3,"&lt;13",F67:V67)</f>
        <v>0</v>
      </c>
      <c r="E67" s="38">
        <f ca="1">IFERROR(__xludf.DUMMYFUNCTION("ARRAY_CONSTRAIN(ARRAYFORMULA(SUMPRODUCT(LARGE(FILTER(F67:V67, F$3:V$3 &lt; 13),{1,2,3,4,5,6,7}))), 1, 1)"),0)</f>
        <v>0</v>
      </c>
      <c r="F67" s="38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>
      <c r="A68" s="40">
        <v>62</v>
      </c>
      <c r="B68" s="41" t="s">
        <v>560</v>
      </c>
      <c r="C68" s="38">
        <f>COUNTIFS(F68:V68,"&gt;0",$F$3:V$3,"&lt;13")</f>
        <v>0</v>
      </c>
      <c r="D68" s="38">
        <f ca="1">SUMIF($F$3:V$3,"&lt;13",F68:V68)</f>
        <v>0</v>
      </c>
      <c r="E68" s="38">
        <f ca="1">IFERROR(__xludf.DUMMYFUNCTION("ARRAY_CONSTRAIN(ARRAYFORMULA(SUMPRODUCT(LARGE(FILTER(F68:V68, F$3:V$3 &lt; 13),{1,2,3,4,5,6,7}))), 1, 1)"),0)</f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>
      <c r="A69" s="40">
        <v>63</v>
      </c>
      <c r="B69" s="41" t="s">
        <v>561</v>
      </c>
      <c r="C69" s="38">
        <f>COUNTIFS(F69:V69,"&gt;0",$F$3:V$3,"&lt;13")</f>
        <v>0</v>
      </c>
      <c r="D69" s="38">
        <f ca="1">SUMIF($F$3:V$3,"&lt;13",F69:V69)</f>
        <v>0</v>
      </c>
      <c r="E69" s="38">
        <f ca="1">IFERROR(__xludf.DUMMYFUNCTION("ARRAY_CONSTRAIN(ARRAYFORMULA(SUMPRODUCT(LARGE(FILTER(F69:V69, F$3:V$3 &lt; 13),{1,2,3,4,5,6,7}))), 1, 1)"),0)</f>
        <v>0</v>
      </c>
      <c r="F69" s="38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>
      <c r="A70" s="40">
        <v>64</v>
      </c>
      <c r="B70" s="41" t="s">
        <v>562</v>
      </c>
      <c r="C70" s="38">
        <f>COUNTIFS(F70:V70,"&gt;0",$F$3:V$3,"&lt;13")</f>
        <v>0</v>
      </c>
      <c r="D70" s="38">
        <f ca="1">SUMIF($F$3:V$3,"&lt;13",F70:V70)</f>
        <v>0</v>
      </c>
      <c r="E70" s="38">
        <f ca="1">IFERROR(__xludf.DUMMYFUNCTION("ARRAY_CONSTRAIN(ARRAYFORMULA(SUMPRODUCT(LARGE(FILTER(F70:V70, F$3:V$3 &lt; 13),{1,2,3,4,5,6,7}))), 1, 1)"),0)</f>
        <v>0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>
      <c r="A71" s="40">
        <v>65</v>
      </c>
      <c r="B71" s="39" t="s">
        <v>563</v>
      </c>
      <c r="C71" s="38">
        <f>COUNTIFS(F71:V71,"&gt;0",$F$3:V$3,"&lt;13")</f>
        <v>0</v>
      </c>
      <c r="D71" s="38">
        <f ca="1">SUMIF($F$3:V$3,"&lt;13",F71:V71)</f>
        <v>0</v>
      </c>
      <c r="E71" s="38">
        <f ca="1">IFERROR(__xludf.DUMMYFUNCTION("ARRAY_CONSTRAIN(ARRAYFORMULA(SUMPRODUCT(LARGE(FILTER(F71:V71, F$3:V$3 &lt; 13),{1,2,3,4,5,6,7}))), 1, 1)"),0)</f>
        <v>0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>
      <c r="A72" s="40">
        <v>66</v>
      </c>
      <c r="B72" s="41" t="s">
        <v>564</v>
      </c>
      <c r="C72" s="38">
        <f>COUNTIFS(F72:V72,"&gt;0",$F$3:V$3,"&lt;13")</f>
        <v>0</v>
      </c>
      <c r="D72" s="38">
        <f ca="1">SUMIF($F$3:V$3,"&lt;13",F72:V72)</f>
        <v>0</v>
      </c>
      <c r="E72" s="38">
        <f ca="1">IFERROR(__xludf.DUMMYFUNCTION("ARRAY_CONSTRAIN(ARRAYFORMULA(SUMPRODUCT(LARGE(FILTER(F72:V72, F$3:V$3 &lt; 13),{1,2,3,4,5,6,7}))), 1, 1)"),0)</f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>
      <c r="A73" s="40">
        <v>67</v>
      </c>
      <c r="B73" s="41" t="s">
        <v>565</v>
      </c>
      <c r="C73" s="38">
        <f>COUNTIFS(F73:V73,"&gt;0",$F$3:V$3,"&lt;13")</f>
        <v>0</v>
      </c>
      <c r="D73" s="38">
        <f ca="1">SUMIF($F$3:V$3,"&lt;13",F73:V73)</f>
        <v>0</v>
      </c>
      <c r="E73" s="38">
        <f ca="1">IFERROR(__xludf.DUMMYFUNCTION("ARRAY_CONSTRAIN(ARRAYFORMULA(SUMPRODUCT(LARGE(FILTER(F73:V73, F$3:V$3 &lt; 13),{1,2,3,4,5,6,7}))), 1, 1)"),0)</f>
        <v>0</v>
      </c>
      <c r="F73" s="38"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>
      <c r="A74" s="40">
        <v>68</v>
      </c>
      <c r="B74" s="41" t="s">
        <v>566</v>
      </c>
      <c r="C74" s="38">
        <f>COUNTIFS(F74:V74,"&gt;0",$F$3:V$3,"&lt;13")</f>
        <v>0</v>
      </c>
      <c r="D74" s="38">
        <f ca="1">SUMIF($F$3:V$3,"&lt;13",F74:V74)</f>
        <v>0</v>
      </c>
      <c r="E74" s="38">
        <f ca="1">IFERROR(__xludf.DUMMYFUNCTION("ARRAY_CONSTRAIN(ARRAYFORMULA(SUMPRODUCT(LARGE(FILTER(F74:V74, F$3:V$3 &lt; 13),{1,2,3,4,5,6,7}))), 1, 1)"),0)</f>
        <v>0</v>
      </c>
      <c r="F74" s="38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>
      <c r="A75" s="40">
        <v>69</v>
      </c>
      <c r="B75" s="41" t="s">
        <v>567</v>
      </c>
      <c r="C75" s="38">
        <f>COUNTIFS(F75:V75,"&gt;0",$F$3:V$3,"&lt;13")</f>
        <v>0</v>
      </c>
      <c r="D75" s="38">
        <f ca="1">SUMIF($F$3:V$3,"&lt;13",F75:V75)</f>
        <v>0</v>
      </c>
      <c r="E75" s="38">
        <f ca="1">IFERROR(__xludf.DUMMYFUNCTION("ARRAY_CONSTRAIN(ARRAYFORMULA(SUMPRODUCT(LARGE(FILTER(F75:V75, F$3:V$3 &lt; 13),{1,2,3,4,5,6,7}))), 1, 1)"),0)</f>
        <v>0</v>
      </c>
      <c r="F75" s="38">
        <v>0</v>
      </c>
      <c r="G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>
      <c r="A76" s="40">
        <v>70</v>
      </c>
      <c r="B76" s="41" t="s">
        <v>568</v>
      </c>
      <c r="C76" s="38">
        <f>COUNTIFS(F76:V76,"&gt;0",$F$3:V$3,"&lt;13")</f>
        <v>0</v>
      </c>
      <c r="D76" s="38">
        <f ca="1">SUMIF($F$3:V$3,"&lt;13",F76:V76)</f>
        <v>0</v>
      </c>
      <c r="E76" s="38">
        <f ca="1">IFERROR(__xludf.DUMMYFUNCTION("ARRAY_CONSTRAIN(ARRAYFORMULA(SUMPRODUCT(LARGE(FILTER(F76:V76, F$3:V$3 &lt; 13),{1,2,3,4,5,6,7}))), 1, 1)"),0)</f>
        <v>0</v>
      </c>
      <c r="F76" s="38">
        <v>0</v>
      </c>
      <c r="G76" s="38">
        <v>0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>
      <c r="A77" s="40">
        <v>71</v>
      </c>
      <c r="B77" s="41" t="s">
        <v>569</v>
      </c>
      <c r="C77" s="38">
        <f>COUNTIFS(F77:V77,"&gt;0",$F$3:V$3,"&lt;13")</f>
        <v>0</v>
      </c>
      <c r="D77" s="38">
        <f ca="1">SUMIF($F$3:V$3,"&lt;13",F77:V77)</f>
        <v>0</v>
      </c>
      <c r="E77" s="38">
        <f ca="1">IFERROR(__xludf.DUMMYFUNCTION("ARRAY_CONSTRAIN(ARRAYFORMULA(SUMPRODUCT(LARGE(FILTER(F77:V77, F$3:V$3 &lt; 13),{1,2,3,4,5,6,7}))), 1, 1)"),0)</f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>
      <c r="A78" s="40">
        <v>72</v>
      </c>
      <c r="B78" s="39" t="s">
        <v>570</v>
      </c>
      <c r="C78" s="38">
        <f>COUNTIFS(F78:V78,"&gt;0",$F$3:V$3,"&lt;13")</f>
        <v>0</v>
      </c>
      <c r="D78" s="38">
        <f ca="1">SUMIF($F$3:V$3,"&lt;13",F78:V78)</f>
        <v>0</v>
      </c>
      <c r="E78" s="38">
        <f ca="1">IFERROR(__xludf.DUMMYFUNCTION("ARRAY_CONSTRAIN(ARRAYFORMULA(SUMPRODUCT(LARGE(FILTER(F78:V78, F$3:V$3 &lt; 13),{1,2,3,4,5,6,7}))), 1, 1)"),0)</f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>
      <c r="A79" s="40">
        <v>73</v>
      </c>
      <c r="B79" s="39" t="s">
        <v>571</v>
      </c>
      <c r="C79" s="38">
        <f>COUNTIFS(F79:V79,"&gt;0",$F$3:V$3,"&lt;13")</f>
        <v>0</v>
      </c>
      <c r="D79" s="38">
        <f ca="1">SUMIF($F$3:V$3,"&lt;13",F79:V79)</f>
        <v>0</v>
      </c>
      <c r="E79" s="38">
        <f ca="1">IFERROR(__xludf.DUMMYFUNCTION("ARRAY_CONSTRAIN(ARRAYFORMULA(SUMPRODUCT(LARGE(FILTER(F79:V79, F$3:V$3 &lt; 13),{1,2,3,4,5,6,7}))), 1, 1)"),0)</f>
        <v>0</v>
      </c>
      <c r="F79" s="38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40">
        <v>0</v>
      </c>
      <c r="N79" s="40">
        <v>0</v>
      </c>
      <c r="O79" s="40">
        <v>0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40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>
      <c r="A80" s="40">
        <v>74</v>
      </c>
      <c r="B80" s="39" t="s">
        <v>572</v>
      </c>
      <c r="C80" s="38">
        <f>COUNTIFS(F80:V80,"&gt;0",$F$3:V$3,"&lt;13")</f>
        <v>0</v>
      </c>
      <c r="D80" s="38">
        <f ca="1">SUMIF($F$3:V$3,"&lt;13",F80:V80)</f>
        <v>0</v>
      </c>
      <c r="E80" s="38">
        <f ca="1">IFERROR(__xludf.DUMMYFUNCTION("ARRAY_CONSTRAIN(ARRAYFORMULA(SUMPRODUCT(LARGE(FILTER(F80:V80, F$3:V$3 &lt; 13),{1,2,3,4,5,6,7}))), 1, 1)"),0)</f>
        <v>0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>
      <c r="A81" s="40">
        <v>75</v>
      </c>
      <c r="B81" s="41" t="s">
        <v>573</v>
      </c>
      <c r="C81" s="38">
        <f>COUNTIFS(F81:V81,"&gt;0",$F$3:V$3,"&lt;13")</f>
        <v>0</v>
      </c>
      <c r="D81" s="38">
        <f ca="1">SUMIF($F$3:V$3,"&lt;13",F81:V81)</f>
        <v>0</v>
      </c>
      <c r="E81" s="38">
        <f ca="1">IFERROR(__xludf.DUMMYFUNCTION("ARRAY_CONSTRAIN(ARRAYFORMULA(SUMPRODUCT(LARGE(FILTER(F81:V81, F$3:V$3 &lt; 13),{1,2,3,4,5,6,7}))), 1, 1)"),0)</f>
        <v>0</v>
      </c>
      <c r="F81" s="38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40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>
      <c r="A82" s="40">
        <v>76</v>
      </c>
      <c r="B82" s="41" t="s">
        <v>574</v>
      </c>
      <c r="C82" s="38">
        <f>COUNTIFS(F82:V82,"&gt;0",$F$3:V$3,"&lt;13")</f>
        <v>0</v>
      </c>
      <c r="D82" s="38">
        <f ca="1">SUMIF($F$3:V$3,"&lt;13",F82:V82)</f>
        <v>0</v>
      </c>
      <c r="E82" s="38">
        <f ca="1">IFERROR(__xludf.DUMMYFUNCTION("ARRAY_CONSTRAIN(ARRAYFORMULA(SUMPRODUCT(LARGE(FILTER(F82:V82, F$3:V$3 &lt; 13),{1,2,3,4,5,6,7}))), 1, 1)"),0)</f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40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>
      <c r="A83" s="40">
        <v>77</v>
      </c>
      <c r="B83" s="39" t="s">
        <v>575</v>
      </c>
      <c r="C83" s="38">
        <f>COUNTIFS(F83:V83,"&gt;0",$F$3:V$3,"&lt;13")</f>
        <v>0</v>
      </c>
      <c r="D83" s="38">
        <f ca="1">SUMIF($F$3:V$3,"&lt;13",F83:V83)</f>
        <v>0</v>
      </c>
      <c r="E83" s="38">
        <f ca="1">IFERROR(__xludf.DUMMYFUNCTION("ARRAY_CONSTRAIN(ARRAYFORMULA(SUMPRODUCT(LARGE(FILTER(F83:V83, F$3:V$3 &lt; 13),{1,2,3,4,5,6,7}))), 1, 1)"),0)</f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  <c r="R83" s="40">
        <v>0</v>
      </c>
      <c r="S83" s="40">
        <v>0</v>
      </c>
      <c r="T83" s="40">
        <v>0</v>
      </c>
      <c r="U83" s="40">
        <v>0</v>
      </c>
      <c r="V83" s="40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>
      <c r="A84" s="40">
        <v>78</v>
      </c>
      <c r="B84" s="39" t="s">
        <v>576</v>
      </c>
      <c r="C84" s="38">
        <f>COUNTIFS(F84:V84,"&gt;0",$F$3:V$3,"&lt;13")</f>
        <v>0</v>
      </c>
      <c r="D84" s="38">
        <f ca="1">SUMIF($F$3:V$3,"&lt;13",F84:V84)</f>
        <v>0</v>
      </c>
      <c r="E84" s="38">
        <f ca="1">IFERROR(__xludf.DUMMYFUNCTION("ARRAY_CONSTRAIN(ARRAYFORMULA(SUMPRODUCT(LARGE(FILTER(F84:V84, F$3:V$3 &lt; 13),{1,2,3,4,5,6,7}))), 1, 1)"),0)</f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>
      <c r="A85" s="40">
        <v>79</v>
      </c>
      <c r="B85" s="39" t="s">
        <v>577</v>
      </c>
      <c r="C85" s="38">
        <f>COUNTIFS(F85:V85,"&gt;0",$F$3:V$3,"&lt;13")</f>
        <v>0</v>
      </c>
      <c r="D85" s="38">
        <f ca="1">SUMIF($F$3:V$3,"&lt;13",F85:V85)</f>
        <v>0</v>
      </c>
      <c r="E85" s="38">
        <f ca="1">IFERROR(__xludf.DUMMYFUNCTION("ARRAY_CONSTRAIN(ARRAYFORMULA(SUMPRODUCT(LARGE(FILTER(F85:V85, F$3:V$3 &lt; 13),{1,2,3,4,5,6,7}))), 1, 1)"),0)</f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>
      <c r="A86" s="40">
        <v>80</v>
      </c>
      <c r="B86" s="41" t="s">
        <v>578</v>
      </c>
      <c r="C86" s="38">
        <f>COUNTIFS(F86:V86,"&gt;0",$F$3:V$3,"&lt;13")</f>
        <v>0</v>
      </c>
      <c r="D86" s="38">
        <f ca="1">SUMIF($F$3:V$3,"&lt;13",F86:V86)</f>
        <v>0</v>
      </c>
      <c r="E86" s="38">
        <f ca="1">IFERROR(__xludf.DUMMYFUNCTION("ARRAY_CONSTRAIN(ARRAYFORMULA(SUMPRODUCT(LARGE(FILTER(F86:V86, F$3:V$3 &lt; 13),{1,2,3,4,5,6,7}))), 1, 1)"),0)</f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>
      <c r="A87" s="40">
        <v>81</v>
      </c>
      <c r="B87" s="41" t="s">
        <v>579</v>
      </c>
      <c r="C87" s="38">
        <f>COUNTIFS(F87:V87,"&gt;0",$F$3:V$3,"&lt;13")</f>
        <v>0</v>
      </c>
      <c r="D87" s="38">
        <f ca="1">SUMIF($F$3:V$3,"&lt;13",F87:V87)</f>
        <v>0</v>
      </c>
      <c r="E87" s="38">
        <f ca="1">IFERROR(__xludf.DUMMYFUNCTION("ARRAY_CONSTRAIN(ARRAYFORMULA(SUMPRODUCT(LARGE(FILTER(F87:V87, F$3:V$3 &lt; 13),{1,2,3,4,5,6,7}))), 1, 1)"),0)</f>
        <v>0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40">
        <v>0</v>
      </c>
      <c r="N87" s="40">
        <v>0</v>
      </c>
      <c r="O87" s="40">
        <v>0</v>
      </c>
      <c r="P87" s="40">
        <v>0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>
      <c r="A88" s="40">
        <v>82</v>
      </c>
      <c r="B88" s="39" t="s">
        <v>580</v>
      </c>
      <c r="C88" s="38">
        <f>COUNTIFS(F88:V88,"&gt;0",$F$3:V$3,"&lt;13")</f>
        <v>0</v>
      </c>
      <c r="D88" s="38">
        <f ca="1">SUMIF($F$3:V$3,"&lt;13",F88:V88)</f>
        <v>0</v>
      </c>
      <c r="E88" s="38">
        <f ca="1">IFERROR(__xludf.DUMMYFUNCTION("ARRAY_CONSTRAIN(ARRAYFORMULA(SUMPRODUCT(LARGE(FILTER(F88:V88, F$3:V$3 &lt; 13),{1,2,3,4,5,6,7}))), 1, 1)"),0)</f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>
      <c r="A89" s="40">
        <v>83</v>
      </c>
      <c r="B89" s="39" t="s">
        <v>581</v>
      </c>
      <c r="C89" s="38">
        <f>COUNTIFS(F89:V89,"&gt;0",$F$3:V$3,"&lt;13")</f>
        <v>0</v>
      </c>
      <c r="D89" s="38">
        <f ca="1">SUMIF($F$3:V$3,"&lt;13",F89:V89)</f>
        <v>0</v>
      </c>
      <c r="E89" s="38">
        <f ca="1">IFERROR(__xludf.DUMMYFUNCTION("ARRAY_CONSTRAIN(ARRAYFORMULA(SUMPRODUCT(LARGE(FILTER(F89:V89, F$3:V$3 &lt; 13),{1,2,3,4,5,6,7}))), 1, 1)"),0)</f>
        <v>0</v>
      </c>
      <c r="F89" s="38">
        <v>0</v>
      </c>
      <c r="G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40">
        <v>0</v>
      </c>
      <c r="N89" s="40">
        <v>0</v>
      </c>
      <c r="O89" s="40">
        <v>0</v>
      </c>
      <c r="P89" s="40">
        <v>0</v>
      </c>
      <c r="Q89" s="40">
        <v>0</v>
      </c>
      <c r="R89" s="40">
        <v>0</v>
      </c>
      <c r="S89" s="40">
        <v>0</v>
      </c>
      <c r="T89" s="40">
        <v>0</v>
      </c>
      <c r="U89" s="40">
        <v>0</v>
      </c>
      <c r="V89" s="40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40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>
      <c r="A90" s="40">
        <v>84</v>
      </c>
      <c r="B90" s="39" t="s">
        <v>582</v>
      </c>
      <c r="C90" s="38">
        <f>COUNTIFS(F90:V90,"&gt;0",$F$3:V$3,"&lt;13")</f>
        <v>0</v>
      </c>
      <c r="D90" s="38">
        <f ca="1">SUMIF($F$3:V$3,"&lt;13",F90:V90)</f>
        <v>0</v>
      </c>
      <c r="E90" s="38">
        <f ca="1">IFERROR(__xludf.DUMMYFUNCTION("ARRAY_CONSTRAIN(ARRAYFORMULA(SUMPRODUCT(LARGE(FILTER(F90:V90, F$3:V$3 &lt; 13),{1,2,3,4,5,6,7}))), 1, 1)"),0)</f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4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>
      <c r="A91" s="40">
        <v>85</v>
      </c>
      <c r="B91" s="39" t="s">
        <v>583</v>
      </c>
      <c r="C91" s="38">
        <f>COUNTIFS(F91:V91,"&gt;0",$F$3:V$3,"&lt;13")</f>
        <v>0</v>
      </c>
      <c r="D91" s="38">
        <f ca="1">SUMIF($F$3:V$3,"&lt;13",F91:V91)</f>
        <v>0</v>
      </c>
      <c r="E91" s="38">
        <f ca="1">IFERROR(__xludf.DUMMYFUNCTION("ARRAY_CONSTRAIN(ARRAYFORMULA(SUMPRODUCT(LARGE(FILTER(F91:V91, F$3:V$3 &lt; 13),{1,2,3,4,5,6,7}))), 1, 1)"),0)</f>
        <v>0</v>
      </c>
      <c r="F91" s="38">
        <v>0</v>
      </c>
      <c r="G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>
      <c r="A92" s="40">
        <v>86</v>
      </c>
      <c r="B92" s="39" t="s">
        <v>584</v>
      </c>
      <c r="C92" s="38">
        <f>COUNTIFS(F92:V92,"&gt;0",$F$3:V$3,"&lt;13")</f>
        <v>0</v>
      </c>
      <c r="D92" s="38">
        <f ca="1">SUMIF($F$3:V$3,"&lt;13",F92:V92)</f>
        <v>0</v>
      </c>
      <c r="E92" s="38">
        <f ca="1">IFERROR(__xludf.DUMMYFUNCTION("ARRAY_CONSTRAIN(ARRAYFORMULA(SUMPRODUCT(LARGE(FILTER(F92:V92, F$3:V$3 &lt; 13),{1,2,3,4,5,6,7}))), 1, 1)"),0)</f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T92" s="40">
        <v>0</v>
      </c>
      <c r="U92" s="40">
        <v>0</v>
      </c>
      <c r="V92" s="40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>
      <c r="A93" s="40">
        <v>87</v>
      </c>
      <c r="B93" s="39" t="s">
        <v>585</v>
      </c>
      <c r="C93" s="38">
        <f>COUNTIFS(F93:V93,"&gt;0",$F$3:V$3,"&lt;13")</f>
        <v>0</v>
      </c>
      <c r="D93" s="38">
        <f ca="1">SUMIF($F$3:V$3,"&lt;13",F93:V93)</f>
        <v>0</v>
      </c>
      <c r="E93" s="38">
        <f ca="1">IFERROR(__xludf.DUMMYFUNCTION("ARRAY_CONSTRAIN(ARRAYFORMULA(SUMPRODUCT(LARGE(FILTER(F93:V93, F$3:V$3 &lt; 13),{1,2,3,4,5,6,7}))), 1, 1)"),0)</f>
        <v>0</v>
      </c>
      <c r="F93" s="38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40">
        <v>0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 s="40">
        <v>0</v>
      </c>
      <c r="V93" s="40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>
      <c r="A94" s="40">
        <v>88</v>
      </c>
      <c r="B94" s="39" t="s">
        <v>586</v>
      </c>
      <c r="C94" s="38">
        <f>COUNTIFS(F94:V94,"&gt;0",$F$3:V$3,"&lt;13")</f>
        <v>0</v>
      </c>
      <c r="D94" s="38">
        <f ca="1">SUMIF($F$3:V$3,"&lt;13",F94:V94)</f>
        <v>0</v>
      </c>
      <c r="E94" s="38">
        <f ca="1">IFERROR(__xludf.DUMMYFUNCTION("ARRAY_CONSTRAIN(ARRAYFORMULA(SUMPRODUCT(LARGE(FILTER(F94:V94, F$3:V$3 &lt; 13),{1,2,3,4,5,6,7}))), 1, 1)"),0)</f>
        <v>0</v>
      </c>
      <c r="F94" s="38">
        <v>0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40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>
      <c r="A95" s="40">
        <v>89</v>
      </c>
      <c r="B95" s="39" t="s">
        <v>587</v>
      </c>
      <c r="C95" s="38">
        <f>COUNTIFS(F95:V95,"&gt;0",$F$3:V$3,"&lt;13")</f>
        <v>0</v>
      </c>
      <c r="D95" s="38">
        <f ca="1">SUMIF($F$3:V$3,"&lt;13",F95:V95)</f>
        <v>0</v>
      </c>
      <c r="E95" s="38">
        <f ca="1">IFERROR(__xludf.DUMMYFUNCTION("ARRAY_CONSTRAIN(ARRAYFORMULA(SUMPRODUCT(LARGE(FILTER(F95:V95, F$3:V$3 &lt; 13),{1,2,3,4,5,6,7}))), 1, 1)"),0)</f>
        <v>0</v>
      </c>
      <c r="F95" s="38">
        <v>0</v>
      </c>
      <c r="G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40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>
      <c r="A96" s="40">
        <v>90</v>
      </c>
      <c r="B96" s="39" t="s">
        <v>588</v>
      </c>
      <c r="C96" s="38">
        <f>COUNTIFS(F96:V96,"&gt;0",$F$3:V$3,"&lt;13")</f>
        <v>0</v>
      </c>
      <c r="D96" s="38">
        <f ca="1">SUMIF($F$3:V$3,"&lt;13",F96:V96)</f>
        <v>0</v>
      </c>
      <c r="E96" s="38">
        <f ca="1">IFERROR(__xludf.DUMMYFUNCTION("ARRAY_CONSTRAIN(ARRAYFORMULA(SUMPRODUCT(LARGE(FILTER(F96:V96, F$3:V$3 &lt; 13),{1,2,3,4,5,6,7}))), 1, 1)"),0)</f>
        <v>0</v>
      </c>
      <c r="F96" s="38">
        <v>0</v>
      </c>
      <c r="G96" s="38">
        <v>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>
      <c r="A97" s="40">
        <v>92</v>
      </c>
      <c r="B97" t="s">
        <v>589</v>
      </c>
      <c r="I97">
        <v>0</v>
      </c>
      <c r="J97">
        <v>0</v>
      </c>
      <c r="K97">
        <v>0</v>
      </c>
      <c r="L97">
        <v>0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0">
        <v>0</v>
      </c>
      <c r="S97" s="40">
        <v>0</v>
      </c>
      <c r="T97" s="40">
        <v>0</v>
      </c>
      <c r="U97" s="40">
        <v>0</v>
      </c>
      <c r="V97" s="40">
        <v>0</v>
      </c>
      <c r="W97">
        <v>45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>
      <c r="A98" s="40">
        <v>93</v>
      </c>
      <c r="B98" t="s">
        <v>590</v>
      </c>
      <c r="I98">
        <v>0</v>
      </c>
      <c r="J98">
        <v>0</v>
      </c>
      <c r="K98">
        <v>0</v>
      </c>
      <c r="L98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T98" s="40">
        <v>0</v>
      </c>
      <c r="U98" s="40">
        <v>0</v>
      </c>
      <c r="V98" s="40">
        <v>0</v>
      </c>
      <c r="W98">
        <v>0</v>
      </c>
      <c r="X98">
        <v>90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45</v>
      </c>
      <c r="BA98">
        <v>100</v>
      </c>
    </row>
    <row r="99" spans="1:53">
      <c r="A99" s="40">
        <v>94</v>
      </c>
      <c r="B99" t="s">
        <v>591</v>
      </c>
      <c r="I99">
        <v>0</v>
      </c>
      <c r="J99">
        <v>0</v>
      </c>
      <c r="K99">
        <v>0</v>
      </c>
      <c r="L99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40">
        <v>0</v>
      </c>
      <c r="S99" s="40">
        <v>0</v>
      </c>
      <c r="T99" s="40">
        <v>0</v>
      </c>
      <c r="U99" s="40">
        <v>0</v>
      </c>
      <c r="V99" s="40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45</v>
      </c>
      <c r="AD99">
        <v>0</v>
      </c>
      <c r="AE99">
        <v>70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>
      <c r="A100" s="40">
        <v>95</v>
      </c>
      <c r="B100" t="s">
        <v>592</v>
      </c>
      <c r="I100">
        <v>0</v>
      </c>
      <c r="J100">
        <v>0</v>
      </c>
      <c r="K100">
        <v>0</v>
      </c>
      <c r="L10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spans="1:53">
      <c r="A101" s="40">
        <v>96</v>
      </c>
      <c r="B101" t="s">
        <v>593</v>
      </c>
      <c r="I101">
        <v>0</v>
      </c>
      <c r="J101">
        <v>0</v>
      </c>
      <c r="K101">
        <v>0</v>
      </c>
      <c r="L101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35</v>
      </c>
      <c r="AD101">
        <v>0</v>
      </c>
      <c r="AE101">
        <v>70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>
      <c r="A102" s="40">
        <v>97</v>
      </c>
      <c r="B102" t="s">
        <v>594</v>
      </c>
      <c r="I102">
        <v>0</v>
      </c>
      <c r="J102">
        <v>0</v>
      </c>
      <c r="K102">
        <v>0</v>
      </c>
      <c r="L102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T102" s="40">
        <v>0</v>
      </c>
      <c r="U102" s="40">
        <v>0</v>
      </c>
      <c r="V102" s="40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>
      <c r="A103" s="40">
        <v>98</v>
      </c>
      <c r="B103" t="s">
        <v>595</v>
      </c>
      <c r="I103">
        <v>0</v>
      </c>
      <c r="J103">
        <v>0</v>
      </c>
      <c r="K103">
        <v>0</v>
      </c>
      <c r="L103">
        <v>0</v>
      </c>
      <c r="M103" s="40">
        <v>0</v>
      </c>
      <c r="N103" s="40">
        <v>0</v>
      </c>
      <c r="O103" s="40">
        <v>0</v>
      </c>
      <c r="P103" s="40">
        <v>0</v>
      </c>
      <c r="Q103" s="40">
        <v>0</v>
      </c>
      <c r="R103" s="40">
        <v>0</v>
      </c>
      <c r="S103" s="40">
        <v>0</v>
      </c>
      <c r="T103" s="40">
        <v>0</v>
      </c>
      <c r="U103" s="40">
        <v>0</v>
      </c>
      <c r="V103" s="40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90</v>
      </c>
      <c r="AG103">
        <v>0</v>
      </c>
      <c r="AH103">
        <v>0</v>
      </c>
      <c r="AI103">
        <v>40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40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>
      <c r="A104" s="40">
        <v>99</v>
      </c>
      <c r="B104" t="s">
        <v>596</v>
      </c>
      <c r="I104">
        <v>0</v>
      </c>
      <c r="J104">
        <v>0</v>
      </c>
      <c r="K104">
        <v>0</v>
      </c>
      <c r="L104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T104" s="40">
        <v>0</v>
      </c>
      <c r="U104" s="40">
        <v>0</v>
      </c>
      <c r="V104" s="40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80</v>
      </c>
      <c r="AG104">
        <v>90</v>
      </c>
      <c r="AH104">
        <v>90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>
      <c r="A105" s="40">
        <v>100</v>
      </c>
      <c r="B105" t="s">
        <v>597</v>
      </c>
      <c r="I105">
        <v>0</v>
      </c>
      <c r="J105">
        <v>0</v>
      </c>
      <c r="K105">
        <v>0</v>
      </c>
      <c r="L105">
        <v>0</v>
      </c>
      <c r="M105" s="40">
        <v>0</v>
      </c>
      <c r="N105" s="40">
        <v>0</v>
      </c>
      <c r="O105" s="40">
        <v>0</v>
      </c>
      <c r="P105" s="40">
        <v>0</v>
      </c>
      <c r="Q105" s="40">
        <v>0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45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>
      <c r="A106" s="40">
        <v>101</v>
      </c>
      <c r="B106" t="s">
        <v>598</v>
      </c>
      <c r="I106">
        <v>0</v>
      </c>
      <c r="J106">
        <v>0</v>
      </c>
      <c r="K106">
        <v>0</v>
      </c>
      <c r="L106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40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40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>
      <c r="A107" s="40">
        <v>102</v>
      </c>
      <c r="B107" t="s">
        <v>599</v>
      </c>
      <c r="I107">
        <v>0</v>
      </c>
      <c r="J107">
        <v>0</v>
      </c>
      <c r="K107">
        <v>0</v>
      </c>
      <c r="L107">
        <v>0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40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>
      <c r="A108" s="40">
        <v>103</v>
      </c>
      <c r="B108" t="s">
        <v>600</v>
      </c>
      <c r="I108">
        <v>0</v>
      </c>
      <c r="J108">
        <v>0</v>
      </c>
      <c r="K108">
        <v>0</v>
      </c>
      <c r="L108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>
      <c r="A109" s="40">
        <v>104</v>
      </c>
      <c r="B109" t="s">
        <v>601</v>
      </c>
      <c r="I109">
        <v>0</v>
      </c>
      <c r="J109">
        <v>0</v>
      </c>
      <c r="K109">
        <v>0</v>
      </c>
      <c r="L109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40">
        <v>0</v>
      </c>
      <c r="S109" s="40">
        <v>0</v>
      </c>
      <c r="T109" s="40">
        <v>0</v>
      </c>
      <c r="U109" s="40">
        <v>0</v>
      </c>
      <c r="V109" s="40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40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>
      <c r="A110" s="40">
        <v>105</v>
      </c>
      <c r="B110" t="s">
        <v>602</v>
      </c>
      <c r="I110">
        <v>0</v>
      </c>
      <c r="J110">
        <v>0</v>
      </c>
      <c r="K110">
        <v>0</v>
      </c>
      <c r="L11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T110" s="40">
        <v>0</v>
      </c>
      <c r="U110" s="40">
        <v>0</v>
      </c>
      <c r="V110" s="4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>
      <c r="A111" s="40">
        <v>106</v>
      </c>
      <c r="B111" t="s">
        <v>396</v>
      </c>
      <c r="I111">
        <v>0</v>
      </c>
      <c r="J111">
        <v>0</v>
      </c>
      <c r="K111">
        <v>0</v>
      </c>
      <c r="L111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35</v>
      </c>
      <c r="AX111">
        <v>0</v>
      </c>
      <c r="AY111">
        <v>0</v>
      </c>
      <c r="AZ111">
        <v>0</v>
      </c>
      <c r="BA111">
        <v>0</v>
      </c>
    </row>
    <row r="112" spans="1:53">
      <c r="A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spans="1:22">
      <c r="A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spans="1:22">
      <c r="A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spans="1:22">
      <c r="A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spans="1:22">
      <c r="A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spans="1:22">
      <c r="A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spans="1:22">
      <c r="A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spans="1:22">
      <c r="A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spans="1:22">
      <c r="A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spans="1:22">
      <c r="A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spans="1:22">
      <c r="A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spans="1:22">
      <c r="A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spans="1:22">
      <c r="A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spans="1:22">
      <c r="A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spans="1:22">
      <c r="A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spans="1:22">
      <c r="A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spans="1:22">
      <c r="A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spans="1:22">
      <c r="A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spans="1:22">
      <c r="A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spans="1:22">
      <c r="A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spans="1:22">
      <c r="A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spans="1:22">
      <c r="A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spans="1:22">
      <c r="A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spans="1:22">
      <c r="A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spans="1:22">
      <c r="A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spans="1:22">
      <c r="A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spans="1:22">
      <c r="A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spans="1:22">
      <c r="A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spans="1:22">
      <c r="A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spans="1:22">
      <c r="A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spans="1:22">
      <c r="A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spans="1:22">
      <c r="A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spans="1:22">
      <c r="A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spans="1:22">
      <c r="A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spans="1:22">
      <c r="A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spans="1:22">
      <c r="A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spans="1:22">
      <c r="A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spans="1:22">
      <c r="A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spans="1:22">
      <c r="A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spans="1:22">
      <c r="A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spans="1:22">
      <c r="A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spans="1:22">
      <c r="A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spans="1:22">
      <c r="A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spans="1:22">
      <c r="A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spans="1:22">
      <c r="A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spans="1:22">
      <c r="A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spans="1:22">
      <c r="A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spans="1:22">
      <c r="A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spans="1:22">
      <c r="A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spans="1:22">
      <c r="A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spans="1:22">
      <c r="A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spans="1:22">
      <c r="A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spans="1:22">
      <c r="A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spans="1:22">
      <c r="A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spans="1:22">
      <c r="A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spans="1:22">
      <c r="A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spans="1:22">
      <c r="A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spans="1:22">
      <c r="A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spans="1:22">
      <c r="A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spans="1:22">
      <c r="A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spans="1:22">
      <c r="A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spans="1:22">
      <c r="A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spans="1:22">
      <c r="A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spans="1:22">
      <c r="A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spans="1:22">
      <c r="A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spans="1:22">
      <c r="A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spans="1:22">
      <c r="A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spans="1:22">
      <c r="A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spans="1:22">
      <c r="A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spans="1:22">
      <c r="A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spans="1:22">
      <c r="A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spans="1:22">
      <c r="A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spans="1:22">
      <c r="A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spans="1:22">
      <c r="A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spans="1:22">
      <c r="A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spans="1:22">
      <c r="A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spans="1:22">
      <c r="A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spans="1:22">
      <c r="A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spans="1:22">
      <c r="A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spans="1:22">
      <c r="A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spans="1:22">
      <c r="A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spans="1:22">
      <c r="A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spans="1:22">
      <c r="A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spans="1:22">
      <c r="A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spans="1:22">
      <c r="A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spans="1:22">
      <c r="A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spans="1:22">
      <c r="A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spans="1:22">
      <c r="A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spans="1:22">
      <c r="A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  <row r="201" spans="1:22">
      <c r="A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</row>
    <row r="202" spans="1:22">
      <c r="A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</row>
    <row r="203" spans="1:22">
      <c r="A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 spans="1:22">
      <c r="A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</row>
    <row r="205" spans="1:22">
      <c r="A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</row>
    <row r="206" spans="1:22">
      <c r="A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</row>
    <row r="207" spans="1:22">
      <c r="A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</row>
    <row r="208" spans="1:22">
      <c r="A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</row>
    <row r="209" spans="1:22">
      <c r="A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 spans="1:22">
      <c r="A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</row>
    <row r="211" spans="1:22">
      <c r="A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</row>
    <row r="212" spans="1:22">
      <c r="A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</row>
    <row r="213" spans="1:22">
      <c r="A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</row>
    <row r="214" spans="1:22">
      <c r="A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</row>
    <row r="215" spans="1:22">
      <c r="A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 spans="1:22">
      <c r="A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</row>
    <row r="217" spans="1:22">
      <c r="A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</row>
    <row r="218" spans="1:22">
      <c r="A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</row>
    <row r="219" spans="1:22">
      <c r="A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</row>
    <row r="220" spans="1:22">
      <c r="A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</row>
    <row r="221" spans="1:22">
      <c r="A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</row>
    <row r="222" spans="1:22">
      <c r="A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</row>
    <row r="223" spans="1:22">
      <c r="A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</row>
    <row r="224" spans="1:22">
      <c r="A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</row>
    <row r="225" spans="1:22">
      <c r="A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</row>
    <row r="226" spans="1:22">
      <c r="A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</row>
    <row r="227" spans="1:22">
      <c r="A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</row>
    <row r="228" spans="1:22">
      <c r="A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</row>
    <row r="229" spans="1:22">
      <c r="A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</row>
    <row r="230" spans="1:22">
      <c r="A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</row>
    <row r="231" spans="1:22">
      <c r="A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</row>
    <row r="232" spans="1:22">
      <c r="A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</row>
    <row r="233" spans="1:22">
      <c r="A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</row>
    <row r="234" spans="1:22">
      <c r="A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</row>
    <row r="235" spans="1:22">
      <c r="A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</row>
    <row r="236" spans="1:22">
      <c r="A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</row>
    <row r="237" spans="1:22">
      <c r="A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</row>
    <row r="238" spans="1:22">
      <c r="A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</row>
    <row r="239" spans="1:22">
      <c r="A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</row>
    <row r="240" spans="1:22">
      <c r="A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</row>
    <row r="241" spans="1:22">
      <c r="A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</row>
    <row r="242" spans="1:22">
      <c r="A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</row>
    <row r="243" spans="1:22">
      <c r="A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</row>
    <row r="244" spans="1:22">
      <c r="A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</row>
    <row r="245" spans="1:22">
      <c r="A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</row>
    <row r="246" spans="1:22">
      <c r="A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</row>
    <row r="247" spans="1:22">
      <c r="A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</row>
    <row r="248" spans="1:22">
      <c r="A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</row>
    <row r="249" spans="1:22">
      <c r="A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</row>
    <row r="250" spans="1:22">
      <c r="A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</row>
    <row r="251" spans="1:22">
      <c r="A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</row>
    <row r="252" spans="1:22">
      <c r="A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</row>
    <row r="253" spans="1:22">
      <c r="A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</row>
    <row r="254" spans="1:22">
      <c r="A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</row>
    <row r="255" spans="1:22">
      <c r="A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</row>
    <row r="256" spans="1:22">
      <c r="A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</row>
    <row r="257" spans="1:22">
      <c r="A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</row>
    <row r="258" spans="1:22">
      <c r="A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</row>
    <row r="259" spans="1:22">
      <c r="A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</row>
    <row r="260" spans="1:22">
      <c r="A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</row>
    <row r="261" spans="1:22">
      <c r="A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</row>
    <row r="262" spans="1:22">
      <c r="A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</row>
    <row r="263" spans="1:22">
      <c r="A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</row>
    <row r="264" spans="1:22">
      <c r="A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</row>
    <row r="265" spans="1:22">
      <c r="A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</row>
    <row r="266" spans="1:22">
      <c r="A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</row>
    <row r="267" spans="1:22">
      <c r="A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</row>
    <row r="268" spans="1:22">
      <c r="A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</row>
    <row r="269" spans="1:22">
      <c r="A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</row>
    <row r="270" spans="1:22">
      <c r="A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</row>
    <row r="271" spans="1:22">
      <c r="A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</row>
    <row r="272" spans="1:22">
      <c r="A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</row>
    <row r="273" spans="1:22">
      <c r="A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</row>
    <row r="274" spans="1:22">
      <c r="A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</row>
    <row r="275" spans="1:22">
      <c r="A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</row>
    <row r="276" spans="1:22">
      <c r="A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</row>
    <row r="277" spans="1:22">
      <c r="A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</row>
    <row r="278" spans="1:22">
      <c r="A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</row>
    <row r="279" spans="1:22">
      <c r="A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</row>
    <row r="280" spans="1:22">
      <c r="A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</row>
    <row r="281" spans="1:22">
      <c r="A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</row>
    <row r="282" spans="1:22">
      <c r="A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</row>
    <row r="283" spans="1:22">
      <c r="A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</row>
    <row r="284" spans="1:22">
      <c r="A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</row>
    <row r="285" spans="1:22">
      <c r="A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</row>
    <row r="286" spans="1:22">
      <c r="A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</row>
    <row r="287" spans="1:22">
      <c r="A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</row>
    <row r="288" spans="1:22">
      <c r="A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</row>
    <row r="289" spans="1:22">
      <c r="A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</row>
    <row r="290" spans="1:22">
      <c r="A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</row>
    <row r="291" spans="1:22">
      <c r="A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</row>
    <row r="292" spans="1:22">
      <c r="A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</row>
    <row r="293" spans="1:22">
      <c r="A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</row>
    <row r="294" spans="1:22">
      <c r="A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</row>
    <row r="295" spans="1:22">
      <c r="A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</row>
    <row r="296" spans="1:22">
      <c r="A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</row>
    <row r="297" spans="1:22">
      <c r="A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</row>
    <row r="298" spans="1:22">
      <c r="A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</row>
    <row r="299" spans="1:22">
      <c r="A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</row>
    <row r="300" spans="1:22">
      <c r="A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</row>
    <row r="301" spans="1:22">
      <c r="A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</row>
    <row r="302" spans="1:22">
      <c r="A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</row>
    <row r="303" spans="1:22">
      <c r="A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</row>
    <row r="304" spans="1:22">
      <c r="A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</row>
    <row r="305" spans="1:22">
      <c r="A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</row>
    <row r="306" spans="1:22">
      <c r="A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</row>
    <row r="307" spans="1:22">
      <c r="A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</row>
    <row r="308" spans="1:22">
      <c r="A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</row>
    <row r="309" spans="1:22">
      <c r="A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</row>
    <row r="310" spans="1:22">
      <c r="A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</row>
    <row r="311" spans="1:22">
      <c r="A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</row>
    <row r="312" spans="1:22">
      <c r="A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</row>
    <row r="313" spans="1:22">
      <c r="A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</row>
    <row r="314" spans="1:22">
      <c r="A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</row>
    <row r="315" spans="1:22">
      <c r="A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</row>
    <row r="316" spans="1:22">
      <c r="A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</row>
    <row r="317" spans="1:22">
      <c r="A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</row>
    <row r="318" spans="1:22">
      <c r="A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</row>
    <row r="319" spans="1:22">
      <c r="A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</row>
    <row r="320" spans="1:22">
      <c r="A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</row>
    <row r="321" spans="1:22">
      <c r="A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</row>
    <row r="322" spans="1:22">
      <c r="A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</row>
    <row r="323" spans="1:22">
      <c r="A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</row>
    <row r="324" spans="1:22">
      <c r="A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</row>
    <row r="325" spans="1:22">
      <c r="A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</row>
    <row r="326" spans="1:22">
      <c r="A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</row>
    <row r="327" spans="1:22">
      <c r="A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</row>
    <row r="328" spans="1:22">
      <c r="A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</row>
    <row r="329" spans="1:22">
      <c r="A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</row>
    <row r="330" spans="1:22">
      <c r="A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</row>
    <row r="331" spans="1:22">
      <c r="A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</row>
    <row r="332" spans="1:22">
      <c r="A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</row>
    <row r="333" spans="1:22">
      <c r="A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</row>
    <row r="334" spans="1:22">
      <c r="A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</row>
    <row r="335" spans="1:22">
      <c r="A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</row>
    <row r="336" spans="1:22">
      <c r="A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</row>
    <row r="337" spans="1:22">
      <c r="A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</row>
    <row r="338" spans="1:22">
      <c r="A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</row>
    <row r="339" spans="1:22">
      <c r="A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</row>
    <row r="340" spans="1:22">
      <c r="A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</row>
    <row r="341" spans="1:22">
      <c r="A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</row>
    <row r="342" spans="1:22">
      <c r="A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</row>
    <row r="343" spans="1:22">
      <c r="A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</row>
    <row r="344" spans="1:22">
      <c r="A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</row>
    <row r="345" spans="1:22">
      <c r="A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</row>
    <row r="346" spans="1:22">
      <c r="A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</row>
    <row r="347" spans="1:22">
      <c r="A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</row>
    <row r="348" spans="1:22">
      <c r="A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</row>
    <row r="349" spans="1:22">
      <c r="A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</row>
    <row r="350" spans="1:22">
      <c r="A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</row>
    <row r="351" spans="1:22">
      <c r="A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</row>
    <row r="352" spans="1:22">
      <c r="A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</row>
    <row r="353" spans="1:22">
      <c r="A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</row>
    <row r="354" spans="1:22">
      <c r="A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</row>
    <row r="355" spans="1:22">
      <c r="A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</row>
    <row r="356" spans="1:22">
      <c r="A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</row>
    <row r="357" spans="1:22">
      <c r="A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</row>
    <row r="358" spans="1:22">
      <c r="A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</row>
    <row r="359" spans="1:22">
      <c r="A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</row>
    <row r="360" spans="1:22">
      <c r="A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</row>
    <row r="361" spans="1:22">
      <c r="A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</row>
    <row r="362" spans="1:22">
      <c r="A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</row>
    <row r="363" spans="1:22">
      <c r="A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</row>
    <row r="364" spans="1:22">
      <c r="A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</row>
    <row r="365" spans="1:22">
      <c r="A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</row>
    <row r="366" spans="1:22">
      <c r="A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</row>
    <row r="367" spans="1:22">
      <c r="A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</row>
    <row r="368" spans="1:22">
      <c r="A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</row>
    <row r="369" spans="1:22">
      <c r="A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</row>
    <row r="370" spans="1:22">
      <c r="A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</row>
    <row r="371" spans="1:22">
      <c r="A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</row>
    <row r="372" spans="1:22">
      <c r="A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</row>
    <row r="373" spans="1:22">
      <c r="A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</row>
    <row r="374" spans="1:22">
      <c r="A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</row>
    <row r="375" spans="1:22">
      <c r="A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</row>
    <row r="376" spans="1:22">
      <c r="A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</row>
    <row r="377" spans="1:22">
      <c r="A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</row>
    <row r="378" spans="1:22">
      <c r="A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</row>
    <row r="379" spans="1:22">
      <c r="A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</row>
    <row r="380" spans="1:22">
      <c r="A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</row>
    <row r="381" spans="1:22">
      <c r="A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</row>
    <row r="382" spans="1:22">
      <c r="A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</row>
    <row r="383" spans="1:22">
      <c r="A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</row>
    <row r="384" spans="1:22">
      <c r="A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</row>
    <row r="385" spans="1:22">
      <c r="A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</row>
    <row r="386" spans="1:22">
      <c r="A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</row>
    <row r="387" spans="1:22">
      <c r="A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</row>
    <row r="388" spans="1:22">
      <c r="A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</row>
    <row r="389" spans="1:22">
      <c r="A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</row>
    <row r="390" spans="1:22">
      <c r="A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</row>
    <row r="391" spans="1:22">
      <c r="A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</row>
    <row r="392" spans="1:22">
      <c r="A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</row>
    <row r="393" spans="1:22">
      <c r="A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</row>
    <row r="394" spans="1:22">
      <c r="A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</row>
    <row r="395" spans="1:22">
      <c r="A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</row>
    <row r="396" spans="1:22">
      <c r="A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</row>
    <row r="397" spans="1:22">
      <c r="A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</row>
    <row r="398" spans="1:22">
      <c r="A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</row>
    <row r="399" spans="1:22">
      <c r="A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</row>
    <row r="400" spans="1:22">
      <c r="A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</row>
    <row r="401" spans="1:22">
      <c r="A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</row>
    <row r="402" spans="1:22">
      <c r="A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</row>
    <row r="403" spans="1:22">
      <c r="A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</row>
    <row r="404" spans="1:22">
      <c r="A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</row>
    <row r="405" spans="1:22">
      <c r="A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</row>
    <row r="406" spans="1:22">
      <c r="A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</row>
    <row r="407" spans="1:22">
      <c r="A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</row>
    <row r="408" spans="1:22">
      <c r="A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</row>
    <row r="409" spans="1:22">
      <c r="A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</row>
    <row r="410" spans="1:22">
      <c r="A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</row>
    <row r="411" spans="1:22">
      <c r="A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</row>
    <row r="412" spans="1:22">
      <c r="A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</row>
    <row r="413" spans="1:22">
      <c r="A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</row>
    <row r="414" spans="1:22">
      <c r="A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</row>
    <row r="415" spans="1:22">
      <c r="A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</row>
    <row r="416" spans="1:22">
      <c r="A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</row>
    <row r="417" spans="1:22">
      <c r="A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</row>
    <row r="418" spans="1:22">
      <c r="A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</row>
    <row r="419" spans="1:22">
      <c r="A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</row>
    <row r="420" spans="1:22">
      <c r="A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</row>
    <row r="421" spans="1:22">
      <c r="A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</row>
    <row r="422" spans="1:22">
      <c r="A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</row>
    <row r="423" spans="1:22">
      <c r="A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</row>
    <row r="424" spans="1:22">
      <c r="A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</row>
    <row r="425" spans="1:22">
      <c r="A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</row>
    <row r="426" spans="1:22">
      <c r="A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</row>
    <row r="427" spans="1:22">
      <c r="A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</row>
    <row r="428" spans="1:22">
      <c r="A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</row>
    <row r="429" spans="1:22">
      <c r="A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</row>
    <row r="430" spans="1:22">
      <c r="A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</row>
    <row r="431" spans="1:22">
      <c r="A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</row>
    <row r="432" spans="1:22">
      <c r="A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</row>
    <row r="433" spans="1:22">
      <c r="A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</row>
    <row r="434" spans="1:22">
      <c r="A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</row>
    <row r="435" spans="1:22">
      <c r="A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</row>
    <row r="436" spans="1:22">
      <c r="A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</row>
    <row r="437" spans="1:22">
      <c r="A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</row>
    <row r="438" spans="1:22">
      <c r="A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</row>
    <row r="439" spans="1:22">
      <c r="A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</row>
    <row r="440" spans="1:22">
      <c r="A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</row>
    <row r="441" spans="1:22">
      <c r="A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</row>
    <row r="442" spans="1:22">
      <c r="A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</row>
    <row r="443" spans="1:22">
      <c r="A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</row>
    <row r="444" spans="1:22">
      <c r="A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</row>
    <row r="445" spans="1:22">
      <c r="A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</row>
    <row r="446" spans="1:22">
      <c r="A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</row>
    <row r="447" spans="1:22">
      <c r="A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</row>
    <row r="448" spans="1:22">
      <c r="A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</row>
    <row r="449" spans="1:22">
      <c r="A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</row>
    <row r="450" spans="1:22">
      <c r="A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</row>
    <row r="451" spans="1:22">
      <c r="A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</row>
    <row r="452" spans="1:22">
      <c r="A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</row>
    <row r="453" spans="1:22">
      <c r="A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</row>
    <row r="454" spans="1:22">
      <c r="A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</row>
    <row r="455" spans="1:22">
      <c r="A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</row>
    <row r="456" spans="1:22">
      <c r="A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</row>
    <row r="457" spans="1:22">
      <c r="A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</row>
    <row r="458" spans="1:22">
      <c r="A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</row>
    <row r="459" spans="1:22">
      <c r="A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</row>
    <row r="460" spans="1:22">
      <c r="A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</row>
    <row r="461" spans="1:22">
      <c r="A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</row>
    <row r="462" spans="1:22">
      <c r="A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</row>
    <row r="463" spans="1:22">
      <c r="A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</row>
    <row r="464" spans="1:22">
      <c r="A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</row>
    <row r="465" spans="1:22">
      <c r="A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</row>
    <row r="466" spans="1:22">
      <c r="A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</row>
    <row r="467" spans="1:22">
      <c r="A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</row>
    <row r="468" spans="1:22">
      <c r="A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</row>
    <row r="469" spans="1:22">
      <c r="A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</row>
    <row r="470" spans="1:22">
      <c r="A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</row>
    <row r="471" spans="1:22">
      <c r="A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</row>
    <row r="472" spans="1:22">
      <c r="A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</row>
    <row r="473" spans="1:22">
      <c r="A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</row>
    <row r="474" spans="1:22">
      <c r="A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</row>
    <row r="475" spans="1:22">
      <c r="A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</row>
    <row r="476" spans="1:22">
      <c r="A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</row>
    <row r="477" spans="1:22">
      <c r="A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</row>
    <row r="478" spans="1:22">
      <c r="A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</row>
    <row r="479" spans="1:22">
      <c r="A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</row>
    <row r="480" spans="1:22">
      <c r="A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</row>
    <row r="481" spans="1:22">
      <c r="A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</row>
    <row r="482" spans="1:22">
      <c r="A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</row>
    <row r="483" spans="1:22">
      <c r="A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</row>
    <row r="484" spans="1:22">
      <c r="A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</row>
    <row r="485" spans="1:22">
      <c r="A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</row>
    <row r="486" spans="1:22">
      <c r="A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</row>
    <row r="487" spans="1:22">
      <c r="A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</row>
    <row r="488" spans="1:22">
      <c r="A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</row>
    <row r="489" spans="1:22">
      <c r="A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</row>
    <row r="490" spans="1:22">
      <c r="A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</row>
    <row r="491" spans="1:22">
      <c r="A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</row>
    <row r="492" spans="1:22">
      <c r="A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</row>
    <row r="493" spans="1:22">
      <c r="A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</row>
    <row r="494" spans="1:22">
      <c r="A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</row>
    <row r="495" spans="1:22">
      <c r="A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</row>
    <row r="496" spans="1:22">
      <c r="A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</row>
    <row r="497" spans="1:22">
      <c r="A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</row>
    <row r="498" spans="1:22">
      <c r="A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</row>
    <row r="499" spans="1:22">
      <c r="A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</row>
    <row r="500" spans="1:22">
      <c r="A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</row>
    <row r="501" spans="1:22">
      <c r="A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</row>
    <row r="502" spans="1:22">
      <c r="A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</row>
    <row r="503" spans="1:22">
      <c r="A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</row>
    <row r="504" spans="1:22">
      <c r="A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</row>
    <row r="505" spans="1:22">
      <c r="A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</row>
    <row r="506" spans="1:22">
      <c r="A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</row>
    <row r="507" spans="1:22">
      <c r="A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</row>
    <row r="508" spans="1:22">
      <c r="A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</row>
    <row r="509" spans="1:22">
      <c r="A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</row>
    <row r="510" spans="1:22">
      <c r="A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</row>
    <row r="511" spans="1:22">
      <c r="A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</row>
    <row r="512" spans="1:22">
      <c r="A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</row>
    <row r="513" spans="1:22">
      <c r="A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</row>
    <row r="514" spans="1:22">
      <c r="A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</row>
    <row r="515" spans="1:22">
      <c r="A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</row>
    <row r="516" spans="1:22">
      <c r="A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</row>
    <row r="517" spans="1:22">
      <c r="A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</row>
    <row r="518" spans="1:22">
      <c r="A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</row>
    <row r="519" spans="1:22">
      <c r="A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</row>
    <row r="520" spans="1:22">
      <c r="A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</row>
    <row r="521" spans="1:22">
      <c r="A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</row>
    <row r="522" spans="1:22">
      <c r="A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</row>
    <row r="523" spans="1:22">
      <c r="A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</row>
    <row r="524" spans="1:22">
      <c r="A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</row>
    <row r="525" spans="1:22">
      <c r="A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</row>
    <row r="526" spans="1:22">
      <c r="A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</row>
    <row r="527" spans="1:22">
      <c r="A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</row>
    <row r="528" spans="1:22">
      <c r="A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</row>
    <row r="529" spans="1:22">
      <c r="A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</row>
    <row r="530" spans="1:22">
      <c r="A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</row>
    <row r="531" spans="1:22">
      <c r="A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</row>
    <row r="532" spans="1:22">
      <c r="A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</row>
    <row r="533" spans="1:22">
      <c r="A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</row>
    <row r="534" spans="1:22">
      <c r="A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</row>
    <row r="535" spans="1:22">
      <c r="A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</row>
    <row r="536" spans="1:22">
      <c r="A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</row>
    <row r="537" spans="1:22">
      <c r="A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</row>
    <row r="538" spans="1:22">
      <c r="A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</row>
    <row r="539" spans="1:22">
      <c r="A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</row>
    <row r="540" spans="1:22">
      <c r="A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</row>
    <row r="541" spans="1:22">
      <c r="A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</row>
    <row r="542" spans="1:22">
      <c r="A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</row>
    <row r="543" spans="1:22">
      <c r="A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</row>
    <row r="544" spans="1:22">
      <c r="A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</row>
    <row r="545" spans="1:22">
      <c r="A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</row>
    <row r="546" spans="1:22">
      <c r="A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</row>
    <row r="547" spans="1:22">
      <c r="A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</row>
    <row r="548" spans="1:22">
      <c r="A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</row>
    <row r="549" spans="1:22">
      <c r="A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</row>
    <row r="550" spans="1:22">
      <c r="A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</row>
    <row r="551" spans="1:22">
      <c r="A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</row>
    <row r="552" spans="1:22">
      <c r="A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</row>
    <row r="553" spans="1:22">
      <c r="A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</row>
    <row r="554" spans="1:22">
      <c r="A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</row>
    <row r="555" spans="1:22">
      <c r="A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</row>
    <row r="556" spans="1:22">
      <c r="A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</row>
    <row r="557" spans="1:22">
      <c r="A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</row>
    <row r="558" spans="1:22">
      <c r="A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</row>
    <row r="559" spans="1:22">
      <c r="A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</row>
    <row r="560" spans="1:22">
      <c r="A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</row>
    <row r="561" spans="1:22">
      <c r="A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</row>
    <row r="562" spans="1:22">
      <c r="A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</row>
    <row r="563" spans="1:22">
      <c r="A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</row>
    <row r="564" spans="1:22">
      <c r="A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</row>
    <row r="565" spans="1:22">
      <c r="A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</row>
    <row r="566" spans="1:22">
      <c r="A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</row>
    <row r="567" spans="1:22">
      <c r="A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</row>
    <row r="568" spans="1:22">
      <c r="A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</row>
    <row r="569" spans="1:22">
      <c r="A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</row>
    <row r="570" spans="1:22">
      <c r="A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</row>
    <row r="571" spans="1:22">
      <c r="A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</row>
    <row r="572" spans="1:22">
      <c r="A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</row>
    <row r="573" spans="1:22">
      <c r="A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</row>
    <row r="574" spans="1:22">
      <c r="A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</row>
    <row r="575" spans="1:22">
      <c r="A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</row>
    <row r="576" spans="1:22">
      <c r="A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</row>
    <row r="577" spans="1:22">
      <c r="A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</row>
    <row r="578" spans="1:22">
      <c r="A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</row>
    <row r="579" spans="1:22">
      <c r="A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</row>
    <row r="580" spans="1:22">
      <c r="A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</row>
    <row r="581" spans="1:22">
      <c r="A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</row>
    <row r="582" spans="1:22">
      <c r="A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</row>
    <row r="583" spans="1:22">
      <c r="A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</row>
    <row r="584" spans="1:22">
      <c r="A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</row>
    <row r="585" spans="1:22">
      <c r="A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</row>
    <row r="586" spans="1:22">
      <c r="A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</row>
    <row r="587" spans="1:22">
      <c r="A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</row>
    <row r="588" spans="1:22">
      <c r="A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</row>
    <row r="589" spans="1:22">
      <c r="A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</row>
    <row r="590" spans="1:22">
      <c r="A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</row>
    <row r="591" spans="1:22">
      <c r="A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</row>
    <row r="592" spans="1:22">
      <c r="A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</row>
    <row r="593" spans="1:22">
      <c r="A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</row>
    <row r="594" spans="1:22">
      <c r="A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</row>
    <row r="595" spans="1:22">
      <c r="A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</row>
    <row r="596" spans="1:22">
      <c r="A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</row>
    <row r="597" spans="1:22">
      <c r="A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</row>
    <row r="598" spans="1:22">
      <c r="A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</row>
    <row r="599" spans="1:22">
      <c r="A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</row>
    <row r="600" spans="1:22">
      <c r="A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</row>
    <row r="601" spans="1:22">
      <c r="A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</row>
    <row r="602" spans="1:22">
      <c r="A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</row>
    <row r="603" spans="1:22">
      <c r="A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</row>
    <row r="604" spans="1:22">
      <c r="A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</row>
    <row r="605" spans="1:22">
      <c r="A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</row>
    <row r="606" spans="1:22">
      <c r="A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</row>
    <row r="607" spans="1:22">
      <c r="A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</row>
    <row r="608" spans="1:22">
      <c r="A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</row>
    <row r="609" spans="1:22">
      <c r="A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</row>
    <row r="610" spans="1:22">
      <c r="A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</row>
    <row r="611" spans="1:22">
      <c r="A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</row>
    <row r="612" spans="1:22">
      <c r="A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</row>
    <row r="613" spans="1:22">
      <c r="A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</row>
    <row r="614" spans="1:22">
      <c r="A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</row>
    <row r="615" spans="1:22">
      <c r="A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</row>
    <row r="616" spans="1:22">
      <c r="A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</row>
    <row r="617" spans="1:22">
      <c r="A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</row>
    <row r="618" spans="1:22">
      <c r="A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</row>
    <row r="619" spans="1:22">
      <c r="A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</row>
    <row r="620" spans="1:22">
      <c r="A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</row>
    <row r="621" spans="1:22">
      <c r="A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</row>
    <row r="622" spans="1:22">
      <c r="A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</row>
    <row r="623" spans="1:22">
      <c r="A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</row>
    <row r="624" spans="1:22">
      <c r="A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</row>
    <row r="625" spans="1:22">
      <c r="A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</row>
    <row r="626" spans="1:22">
      <c r="A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</row>
    <row r="627" spans="1:22">
      <c r="A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</row>
    <row r="628" spans="1:22">
      <c r="A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</row>
    <row r="629" spans="1:22">
      <c r="A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</row>
    <row r="630" spans="1:22">
      <c r="A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</row>
    <row r="631" spans="1:22">
      <c r="A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</row>
    <row r="632" spans="1:22">
      <c r="A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</row>
    <row r="633" spans="1:22">
      <c r="A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</row>
    <row r="634" spans="1:22">
      <c r="A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</row>
    <row r="635" spans="1:22">
      <c r="A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</row>
    <row r="636" spans="1:22">
      <c r="A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</row>
    <row r="637" spans="1:22">
      <c r="A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</row>
    <row r="638" spans="1:22">
      <c r="A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</row>
    <row r="639" spans="1:22">
      <c r="A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</row>
    <row r="640" spans="1:22">
      <c r="A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</row>
    <row r="641" spans="1:22">
      <c r="A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</row>
    <row r="642" spans="1:22">
      <c r="A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</row>
    <row r="643" spans="1:22">
      <c r="A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</row>
    <row r="644" spans="1:22">
      <c r="A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</row>
    <row r="645" spans="1:22">
      <c r="A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</row>
    <row r="646" spans="1:22">
      <c r="A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</row>
    <row r="647" spans="1:22">
      <c r="A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</row>
    <row r="648" spans="1:22">
      <c r="A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</row>
    <row r="649" spans="1:22">
      <c r="A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</row>
    <row r="650" spans="1:22">
      <c r="A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</row>
    <row r="651" spans="1:22">
      <c r="A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</row>
    <row r="652" spans="1:22">
      <c r="A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</row>
    <row r="653" spans="1:22">
      <c r="A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</row>
    <row r="654" spans="1:22">
      <c r="A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</row>
    <row r="655" spans="1:22">
      <c r="A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</row>
    <row r="656" spans="1:22">
      <c r="A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</row>
    <row r="657" spans="1:22">
      <c r="A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</row>
    <row r="658" spans="1:22">
      <c r="A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</row>
    <row r="659" spans="1:22">
      <c r="A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</row>
    <row r="660" spans="1:22">
      <c r="A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</row>
    <row r="661" spans="1:22">
      <c r="A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</row>
    <row r="662" spans="1:22">
      <c r="A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</row>
    <row r="663" spans="1:22">
      <c r="A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</row>
    <row r="664" spans="1:22">
      <c r="A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</row>
    <row r="665" spans="1:22">
      <c r="A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</row>
    <row r="666" spans="1:22">
      <c r="A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</row>
    <row r="667" spans="1:22">
      <c r="A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</row>
    <row r="668" spans="1:22">
      <c r="A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</row>
    <row r="669" spans="1:22">
      <c r="A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</row>
    <row r="670" spans="1:22">
      <c r="A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</row>
    <row r="671" spans="1:22">
      <c r="A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</row>
    <row r="672" spans="1:22">
      <c r="A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</row>
    <row r="673" spans="1:22">
      <c r="A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</row>
    <row r="674" spans="1:22">
      <c r="A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</row>
    <row r="675" spans="1:22">
      <c r="A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</row>
    <row r="676" spans="1:22">
      <c r="A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</row>
    <row r="677" spans="1:22">
      <c r="A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</row>
    <row r="678" spans="1:22">
      <c r="A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</row>
    <row r="679" spans="1:22">
      <c r="A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</row>
    <row r="680" spans="1:22">
      <c r="A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</row>
    <row r="681" spans="1:22">
      <c r="A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</row>
    <row r="682" spans="1:22">
      <c r="A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</row>
    <row r="683" spans="1:22">
      <c r="A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</row>
    <row r="684" spans="1:22">
      <c r="A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</row>
    <row r="685" spans="1:22">
      <c r="A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</row>
    <row r="686" spans="1:22">
      <c r="A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</row>
    <row r="687" spans="1:22">
      <c r="A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</row>
    <row r="688" spans="1:22">
      <c r="A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</row>
    <row r="689" spans="1:22">
      <c r="A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</row>
    <row r="690" spans="1:22">
      <c r="A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</row>
    <row r="691" spans="1:22">
      <c r="A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</row>
    <row r="692" spans="1:22">
      <c r="A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</row>
    <row r="693" spans="1:22">
      <c r="A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</row>
    <row r="694" spans="1:22">
      <c r="A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</row>
    <row r="695" spans="1:22">
      <c r="A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</row>
    <row r="696" spans="1:22">
      <c r="A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</row>
    <row r="697" spans="1:22">
      <c r="A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</row>
    <row r="698" spans="1:22">
      <c r="A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</row>
    <row r="699" spans="1:22">
      <c r="A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</row>
    <row r="700" spans="1:22">
      <c r="A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</row>
    <row r="701" spans="1:22">
      <c r="A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</row>
    <row r="702" spans="1:22">
      <c r="A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</row>
    <row r="703" spans="1:22">
      <c r="A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</row>
    <row r="704" spans="1:22">
      <c r="A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</row>
    <row r="705" spans="1:22">
      <c r="A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</row>
    <row r="706" spans="1:22">
      <c r="A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</row>
    <row r="707" spans="1:22">
      <c r="A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</row>
    <row r="708" spans="1:22">
      <c r="A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</row>
    <row r="709" spans="1:22">
      <c r="A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</row>
    <row r="710" spans="1:22">
      <c r="A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</row>
    <row r="711" spans="1:22">
      <c r="A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</row>
    <row r="712" spans="1:22">
      <c r="A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</row>
    <row r="713" spans="1:22">
      <c r="A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</row>
    <row r="714" spans="1:22">
      <c r="A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</row>
    <row r="715" spans="1:22">
      <c r="A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</row>
    <row r="716" spans="1:22">
      <c r="A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</row>
    <row r="717" spans="1:22">
      <c r="A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</row>
    <row r="718" spans="1:22">
      <c r="A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</row>
    <row r="719" spans="1:22">
      <c r="A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</row>
    <row r="720" spans="1:22">
      <c r="A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</row>
    <row r="721" spans="1:22">
      <c r="A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</row>
    <row r="722" spans="1:22">
      <c r="A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</row>
    <row r="723" spans="1:22">
      <c r="A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</row>
    <row r="724" spans="1:22">
      <c r="A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</row>
    <row r="725" spans="1:22">
      <c r="A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</row>
    <row r="726" spans="1:22">
      <c r="A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</row>
    <row r="727" spans="1:22">
      <c r="A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</row>
    <row r="728" spans="1:22">
      <c r="A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</row>
    <row r="729" spans="1:22">
      <c r="A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</row>
    <row r="730" spans="1:22">
      <c r="A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</row>
    <row r="731" spans="1:22">
      <c r="A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</row>
    <row r="732" spans="1:22">
      <c r="A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</row>
    <row r="733" spans="1:22">
      <c r="A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</row>
    <row r="734" spans="1:22">
      <c r="A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</row>
    <row r="735" spans="1:22">
      <c r="A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</row>
    <row r="736" spans="1:22">
      <c r="A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</row>
    <row r="737" spans="1:22">
      <c r="A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</row>
    <row r="738" spans="1:22">
      <c r="A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</row>
    <row r="739" spans="1:22">
      <c r="A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</row>
    <row r="740" spans="1:22">
      <c r="A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</row>
    <row r="741" spans="1:22">
      <c r="A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</row>
    <row r="742" spans="1:22">
      <c r="A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</row>
    <row r="743" spans="1:22">
      <c r="A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</row>
    <row r="744" spans="1:22">
      <c r="A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</row>
    <row r="745" spans="1:22">
      <c r="A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</row>
    <row r="746" spans="1:22">
      <c r="A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</row>
    <row r="747" spans="1:22">
      <c r="A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</row>
    <row r="748" spans="1:22">
      <c r="A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</row>
    <row r="749" spans="1:22">
      <c r="A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</row>
    <row r="750" spans="1:22">
      <c r="A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</row>
    <row r="751" spans="1:22">
      <c r="A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</row>
    <row r="752" spans="1:22">
      <c r="A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</row>
    <row r="753" spans="1:22">
      <c r="A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</row>
    <row r="754" spans="1:22">
      <c r="A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</row>
    <row r="755" spans="1:22">
      <c r="A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</row>
    <row r="756" spans="1:22">
      <c r="A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</row>
    <row r="757" spans="1:22">
      <c r="A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</row>
    <row r="758" spans="1:22">
      <c r="A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</row>
    <row r="759" spans="1:22">
      <c r="A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</row>
    <row r="760" spans="1:22">
      <c r="A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</row>
    <row r="761" spans="1:22">
      <c r="A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</row>
    <row r="762" spans="1:22">
      <c r="A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</row>
    <row r="763" spans="1:22">
      <c r="A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</row>
    <row r="764" spans="1:22">
      <c r="A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</row>
    <row r="765" spans="1:22">
      <c r="A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</row>
    <row r="766" spans="1:22">
      <c r="A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</row>
    <row r="767" spans="1:22">
      <c r="A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</row>
    <row r="768" spans="1:22">
      <c r="A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</row>
    <row r="769" spans="1:22">
      <c r="A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</row>
    <row r="770" spans="1:22">
      <c r="A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</row>
    <row r="771" spans="1:22">
      <c r="A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</row>
    <row r="772" spans="1:22">
      <c r="A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</row>
    <row r="773" spans="1:22">
      <c r="A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</row>
    <row r="774" spans="1:22">
      <c r="A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</row>
    <row r="775" spans="1:22">
      <c r="A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</row>
    <row r="776" spans="1:22">
      <c r="A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</row>
    <row r="777" spans="1:22">
      <c r="A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</row>
    <row r="778" spans="1:22">
      <c r="A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</row>
    <row r="779" spans="1:22">
      <c r="A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</row>
    <row r="780" spans="1:22">
      <c r="A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</row>
    <row r="781" spans="1:22">
      <c r="A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</row>
    <row r="782" spans="1:22">
      <c r="A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</row>
    <row r="783" spans="1:22">
      <c r="A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</row>
    <row r="784" spans="1:22">
      <c r="A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</row>
    <row r="785" spans="1:22">
      <c r="A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</row>
    <row r="786" spans="1:22">
      <c r="A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</row>
    <row r="787" spans="1:22">
      <c r="A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</row>
    <row r="788" spans="1:22">
      <c r="A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</row>
    <row r="789" spans="1:22">
      <c r="A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</row>
    <row r="790" spans="1:22">
      <c r="A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</row>
    <row r="791" spans="1:22">
      <c r="A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</row>
    <row r="792" spans="1:22">
      <c r="A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</row>
    <row r="793" spans="1:22">
      <c r="A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</row>
    <row r="794" spans="1:22">
      <c r="A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</row>
    <row r="795" spans="1:22">
      <c r="A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</row>
    <row r="796" spans="1:22">
      <c r="A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</row>
    <row r="797" spans="1:22">
      <c r="A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</row>
    <row r="798" spans="1:22">
      <c r="A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</row>
    <row r="799" spans="1:22">
      <c r="A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</row>
    <row r="800" spans="1:22">
      <c r="A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</row>
    <row r="801" spans="1:22">
      <c r="A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</row>
    <row r="802" spans="1:22">
      <c r="A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</row>
    <row r="803" spans="1:22">
      <c r="A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</row>
    <row r="804" spans="1:22">
      <c r="A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</row>
    <row r="805" spans="1:22">
      <c r="A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</row>
    <row r="806" spans="1:22">
      <c r="A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</row>
    <row r="807" spans="1:22">
      <c r="A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</row>
    <row r="808" spans="1:22">
      <c r="A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</row>
    <row r="809" spans="1:22">
      <c r="A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</row>
    <row r="810" spans="1:22">
      <c r="A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</row>
    <row r="811" spans="1:22">
      <c r="A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</row>
    <row r="812" spans="1:22">
      <c r="A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</row>
    <row r="813" spans="1:22">
      <c r="A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</row>
    <row r="814" spans="1:22">
      <c r="A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</row>
    <row r="815" spans="1:22">
      <c r="A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</row>
    <row r="816" spans="1:22">
      <c r="A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</row>
    <row r="817" spans="1:22">
      <c r="A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</row>
    <row r="818" spans="1:22">
      <c r="A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</row>
    <row r="819" spans="1:22">
      <c r="A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</row>
    <row r="820" spans="1:22">
      <c r="A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</row>
    <row r="821" spans="1:22">
      <c r="A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</row>
    <row r="822" spans="1:22">
      <c r="A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</row>
    <row r="823" spans="1:22">
      <c r="A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</row>
    <row r="824" spans="1:22">
      <c r="A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</row>
    <row r="825" spans="1:22">
      <c r="A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</row>
    <row r="826" spans="1:22">
      <c r="A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</row>
    <row r="827" spans="1:22">
      <c r="A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</row>
    <row r="828" spans="1:22">
      <c r="A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</row>
    <row r="829" spans="1:22">
      <c r="A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</row>
    <row r="830" spans="1:22">
      <c r="A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</row>
    <row r="831" spans="1:22">
      <c r="A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</row>
    <row r="832" spans="1:22">
      <c r="A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</row>
    <row r="833" spans="1:22">
      <c r="A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</row>
    <row r="834" spans="1:22">
      <c r="A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</row>
    <row r="835" spans="1:22">
      <c r="A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</row>
    <row r="836" spans="1:22">
      <c r="A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</row>
    <row r="837" spans="1:22">
      <c r="A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</row>
    <row r="838" spans="1:22">
      <c r="A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</row>
    <row r="839" spans="1:22">
      <c r="A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</row>
    <row r="840" spans="1:22">
      <c r="A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</row>
    <row r="841" spans="1:22">
      <c r="A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</row>
    <row r="842" spans="1:22">
      <c r="A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</row>
    <row r="843" spans="1:22">
      <c r="A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</row>
    <row r="844" spans="1:22">
      <c r="A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</row>
    <row r="845" spans="1:22">
      <c r="A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</row>
    <row r="846" spans="1:22">
      <c r="A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</row>
    <row r="847" spans="1:22">
      <c r="A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</row>
    <row r="848" spans="1:22">
      <c r="A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</row>
    <row r="849" spans="1:22">
      <c r="A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</row>
    <row r="850" spans="1:22">
      <c r="A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</row>
    <row r="851" spans="1:22">
      <c r="A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</row>
    <row r="852" spans="1:22">
      <c r="A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</row>
    <row r="853" spans="1:22">
      <c r="A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</row>
    <row r="854" spans="1:22">
      <c r="A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</row>
    <row r="855" spans="1:22">
      <c r="A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</row>
    <row r="856" spans="1:22">
      <c r="A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</row>
    <row r="857" spans="1:22">
      <c r="A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</row>
    <row r="858" spans="1:22">
      <c r="A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</row>
    <row r="859" spans="1:22">
      <c r="A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</row>
    <row r="860" spans="1:22">
      <c r="A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</row>
    <row r="861" spans="1:22">
      <c r="A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</row>
    <row r="862" spans="1:22">
      <c r="A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</row>
    <row r="863" spans="1:22">
      <c r="A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</row>
    <row r="864" spans="1:22">
      <c r="A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</row>
    <row r="865" spans="1:22">
      <c r="A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</row>
    <row r="866" spans="1:22">
      <c r="A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</row>
    <row r="867" spans="1:22">
      <c r="A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</row>
    <row r="868" spans="1:22">
      <c r="A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</row>
    <row r="869" spans="1:22">
      <c r="A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</row>
    <row r="870" spans="1:22">
      <c r="A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</row>
    <row r="871" spans="1:22">
      <c r="A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</row>
    <row r="872" spans="1:22">
      <c r="A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</row>
    <row r="873" spans="1:22">
      <c r="A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</row>
    <row r="874" spans="1:22">
      <c r="A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</row>
    <row r="875" spans="1:22">
      <c r="A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</row>
    <row r="876" spans="1:22">
      <c r="A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</row>
    <row r="877" spans="1:22">
      <c r="A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</row>
    <row r="878" spans="1:22">
      <c r="A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</row>
    <row r="879" spans="1:22">
      <c r="A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</row>
    <row r="880" spans="1:22">
      <c r="A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</row>
    <row r="881" spans="1:22">
      <c r="A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</row>
    <row r="882" spans="1:22">
      <c r="A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</row>
    <row r="883" spans="1:22">
      <c r="A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</row>
    <row r="884" spans="1:22">
      <c r="A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</row>
    <row r="885" spans="1:22">
      <c r="A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</row>
    <row r="886" spans="1:22">
      <c r="A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</row>
    <row r="887" spans="1:22">
      <c r="A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</row>
    <row r="888" spans="1:22">
      <c r="A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</row>
    <row r="889" spans="1:22">
      <c r="A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</row>
    <row r="890" spans="1:22">
      <c r="A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</row>
    <row r="891" spans="1:22">
      <c r="A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</row>
    <row r="892" spans="1:22">
      <c r="A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</row>
    <row r="893" spans="1:22">
      <c r="A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</row>
    <row r="894" spans="1:22">
      <c r="A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</row>
    <row r="895" spans="1:22">
      <c r="A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</row>
    <row r="896" spans="1:22">
      <c r="A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</row>
    <row r="897" spans="1:22">
      <c r="A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</row>
    <row r="898" spans="1:22">
      <c r="A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</row>
    <row r="899" spans="1:22">
      <c r="A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</row>
    <row r="900" spans="1:22">
      <c r="A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</row>
    <row r="901" spans="1:22">
      <c r="A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</row>
    <row r="902" spans="1:22">
      <c r="A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</row>
    <row r="903" spans="1:22">
      <c r="A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</row>
    <row r="904" spans="1:22">
      <c r="A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</row>
    <row r="905" spans="1:22">
      <c r="A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</row>
    <row r="906" spans="1:22">
      <c r="A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</row>
    <row r="907" spans="1:22">
      <c r="A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</row>
    <row r="908" spans="1:22">
      <c r="A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</row>
    <row r="909" spans="1:22">
      <c r="A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</row>
    <row r="910" spans="1:22">
      <c r="A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</row>
    <row r="911" spans="1:22">
      <c r="A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</row>
    <row r="912" spans="1:22">
      <c r="A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</row>
    <row r="913" spans="1:22">
      <c r="A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</row>
    <row r="914" spans="1:22">
      <c r="A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</row>
    <row r="915" spans="1:22">
      <c r="A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</row>
    <row r="916" spans="1:22">
      <c r="A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</row>
    <row r="917" spans="1:22">
      <c r="A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</row>
    <row r="918" spans="1:22">
      <c r="A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</row>
    <row r="919" spans="1:22">
      <c r="A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</row>
    <row r="920" spans="1:22">
      <c r="A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</row>
    <row r="921" spans="1:22">
      <c r="A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</row>
    <row r="922" spans="1:22">
      <c r="A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</row>
    <row r="923" spans="1:22">
      <c r="A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</row>
    <row r="924" spans="1:22">
      <c r="A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</row>
    <row r="925" spans="1:22">
      <c r="A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</row>
    <row r="926" spans="1:22">
      <c r="A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</row>
    <row r="927" spans="1:22">
      <c r="A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</row>
    <row r="928" spans="1:22">
      <c r="A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</row>
    <row r="929" spans="1:22">
      <c r="A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</row>
    <row r="930" spans="1:22">
      <c r="A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</row>
    <row r="931" spans="1:22">
      <c r="A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</row>
    <row r="932" spans="1:22">
      <c r="A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</row>
    <row r="933" spans="1:22">
      <c r="A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</row>
    <row r="934" spans="1:22">
      <c r="A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</row>
    <row r="935" spans="1:22">
      <c r="A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</row>
    <row r="936" spans="1:22">
      <c r="A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</row>
    <row r="937" spans="1:22">
      <c r="A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</row>
    <row r="938" spans="1:22">
      <c r="A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</row>
    <row r="939" spans="1:22">
      <c r="A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</row>
    <row r="940" spans="1:22">
      <c r="A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</row>
    <row r="941" spans="1:22">
      <c r="A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</row>
    <row r="942" spans="1:22">
      <c r="A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</row>
    <row r="943" spans="1:22">
      <c r="A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</row>
    <row r="944" spans="1:22">
      <c r="A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</row>
    <row r="945" spans="1:22">
      <c r="A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</row>
    <row r="946" spans="1:22">
      <c r="A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</row>
    <row r="947" spans="1:22">
      <c r="A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</row>
    <row r="948" spans="1:22">
      <c r="A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</row>
    <row r="949" spans="1:22">
      <c r="A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</row>
    <row r="950" spans="1:22">
      <c r="A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</row>
    <row r="951" spans="1:22">
      <c r="A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</row>
    <row r="952" spans="1:22">
      <c r="A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</row>
    <row r="953" spans="1:22">
      <c r="A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</row>
    <row r="954" spans="1:22">
      <c r="A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</row>
    <row r="955" spans="1:22">
      <c r="A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</row>
    <row r="956" spans="1:22">
      <c r="A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</row>
    <row r="957" spans="1:22">
      <c r="A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</row>
    <row r="958" spans="1:22">
      <c r="A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</row>
    <row r="959" spans="1:22">
      <c r="A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</row>
    <row r="960" spans="1:22">
      <c r="A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</row>
    <row r="961" spans="1:22">
      <c r="A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</row>
    <row r="962" spans="1:22">
      <c r="A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</row>
    <row r="963" spans="1:22">
      <c r="A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</row>
    <row r="964" spans="1:22">
      <c r="A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</row>
    <row r="965" spans="1:22">
      <c r="A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</row>
    <row r="966" spans="1:22">
      <c r="A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</row>
    <row r="967" spans="1:22">
      <c r="A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</row>
    <row r="968" spans="1:22">
      <c r="A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</row>
    <row r="969" spans="1:22">
      <c r="A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</row>
    <row r="970" spans="1:22">
      <c r="A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</row>
    <row r="971" spans="1:22">
      <c r="A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</row>
    <row r="972" spans="1:22">
      <c r="A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</row>
    <row r="973" spans="1:22">
      <c r="A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</row>
    <row r="974" spans="1:22">
      <c r="A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</row>
    <row r="975" spans="1:22">
      <c r="A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</row>
    <row r="976" spans="1:22">
      <c r="A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</row>
    <row r="977" spans="1:22">
      <c r="A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</row>
    <row r="978" spans="1:22">
      <c r="A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</row>
    <row r="979" spans="1:22">
      <c r="A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</row>
    <row r="980" spans="1:22">
      <c r="A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</row>
    <row r="981" spans="1:22">
      <c r="A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</row>
    <row r="982" spans="1:22">
      <c r="A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</row>
    <row r="983" spans="1:22">
      <c r="A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</row>
    <row r="984" spans="1:22">
      <c r="A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</row>
    <row r="985" spans="1:22">
      <c r="A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</row>
    <row r="986" spans="1:22">
      <c r="A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</row>
    <row r="987" spans="1:22">
      <c r="A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</row>
    <row r="988" spans="1:22">
      <c r="A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</row>
    <row r="989" spans="1:22">
      <c r="A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</row>
    <row r="990" spans="1:22">
      <c r="A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</row>
    <row r="991" spans="1:22">
      <c r="A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</row>
    <row r="992" spans="1:22">
      <c r="A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</row>
    <row r="993" spans="1:22">
      <c r="A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</row>
    <row r="994" spans="1:22">
      <c r="A994" s="40"/>
    </row>
    <row r="995" spans="1:22">
      <c r="A995" s="40"/>
    </row>
    <row r="996" spans="1:22">
      <c r="A996" s="40"/>
    </row>
    <row r="997" spans="1:22">
      <c r="A997" s="40"/>
    </row>
    <row r="998" spans="1:22">
      <c r="A998" s="40"/>
    </row>
    <row r="999" spans="1:22">
      <c r="A999" s="40"/>
    </row>
    <row r="1000" spans="1:22">
      <c r="A1000" s="40"/>
    </row>
    <row r="1001" spans="1:22">
      <c r="A1001" s="40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defaultColWidth="12.5703125" defaultRowHeight="15.75" customHeight="1"/>
  <cols>
    <col min="1" max="1" width="9.85546875" customWidth="1"/>
    <col min="2" max="2" width="16.85546875" customWidth="1"/>
  </cols>
  <sheetData>
    <row r="1" spans="1:14">
      <c r="A1" s="21"/>
      <c r="B1" s="22"/>
      <c r="C1" s="22"/>
      <c r="D1" s="22"/>
      <c r="E1" s="22"/>
      <c r="F1" s="23"/>
      <c r="G1" s="23"/>
      <c r="H1" s="23"/>
      <c r="I1" s="23"/>
      <c r="J1" s="24" t="s">
        <v>496</v>
      </c>
      <c r="K1" s="24" t="s">
        <v>498</v>
      </c>
      <c r="L1" s="24" t="s">
        <v>499</v>
      </c>
      <c r="M1" s="24" t="s">
        <v>500</v>
      </c>
      <c r="N1" t="s">
        <v>487</v>
      </c>
    </row>
    <row r="2" spans="1:14">
      <c r="A2" s="21"/>
      <c r="B2" s="22"/>
      <c r="C2" s="22"/>
      <c r="D2" s="22"/>
      <c r="E2" s="22"/>
      <c r="F2" s="23"/>
      <c r="G2" s="23"/>
      <c r="H2" s="23"/>
      <c r="I2" s="23"/>
      <c r="J2" s="24" t="s">
        <v>98</v>
      </c>
      <c r="K2" s="24" t="s">
        <v>98</v>
      </c>
      <c r="L2" s="24" t="s">
        <v>98</v>
      </c>
      <c r="M2" s="24" t="s">
        <v>98</v>
      </c>
      <c r="N2" t="s">
        <v>93</v>
      </c>
    </row>
    <row r="3" spans="1:14">
      <c r="A3" s="26"/>
      <c r="B3" s="26"/>
      <c r="C3" s="27"/>
      <c r="D3" s="27"/>
      <c r="E3" s="27"/>
      <c r="F3" s="44"/>
      <c r="G3" s="44"/>
      <c r="H3" s="44"/>
      <c r="I3" s="44"/>
      <c r="J3" s="29">
        <f ca="1">DATEDIF(J4,NOW(),"M")</f>
        <v>8</v>
      </c>
      <c r="K3" s="29">
        <f ca="1">DATEDIF(K4,NOW(),"M")</f>
        <v>6</v>
      </c>
      <c r="L3" s="29">
        <f ca="1">DATEDIF(L4,NOW(),"M")</f>
        <v>5</v>
      </c>
      <c r="M3" s="29">
        <f ca="1">DATEDIF(M4,NOW(),"M")</f>
        <v>4</v>
      </c>
    </row>
    <row r="4" spans="1:14">
      <c r="A4" s="26"/>
      <c r="B4" s="26"/>
      <c r="C4" s="60" t="s">
        <v>101</v>
      </c>
      <c r="D4" s="61"/>
      <c r="E4" s="62"/>
      <c r="F4" s="31"/>
      <c r="G4" s="31"/>
      <c r="H4" s="31"/>
      <c r="I4" s="31"/>
      <c r="J4" s="32">
        <v>45658</v>
      </c>
      <c r="K4" s="32">
        <v>45717</v>
      </c>
      <c r="L4" s="32">
        <v>45748</v>
      </c>
      <c r="M4" s="32">
        <v>45778</v>
      </c>
    </row>
    <row r="5" spans="1:14">
      <c r="A5" s="26"/>
      <c r="B5" s="26"/>
      <c r="C5" s="63"/>
      <c r="D5" s="64"/>
      <c r="E5" s="65"/>
      <c r="F5" s="34"/>
      <c r="G5" s="34"/>
      <c r="H5" s="34"/>
      <c r="I5" s="34"/>
      <c r="J5" s="29">
        <v>2025</v>
      </c>
      <c r="K5" s="29">
        <v>2025</v>
      </c>
      <c r="L5" s="29">
        <v>2025</v>
      </c>
      <c r="M5" s="29">
        <v>2025</v>
      </c>
    </row>
    <row r="6" spans="1:14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/>
      <c r="G6" s="28"/>
      <c r="H6" s="28"/>
      <c r="I6" s="28"/>
      <c r="J6" s="37" t="s">
        <v>15</v>
      </c>
      <c r="K6" s="37" t="s">
        <v>15</v>
      </c>
      <c r="L6" s="37" t="s">
        <v>15</v>
      </c>
      <c r="M6" s="37" t="s">
        <v>15</v>
      </c>
      <c r="N6" t="s">
        <v>18</v>
      </c>
    </row>
    <row r="7" spans="1:14">
      <c r="A7" s="38">
        <v>1</v>
      </c>
      <c r="B7" s="39" t="s">
        <v>28</v>
      </c>
      <c r="C7" s="38">
        <f ca="1">COUNTIFS(F7:M7,"&gt;0",$F$3:M$3,"&lt;13")</f>
        <v>2</v>
      </c>
      <c r="D7" s="38">
        <f ca="1">SUMIF($F$3:M$3,"&lt;13",F7:M7)</f>
        <v>930</v>
      </c>
      <c r="E7" s="38">
        <f ca="1">IFERROR(__xludf.DUMMYFUNCTION("ARRAY_CONSTRAIN(ARRAYFORMULA(SUMPRODUCT(LARGE(FILTER(F7:M7, F$3:M$3 &lt; 13),{1,2,3,4,5,6,7}))), 1, 1)"),930)</f>
        <v>930</v>
      </c>
      <c r="F7" s="43">
        <v>0</v>
      </c>
      <c r="G7" s="43">
        <v>0</v>
      </c>
      <c r="H7" s="43">
        <v>0</v>
      </c>
      <c r="I7" s="43">
        <v>0</v>
      </c>
      <c r="J7" s="45">
        <v>0</v>
      </c>
      <c r="K7" s="40">
        <v>450</v>
      </c>
      <c r="L7" s="40">
        <v>0</v>
      </c>
      <c r="M7" s="40">
        <v>480</v>
      </c>
      <c r="N7">
        <v>0</v>
      </c>
    </row>
    <row r="8" spans="1:14">
      <c r="A8" s="38">
        <v>2</v>
      </c>
      <c r="B8" s="39" t="s">
        <v>30</v>
      </c>
      <c r="C8" s="38">
        <f>COUNTIFS(F8:M8,"&gt;0",$F$3:M$3,"&lt;13")</f>
        <v>0</v>
      </c>
      <c r="D8" s="38">
        <f ca="1">SUMIF($F$3:M$3,"&lt;13",F8:M8)</f>
        <v>0</v>
      </c>
      <c r="E8" s="38">
        <f ca="1">IFERROR(__xludf.DUMMYFUNCTION("ARRAY_CONSTRAIN(ARRAYFORMULA(SUMPRODUCT(LARGE(FILTER(F8:M8, F$3:M$3 &lt; 13),{1,2,3,4,5,6,7}))), 1, 1)"),0)</f>
        <v>0</v>
      </c>
      <c r="F8" s="43">
        <v>0</v>
      </c>
      <c r="G8" s="43">
        <v>0</v>
      </c>
      <c r="H8" s="43">
        <v>0</v>
      </c>
      <c r="I8" s="43">
        <v>0</v>
      </c>
      <c r="J8" s="45">
        <v>0</v>
      </c>
      <c r="K8" s="40">
        <v>0</v>
      </c>
      <c r="L8" s="40">
        <v>0</v>
      </c>
      <c r="M8" s="40">
        <v>0</v>
      </c>
      <c r="N8">
        <v>0</v>
      </c>
    </row>
    <row r="9" spans="1:14">
      <c r="A9" s="38">
        <v>3</v>
      </c>
      <c r="B9" s="39" t="s">
        <v>29</v>
      </c>
      <c r="C9" s="38">
        <f>COUNTIFS(F9:M9,"&gt;0",$F$3:M$3,"&lt;13")</f>
        <v>0</v>
      </c>
      <c r="D9" s="38">
        <f ca="1">SUMIF($F$3:M$3,"&lt;13",F9:M9)</f>
        <v>0</v>
      </c>
      <c r="E9" s="38">
        <f ca="1">IFERROR(__xludf.DUMMYFUNCTION("ARRAY_CONSTRAIN(ARRAYFORMULA(SUMPRODUCT(LARGE(FILTER(F9:M9, F$3:M$3 &lt; 13),{1,2,3,4,5,6,7}))), 1, 1)"),0)</f>
        <v>0</v>
      </c>
      <c r="F9" s="43">
        <v>0</v>
      </c>
      <c r="G9" s="43">
        <v>0</v>
      </c>
      <c r="H9" s="43">
        <v>0</v>
      </c>
      <c r="I9" s="43">
        <v>0</v>
      </c>
      <c r="J9" s="45">
        <v>0</v>
      </c>
      <c r="K9" s="40">
        <v>0</v>
      </c>
      <c r="L9" s="40">
        <v>0</v>
      </c>
      <c r="M9" s="40">
        <v>0</v>
      </c>
      <c r="N9">
        <v>80</v>
      </c>
    </row>
    <row r="10" spans="1:14">
      <c r="A10" s="38">
        <v>4</v>
      </c>
      <c r="B10" s="39" t="s">
        <v>504</v>
      </c>
      <c r="C10" s="38">
        <f>COUNTIFS(F10:M10,"&gt;0",$F$3:M$3,"&lt;13")</f>
        <v>0</v>
      </c>
      <c r="D10" s="38">
        <f ca="1">SUMIF($F$3:M$3,"&lt;13",F10:M10)</f>
        <v>0</v>
      </c>
      <c r="E10" s="38">
        <f ca="1">IFERROR(__xludf.DUMMYFUNCTION("ARRAY_CONSTRAIN(ARRAYFORMULA(SUMPRODUCT(LARGE(FILTER(F10:M10, F$3:M$3 &lt; 13),{1,2,3,4,5,6,7}))), 1, 1)"),0)</f>
        <v>0</v>
      </c>
      <c r="F10" s="43">
        <v>0</v>
      </c>
      <c r="G10" s="43">
        <v>0</v>
      </c>
      <c r="H10" s="43">
        <v>0</v>
      </c>
      <c r="I10" s="43">
        <v>0</v>
      </c>
      <c r="J10" s="45">
        <v>0</v>
      </c>
      <c r="K10" s="40">
        <v>0</v>
      </c>
      <c r="L10" s="40">
        <v>0</v>
      </c>
      <c r="M10" s="40">
        <v>0</v>
      </c>
      <c r="N10">
        <v>90</v>
      </c>
    </row>
    <row r="11" spans="1:14">
      <c r="A11" s="38">
        <v>5</v>
      </c>
      <c r="B11" s="39" t="s">
        <v>505</v>
      </c>
      <c r="C11" s="38">
        <f>COUNTIFS(F11:M11,"&gt;0",$F$3:M$3,"&lt;13")</f>
        <v>0</v>
      </c>
      <c r="D11" s="38">
        <f ca="1">SUMIF($F$3:M$3,"&lt;13",F11:M11)</f>
        <v>0</v>
      </c>
      <c r="E11" s="38">
        <f ca="1">IFERROR(__xludf.DUMMYFUNCTION("ARRAY_CONSTRAIN(ARRAYFORMULA(SUMPRODUCT(LARGE(FILTER(F11:M11, F$3:M$3 &lt; 13),{1,2,3,4,5,6,7}))), 1, 1)"),0)</f>
        <v>0</v>
      </c>
      <c r="F11" s="43">
        <v>0</v>
      </c>
      <c r="G11" s="43">
        <v>0</v>
      </c>
      <c r="H11" s="43">
        <v>0</v>
      </c>
      <c r="I11" s="43">
        <v>0</v>
      </c>
      <c r="J11" s="45">
        <v>0</v>
      </c>
      <c r="K11" s="40">
        <v>0</v>
      </c>
      <c r="L11" s="40">
        <v>0</v>
      </c>
      <c r="M11" s="40">
        <v>0</v>
      </c>
      <c r="N11">
        <v>80</v>
      </c>
    </row>
    <row r="12" spans="1:14">
      <c r="A12" s="38">
        <v>6</v>
      </c>
      <c r="B12" s="39" t="s">
        <v>519</v>
      </c>
      <c r="C12" s="38">
        <f>COUNTIFS(F12:M12,"&gt;0",$F$3:M$3,"&lt;13")</f>
        <v>0</v>
      </c>
      <c r="D12" s="38">
        <f ca="1">SUMIF($F$3:M$3,"&lt;13",F12:M12)</f>
        <v>0</v>
      </c>
      <c r="E12" s="38">
        <f ca="1">IFERROR(__xludf.DUMMYFUNCTION("ARRAY_CONSTRAIN(ARRAYFORMULA(SUMPRODUCT(LARGE(FILTER(F12:M12, F$3:M$3 &lt; 13),{1,2,3,4,5,6,7}))), 1, 1)"),0)</f>
        <v>0</v>
      </c>
      <c r="F12" s="43">
        <v>0</v>
      </c>
      <c r="G12" s="43">
        <v>0</v>
      </c>
      <c r="H12" s="43">
        <v>0</v>
      </c>
      <c r="I12" s="43">
        <v>0</v>
      </c>
      <c r="J12" s="45">
        <v>0</v>
      </c>
      <c r="K12" s="40">
        <v>0</v>
      </c>
      <c r="L12" s="40">
        <v>0</v>
      </c>
      <c r="M12" s="40">
        <v>0</v>
      </c>
      <c r="N12">
        <v>100</v>
      </c>
    </row>
    <row r="13" spans="1:14">
      <c r="A13" s="38">
        <v>7</v>
      </c>
      <c r="B13" s="39" t="s">
        <v>503</v>
      </c>
      <c r="C13" s="38">
        <f ca="1">COUNTIFS(F13:M13,"&gt;0",$F$3:M$3,"&lt;13")</f>
        <v>1</v>
      </c>
      <c r="D13" s="38">
        <f ca="1">SUMIF($F$3:M$3,"&lt;13",F13:M13)</f>
        <v>300</v>
      </c>
      <c r="E13" s="38">
        <f ca="1">IFERROR(__xludf.DUMMYFUNCTION("ARRAY_CONSTRAIN(ARRAYFORMULA(SUMPRODUCT(LARGE(FILTER(F13:M13, F$3:M$3 &lt; 13),{1,2,3,4,5,6,7}))), 1, 1)"),300)</f>
        <v>300</v>
      </c>
      <c r="F13" s="43">
        <v>0</v>
      </c>
      <c r="G13" s="43">
        <v>0</v>
      </c>
      <c r="H13" s="43">
        <v>0</v>
      </c>
      <c r="I13" s="43">
        <v>0</v>
      </c>
      <c r="J13" s="45">
        <v>300</v>
      </c>
      <c r="K13" s="40">
        <v>0</v>
      </c>
      <c r="L13" s="40">
        <v>0</v>
      </c>
      <c r="M13" s="40">
        <v>0</v>
      </c>
      <c r="N13">
        <v>0</v>
      </c>
    </row>
    <row r="14" spans="1:14">
      <c r="A14" s="38">
        <v>8</v>
      </c>
      <c r="B14" s="39" t="s">
        <v>554</v>
      </c>
      <c r="C14" s="38">
        <f>COUNTIFS(F14:M14,"&gt;0",$F$3:M$3,"&lt;13")</f>
        <v>0</v>
      </c>
      <c r="D14" s="38">
        <f ca="1">SUMIF($F$3:M$3,"&lt;13",F14:M14)</f>
        <v>0</v>
      </c>
      <c r="E14" s="38">
        <f ca="1">IFERROR(__xludf.DUMMYFUNCTION("ARRAY_CONSTRAIN(ARRAYFORMULA(SUMPRODUCT(LARGE(FILTER(F14:M14, F$3:M$3 &lt; 13),{1,2,3,4,5,6,7}))), 1, 1)"),0)</f>
        <v>0</v>
      </c>
      <c r="F14" s="43">
        <v>0</v>
      </c>
      <c r="G14" s="43">
        <v>0</v>
      </c>
      <c r="H14" s="43">
        <v>0</v>
      </c>
      <c r="I14" s="43">
        <v>0</v>
      </c>
      <c r="J14" s="45">
        <v>0</v>
      </c>
      <c r="K14" s="40">
        <v>0</v>
      </c>
      <c r="L14" s="40">
        <v>0</v>
      </c>
      <c r="M14" s="40">
        <v>0</v>
      </c>
      <c r="N14">
        <v>0</v>
      </c>
    </row>
    <row r="15" spans="1:14">
      <c r="A15" s="38">
        <v>9</v>
      </c>
      <c r="B15" s="39" t="s">
        <v>44</v>
      </c>
      <c r="C15" s="38">
        <f>COUNTIFS(F15:M15,"&gt;0",$F$3:M$3,"&lt;13")</f>
        <v>0</v>
      </c>
      <c r="D15" s="38">
        <f ca="1">SUMIF($F$3:M$3,"&lt;13",F15:M15)</f>
        <v>0</v>
      </c>
      <c r="E15" s="38">
        <f ca="1">IFERROR(__xludf.DUMMYFUNCTION("ARRAY_CONSTRAIN(ARRAYFORMULA(SUMPRODUCT(LARGE(FILTER(F15:M15, F$3:M$3 &lt; 13),{1,2,3,4,5,6,7}))), 1, 1)"),0)</f>
        <v>0</v>
      </c>
      <c r="F15" s="43">
        <v>0</v>
      </c>
      <c r="G15" s="43">
        <v>0</v>
      </c>
      <c r="H15" s="43">
        <v>0</v>
      </c>
      <c r="I15" s="43">
        <v>0</v>
      </c>
      <c r="J15" s="45">
        <v>0</v>
      </c>
      <c r="K15" s="40">
        <v>0</v>
      </c>
      <c r="L15" s="40">
        <v>0</v>
      </c>
      <c r="M15" s="40">
        <v>0</v>
      </c>
      <c r="N15">
        <v>0</v>
      </c>
    </row>
    <row r="16" spans="1:14">
      <c r="A16" s="38">
        <v>10</v>
      </c>
      <c r="B16" s="39" t="s">
        <v>510</v>
      </c>
      <c r="C16" s="38">
        <f>COUNTIFS(F16:M16,"&gt;0",$F$3:M$3,"&lt;13")</f>
        <v>0</v>
      </c>
      <c r="D16" s="38">
        <f ca="1">SUMIF($F$3:M$3,"&lt;13",F16:M16)</f>
        <v>0</v>
      </c>
      <c r="E16" s="38">
        <f ca="1">IFERROR(__xludf.DUMMYFUNCTION("ARRAY_CONSTRAIN(ARRAYFORMULA(SUMPRODUCT(LARGE(FILTER(F16:M16, F$3:M$3 &lt; 13),{1,2,3,4,5,6,7}))), 1, 1)"),0)</f>
        <v>0</v>
      </c>
      <c r="F16" s="43">
        <v>0</v>
      </c>
      <c r="G16" s="43">
        <v>0</v>
      </c>
      <c r="H16" s="43">
        <v>0</v>
      </c>
      <c r="I16" s="43">
        <v>0</v>
      </c>
      <c r="J16" s="45">
        <v>0</v>
      </c>
      <c r="K16" s="40">
        <v>0</v>
      </c>
      <c r="L16" s="40">
        <v>0</v>
      </c>
      <c r="M16" s="40">
        <v>0</v>
      </c>
      <c r="N16">
        <v>0</v>
      </c>
    </row>
    <row r="17" spans="1:14">
      <c r="A17" s="38">
        <v>11</v>
      </c>
      <c r="B17" s="39" t="s">
        <v>524</v>
      </c>
      <c r="C17" s="38">
        <f>COUNTIFS(F17:M17,"&gt;0",$F$3:M$3,"&lt;13")</f>
        <v>0</v>
      </c>
      <c r="D17" s="38">
        <f ca="1">SUMIF($F$3:M$3,"&lt;13",F17:M17)</f>
        <v>0</v>
      </c>
      <c r="E17" s="38">
        <f ca="1">IFERROR(__xludf.DUMMYFUNCTION("ARRAY_CONSTRAIN(ARRAYFORMULA(SUMPRODUCT(LARGE(FILTER(F17:M17, F$3:M$3 &lt; 13),{1,2,3,4,5,6,7}))), 1, 1)"),0)</f>
        <v>0</v>
      </c>
      <c r="F17" s="43">
        <v>0</v>
      </c>
      <c r="G17" s="43">
        <v>0</v>
      </c>
      <c r="H17" s="43">
        <v>0</v>
      </c>
      <c r="I17" s="43">
        <v>0</v>
      </c>
      <c r="J17" s="45">
        <v>0</v>
      </c>
      <c r="K17" s="40">
        <v>0</v>
      </c>
      <c r="L17" s="40">
        <v>0</v>
      </c>
      <c r="M17" s="40">
        <v>0</v>
      </c>
      <c r="N17">
        <v>0</v>
      </c>
    </row>
    <row r="18" spans="1:14">
      <c r="A18" s="38">
        <v>12</v>
      </c>
      <c r="B18" s="39" t="s">
        <v>526</v>
      </c>
      <c r="C18" s="38">
        <f>COUNTIFS(F18:M18,"&gt;0",$F$3:M$3,"&lt;13")</f>
        <v>0</v>
      </c>
      <c r="D18" s="38">
        <f ca="1">SUMIF($F$3:M$3,"&lt;13",F18:M18)</f>
        <v>0</v>
      </c>
      <c r="E18" s="38">
        <f ca="1">IFERROR(__xludf.DUMMYFUNCTION("ARRAY_CONSTRAIN(ARRAYFORMULA(SUMPRODUCT(LARGE(FILTER(F18:M18, F$3:M$3 &lt; 13),{1,2,3,4,5,6,7}))), 1, 1)"),0)</f>
        <v>0</v>
      </c>
      <c r="F18" s="43">
        <v>0</v>
      </c>
      <c r="G18" s="43">
        <v>0</v>
      </c>
      <c r="H18" s="43">
        <v>0</v>
      </c>
      <c r="I18" s="43">
        <v>0</v>
      </c>
      <c r="J18" s="45">
        <v>0</v>
      </c>
      <c r="K18" s="40">
        <v>0</v>
      </c>
      <c r="L18" s="40">
        <v>0</v>
      </c>
      <c r="M18" s="40">
        <v>0</v>
      </c>
      <c r="N18">
        <v>0</v>
      </c>
    </row>
    <row r="19" spans="1:14">
      <c r="A19" s="38">
        <v>13</v>
      </c>
      <c r="B19" s="39" t="s">
        <v>558</v>
      </c>
      <c r="C19" s="38">
        <f>COUNTIFS(F19:M19,"&gt;0",$F$3:M$3,"&lt;13")</f>
        <v>0</v>
      </c>
      <c r="D19" s="38">
        <f ca="1">SUMIF($F$3:M$3,"&lt;13",F19:M19)</f>
        <v>0</v>
      </c>
      <c r="E19" s="38">
        <f ca="1">IFERROR(__xludf.DUMMYFUNCTION("ARRAY_CONSTRAIN(ARRAYFORMULA(SUMPRODUCT(LARGE(FILTER(F19:M19, F$3:M$3 &lt; 13),{1,2,3,4,5,6,7}))), 1, 1)"),0)</f>
        <v>0</v>
      </c>
      <c r="F19" s="43">
        <v>0</v>
      </c>
      <c r="G19" s="43">
        <v>0</v>
      </c>
      <c r="H19" s="43">
        <v>0</v>
      </c>
      <c r="I19" s="43">
        <v>0</v>
      </c>
      <c r="J19" s="45">
        <v>0</v>
      </c>
      <c r="K19" s="40">
        <v>0</v>
      </c>
      <c r="L19" s="40">
        <v>0</v>
      </c>
      <c r="M19" s="40">
        <v>0</v>
      </c>
      <c r="N19">
        <v>0</v>
      </c>
    </row>
    <row r="20" spans="1:14">
      <c r="A20" s="38">
        <v>14</v>
      </c>
      <c r="B20" s="39" t="s">
        <v>511</v>
      </c>
      <c r="C20" s="38">
        <f>COUNTIFS(F20:M20,"&gt;0",$F$3:M$3,"&lt;13")</f>
        <v>0</v>
      </c>
      <c r="D20" s="38">
        <f ca="1">SUMIF($F$3:M$3,"&lt;13",F20:M20)</f>
        <v>0</v>
      </c>
      <c r="E20" s="38">
        <f ca="1">IFERROR(__xludf.DUMMYFUNCTION("ARRAY_CONSTRAIN(ARRAYFORMULA(SUMPRODUCT(LARGE(FILTER(F20:M20, F$3:M$3 &lt; 13),{1,2,3,4,5,6,7}))), 1, 1)"),0)</f>
        <v>0</v>
      </c>
      <c r="F20" s="43">
        <v>0</v>
      </c>
      <c r="G20" s="43">
        <v>0</v>
      </c>
      <c r="H20" s="43">
        <v>0</v>
      </c>
      <c r="I20" s="43">
        <v>0</v>
      </c>
      <c r="J20" s="45">
        <v>0</v>
      </c>
      <c r="K20" s="40">
        <v>0</v>
      </c>
      <c r="L20" s="40">
        <v>0</v>
      </c>
      <c r="M20" s="40">
        <v>0</v>
      </c>
      <c r="N20">
        <v>0</v>
      </c>
    </row>
    <row r="21" spans="1:14">
      <c r="A21" s="38">
        <v>16</v>
      </c>
      <c r="B21" s="39" t="s">
        <v>506</v>
      </c>
      <c r="C21" s="38"/>
      <c r="D21" s="38"/>
      <c r="E21" s="38"/>
      <c r="F21" s="38"/>
      <c r="G21" s="38"/>
      <c r="H21" s="38"/>
      <c r="I21" s="38">
        <v>0</v>
      </c>
      <c r="J21" s="40">
        <v>0</v>
      </c>
      <c r="K21" s="40">
        <v>0</v>
      </c>
      <c r="L21" s="40">
        <v>0</v>
      </c>
      <c r="M21" s="40">
        <v>0</v>
      </c>
      <c r="N21">
        <v>70</v>
      </c>
    </row>
    <row r="22" spans="1:14">
      <c r="A22" s="38">
        <v>17</v>
      </c>
      <c r="B22" s="39" t="s">
        <v>512</v>
      </c>
      <c r="C22" s="38"/>
      <c r="D22" s="38"/>
      <c r="E22" s="38"/>
      <c r="F22" s="38"/>
      <c r="G22" s="38"/>
      <c r="H22" s="38"/>
      <c r="I22" s="38">
        <v>0</v>
      </c>
      <c r="J22" s="40">
        <v>0</v>
      </c>
      <c r="K22" s="40">
        <v>0</v>
      </c>
      <c r="L22" s="40">
        <v>0</v>
      </c>
      <c r="M22" s="40">
        <v>0</v>
      </c>
      <c r="N22">
        <v>60</v>
      </c>
    </row>
    <row r="23" spans="1:14">
      <c r="A23" s="38"/>
      <c r="C23" s="38"/>
      <c r="D23" s="38"/>
      <c r="E23" s="38"/>
      <c r="F23" s="38"/>
      <c r="G23" s="38"/>
      <c r="H23" s="38"/>
      <c r="I23" s="38"/>
      <c r="J23" s="40"/>
      <c r="K23" s="40"/>
      <c r="L23" s="40"/>
      <c r="M23" s="40"/>
    </row>
    <row r="24" spans="1:14">
      <c r="A24" s="38"/>
      <c r="C24" s="38"/>
      <c r="D24" s="38"/>
      <c r="E24" s="38"/>
      <c r="F24" s="38"/>
      <c r="G24" s="38"/>
      <c r="H24" s="38"/>
      <c r="I24" s="38"/>
      <c r="J24" s="40"/>
      <c r="K24" s="40"/>
      <c r="L24" s="40"/>
      <c r="M24" s="40"/>
    </row>
    <row r="25" spans="1:14">
      <c r="A25" s="38"/>
      <c r="B25" s="39"/>
      <c r="C25" s="38"/>
      <c r="D25" s="38"/>
      <c r="E25" s="38"/>
      <c r="F25" s="38"/>
      <c r="G25" s="38"/>
      <c r="H25" s="38"/>
      <c r="I25" s="38"/>
      <c r="J25" s="40"/>
      <c r="K25" s="40"/>
      <c r="L25" s="40"/>
      <c r="M25" s="40"/>
    </row>
    <row r="26" spans="1:14">
      <c r="A26" s="38"/>
      <c r="B26" s="39"/>
      <c r="C26" s="38"/>
      <c r="D26" s="38"/>
      <c r="E26" s="38"/>
      <c r="F26" s="38"/>
      <c r="G26" s="38"/>
      <c r="H26" s="38"/>
      <c r="I26" s="38"/>
      <c r="J26" s="40"/>
      <c r="K26" s="40"/>
      <c r="L26" s="40"/>
      <c r="M26" s="40"/>
    </row>
    <row r="27" spans="1:14">
      <c r="A27" s="38"/>
      <c r="B27" s="39"/>
      <c r="C27" s="38"/>
      <c r="D27" s="38"/>
      <c r="E27" s="38"/>
      <c r="F27" s="38"/>
      <c r="G27" s="38"/>
      <c r="H27" s="38"/>
      <c r="I27" s="38"/>
      <c r="J27" s="40"/>
      <c r="K27" s="40"/>
      <c r="L27" s="40"/>
      <c r="M27" s="40"/>
    </row>
    <row r="28" spans="1:14">
      <c r="A28" s="38"/>
      <c r="B28" s="39"/>
      <c r="C28" s="38"/>
      <c r="D28" s="38"/>
      <c r="E28" s="38"/>
      <c r="F28" s="38"/>
      <c r="G28" s="38"/>
      <c r="H28" s="38"/>
      <c r="I28" s="38"/>
      <c r="J28" s="40"/>
      <c r="K28" s="40"/>
      <c r="L28" s="40"/>
      <c r="M28" s="40"/>
    </row>
    <row r="29" spans="1:14">
      <c r="A29" s="40"/>
      <c r="B29" s="39"/>
      <c r="C29" s="38"/>
      <c r="D29" s="38"/>
      <c r="E29" s="38"/>
      <c r="F29" s="38"/>
      <c r="G29" s="38"/>
      <c r="H29" s="38"/>
      <c r="I29" s="38"/>
      <c r="J29" s="40"/>
      <c r="K29" s="40"/>
      <c r="L29" s="40"/>
      <c r="M29" s="40"/>
    </row>
    <row r="30" spans="1:14">
      <c r="A30" s="40"/>
      <c r="B30" s="39"/>
      <c r="C30" s="38"/>
      <c r="D30" s="38"/>
      <c r="E30" s="38"/>
      <c r="F30" s="38"/>
      <c r="G30" s="38"/>
      <c r="H30" s="38"/>
      <c r="I30" s="38"/>
      <c r="J30" s="40"/>
      <c r="K30" s="40"/>
      <c r="L30" s="40"/>
      <c r="M30" s="40"/>
    </row>
    <row r="31" spans="1:14">
      <c r="A31" s="38"/>
      <c r="B31" s="39"/>
      <c r="C31" s="38"/>
      <c r="D31" s="38"/>
      <c r="E31" s="38"/>
      <c r="F31" s="38"/>
      <c r="G31" s="38"/>
      <c r="H31" s="38"/>
      <c r="I31" s="38"/>
      <c r="J31" s="40"/>
      <c r="K31" s="40"/>
      <c r="L31" s="40"/>
      <c r="M31" s="40"/>
    </row>
    <row r="32" spans="1:14">
      <c r="A32" s="38"/>
      <c r="B32" s="39"/>
      <c r="C32" s="38"/>
      <c r="D32" s="38"/>
      <c r="E32" s="38"/>
      <c r="F32" s="38"/>
      <c r="G32" s="38"/>
      <c r="H32" s="38"/>
      <c r="I32" s="38"/>
      <c r="J32" s="40"/>
      <c r="K32" s="40"/>
      <c r="L32" s="40"/>
      <c r="M32" s="40"/>
    </row>
    <row r="33" spans="1:13">
      <c r="A33" s="38"/>
      <c r="B33" s="39"/>
      <c r="C33" s="38"/>
      <c r="D33" s="38"/>
      <c r="E33" s="38"/>
      <c r="F33" s="38"/>
      <c r="G33" s="38"/>
      <c r="H33" s="38"/>
      <c r="I33" s="38"/>
      <c r="J33" s="40"/>
      <c r="K33" s="40"/>
      <c r="L33" s="40"/>
      <c r="M33" s="40"/>
    </row>
    <row r="34" spans="1:13">
      <c r="A34" s="38"/>
      <c r="B34" s="39"/>
      <c r="C34" s="38"/>
      <c r="D34" s="38"/>
      <c r="E34" s="38"/>
      <c r="F34" s="38"/>
      <c r="G34" s="38"/>
      <c r="H34" s="38"/>
      <c r="I34" s="38"/>
      <c r="J34" s="40"/>
      <c r="K34" s="40"/>
      <c r="L34" s="40"/>
      <c r="M34" s="40"/>
    </row>
    <row r="35" spans="1:13">
      <c r="A35" s="38"/>
      <c r="B35" s="39"/>
      <c r="C35" s="38"/>
      <c r="D35" s="38"/>
      <c r="E35" s="38"/>
      <c r="F35" s="38"/>
      <c r="G35" s="38"/>
      <c r="H35" s="38"/>
      <c r="I35" s="38"/>
      <c r="J35" s="40"/>
      <c r="K35" s="40"/>
      <c r="L35" s="40"/>
      <c r="M35" s="40"/>
    </row>
    <row r="36" spans="1:13">
      <c r="A36" s="38"/>
      <c r="B36" s="39"/>
      <c r="C36" s="38"/>
      <c r="D36" s="38"/>
      <c r="E36" s="38"/>
      <c r="F36" s="38"/>
      <c r="G36" s="38"/>
      <c r="H36" s="38"/>
      <c r="I36" s="38"/>
      <c r="J36" s="40"/>
      <c r="K36" s="40"/>
      <c r="L36" s="40"/>
      <c r="M36" s="40"/>
    </row>
    <row r="37" spans="1:13">
      <c r="A37" s="38"/>
      <c r="B37" s="39"/>
      <c r="C37" s="38"/>
      <c r="D37" s="38"/>
      <c r="E37" s="38"/>
      <c r="F37" s="38"/>
      <c r="G37" s="38"/>
      <c r="H37" s="38"/>
      <c r="I37" s="38"/>
      <c r="J37" s="40"/>
      <c r="K37" s="40"/>
      <c r="L37" s="40"/>
      <c r="M37" s="40"/>
    </row>
    <row r="38" spans="1:13">
      <c r="A38" s="38"/>
      <c r="B38" s="39"/>
      <c r="C38" s="38"/>
      <c r="D38" s="38"/>
      <c r="E38" s="38"/>
      <c r="F38" s="38"/>
      <c r="G38" s="38"/>
      <c r="H38" s="38"/>
      <c r="I38" s="38"/>
      <c r="J38" s="40"/>
      <c r="K38" s="40"/>
      <c r="L38" s="40"/>
      <c r="M38" s="40"/>
    </row>
    <row r="39" spans="1:13">
      <c r="A39" s="38"/>
      <c r="B39" s="39"/>
      <c r="C39" s="38"/>
      <c r="D39" s="38"/>
      <c r="E39" s="38"/>
      <c r="F39" s="40"/>
      <c r="G39" s="40"/>
      <c r="H39" s="40"/>
      <c r="I39" s="40"/>
      <c r="J39" s="40"/>
      <c r="K39" s="40"/>
      <c r="L39" s="40"/>
      <c r="M39" s="40"/>
    </row>
    <row r="40" spans="1:13">
      <c r="A40" s="38"/>
      <c r="B40" s="39"/>
      <c r="C40" s="38"/>
      <c r="D40" s="38"/>
      <c r="E40" s="38"/>
      <c r="F40" s="40"/>
      <c r="G40" s="40"/>
      <c r="H40" s="40"/>
      <c r="I40" s="40"/>
      <c r="J40" s="40"/>
      <c r="K40" s="40"/>
      <c r="L40" s="40"/>
      <c r="M40" s="40"/>
    </row>
    <row r="41" spans="1:13">
      <c r="A41" s="40"/>
      <c r="C41" s="38"/>
      <c r="D41" s="38"/>
      <c r="E41" s="38"/>
      <c r="F41" s="40"/>
      <c r="G41" s="40"/>
      <c r="H41" s="40"/>
      <c r="I41" s="40"/>
      <c r="J41" s="40"/>
      <c r="K41" s="40"/>
      <c r="L41" s="40"/>
      <c r="M41" s="40"/>
    </row>
    <row r="42" spans="1:13">
      <c r="A42" s="40"/>
      <c r="C42" s="38"/>
      <c r="D42" s="38"/>
      <c r="E42" s="38"/>
      <c r="F42" s="40"/>
      <c r="G42" s="40"/>
      <c r="H42" s="40"/>
      <c r="I42" s="40"/>
      <c r="J42" s="40"/>
      <c r="K42" s="40"/>
      <c r="L42" s="40"/>
      <c r="M42" s="40"/>
    </row>
    <row r="43" spans="1:13">
      <c r="A43" s="40"/>
      <c r="C43" s="38"/>
      <c r="D43" s="38"/>
      <c r="E43" s="38"/>
      <c r="F43" s="40"/>
      <c r="G43" s="40"/>
      <c r="H43" s="40"/>
      <c r="I43" s="40"/>
      <c r="J43" s="40"/>
      <c r="K43" s="40"/>
      <c r="L43" s="40"/>
      <c r="M43" s="40"/>
    </row>
    <row r="44" spans="1:13">
      <c r="A44" s="40"/>
      <c r="C44" s="38"/>
      <c r="D44" s="38"/>
      <c r="E44" s="38"/>
      <c r="F44" s="40"/>
      <c r="G44" s="40"/>
      <c r="H44" s="40"/>
      <c r="I44" s="40"/>
      <c r="J44" s="40"/>
      <c r="K44" s="40"/>
      <c r="L44" s="40"/>
      <c r="M44" s="40"/>
    </row>
    <row r="45" spans="1:13">
      <c r="A45" s="40"/>
      <c r="C45" s="38"/>
      <c r="D45" s="38"/>
      <c r="E45" s="38"/>
      <c r="F45" s="40"/>
      <c r="G45" s="40"/>
      <c r="H45" s="40"/>
      <c r="I45" s="40"/>
      <c r="J45" s="40"/>
      <c r="K45" s="40"/>
      <c r="L45" s="40"/>
      <c r="M45" s="40"/>
    </row>
    <row r="46" spans="1:13">
      <c r="A46" s="40"/>
      <c r="C46" s="38"/>
      <c r="D46" s="38"/>
      <c r="E46" s="38"/>
      <c r="F46" s="40"/>
      <c r="G46" s="40"/>
      <c r="H46" s="40"/>
      <c r="I46" s="40"/>
      <c r="J46" s="40"/>
      <c r="K46" s="40"/>
      <c r="L46" s="40"/>
      <c r="M46" s="40"/>
    </row>
    <row r="47" spans="1:13">
      <c r="A47" s="40"/>
      <c r="C47" s="38"/>
      <c r="D47" s="38"/>
      <c r="E47" s="38"/>
      <c r="F47" s="40"/>
      <c r="G47" s="40"/>
      <c r="H47" s="40"/>
      <c r="I47" s="40"/>
      <c r="J47" s="40"/>
      <c r="K47" s="40"/>
      <c r="L47" s="40"/>
      <c r="M47" s="40"/>
    </row>
    <row r="48" spans="1:13">
      <c r="A48" s="40"/>
      <c r="F48" s="40"/>
      <c r="G48" s="40"/>
      <c r="H48" s="40"/>
      <c r="I48" s="40"/>
      <c r="J48" s="40"/>
      <c r="K48" s="40"/>
      <c r="L48" s="40"/>
      <c r="M48" s="40"/>
    </row>
    <row r="49" spans="1:13">
      <c r="A49" s="40"/>
      <c r="F49" s="40"/>
      <c r="G49" s="40"/>
      <c r="H49" s="40"/>
      <c r="I49" s="40"/>
      <c r="J49" s="40"/>
      <c r="K49" s="40"/>
      <c r="L49" s="40"/>
      <c r="M49" s="40"/>
    </row>
    <row r="50" spans="1:13">
      <c r="A50" s="40"/>
      <c r="F50" s="40"/>
      <c r="G50" s="40"/>
      <c r="H50" s="40"/>
      <c r="I50" s="40"/>
      <c r="J50" s="40"/>
      <c r="K50" s="40"/>
      <c r="L50" s="40"/>
      <c r="M50" s="40"/>
    </row>
    <row r="51" spans="1:13">
      <c r="A51" s="40"/>
      <c r="F51" s="40"/>
      <c r="G51" s="40"/>
      <c r="H51" s="40"/>
      <c r="I51" s="40"/>
      <c r="J51" s="40"/>
      <c r="K51" s="40"/>
      <c r="L51" s="40"/>
      <c r="M51" s="40"/>
    </row>
    <row r="52" spans="1:13">
      <c r="A52" s="40"/>
      <c r="F52" s="40"/>
      <c r="G52" s="40"/>
      <c r="H52" s="40"/>
      <c r="I52" s="40"/>
      <c r="J52" s="40"/>
      <c r="K52" s="40"/>
      <c r="L52" s="40"/>
      <c r="M52" s="40"/>
    </row>
    <row r="53" spans="1:13">
      <c r="A53" s="40"/>
      <c r="F53" s="40"/>
      <c r="G53" s="40"/>
      <c r="H53" s="40"/>
      <c r="I53" s="40"/>
      <c r="J53" s="40"/>
      <c r="K53" s="40"/>
      <c r="L53" s="40"/>
      <c r="M53" s="40"/>
    </row>
    <row r="54" spans="1:13">
      <c r="A54" s="40"/>
      <c r="F54" s="40"/>
      <c r="G54" s="40"/>
      <c r="H54" s="40"/>
      <c r="I54" s="40"/>
      <c r="J54" s="40"/>
      <c r="K54" s="40"/>
      <c r="L54" s="40"/>
      <c r="M54" s="40"/>
    </row>
    <row r="55" spans="1:13">
      <c r="A55" s="40"/>
      <c r="F55" s="40"/>
      <c r="G55" s="40"/>
      <c r="H55" s="40"/>
      <c r="I55" s="40"/>
      <c r="J55" s="40"/>
      <c r="K55" s="40"/>
      <c r="L55" s="40"/>
      <c r="M55" s="40"/>
    </row>
    <row r="56" spans="1:13">
      <c r="A56" s="40"/>
      <c r="F56" s="40"/>
      <c r="G56" s="40"/>
      <c r="H56" s="40"/>
      <c r="I56" s="40"/>
      <c r="J56" s="40"/>
      <c r="K56" s="40"/>
      <c r="L56" s="40"/>
      <c r="M56" s="40"/>
    </row>
    <row r="57" spans="1:13">
      <c r="A57" s="40"/>
      <c r="F57" s="40"/>
      <c r="G57" s="40"/>
      <c r="H57" s="40"/>
      <c r="I57" s="40"/>
      <c r="J57" s="40"/>
      <c r="K57" s="40"/>
      <c r="L57" s="40"/>
      <c r="M57" s="40"/>
    </row>
    <row r="58" spans="1:13">
      <c r="A58" s="40"/>
      <c r="F58" s="40"/>
      <c r="G58" s="40"/>
      <c r="H58" s="40"/>
      <c r="I58" s="40"/>
      <c r="J58" s="40"/>
      <c r="K58" s="40"/>
      <c r="L58" s="40"/>
      <c r="M58" s="40"/>
    </row>
    <row r="59" spans="1:13">
      <c r="A59" s="40"/>
      <c r="F59" s="40"/>
      <c r="G59" s="40"/>
      <c r="H59" s="40"/>
      <c r="I59" s="40"/>
      <c r="J59" s="40"/>
      <c r="K59" s="40"/>
      <c r="L59" s="40"/>
      <c r="M59" s="40"/>
    </row>
    <row r="60" spans="1:13">
      <c r="A60" s="40"/>
      <c r="F60" s="40"/>
      <c r="G60" s="40"/>
      <c r="H60" s="40"/>
      <c r="I60" s="40"/>
      <c r="J60" s="40"/>
      <c r="K60" s="40"/>
      <c r="L60" s="40"/>
      <c r="M60" s="40"/>
    </row>
    <row r="61" spans="1:13">
      <c r="A61" s="40"/>
      <c r="F61" s="40"/>
      <c r="G61" s="40"/>
      <c r="H61" s="40"/>
      <c r="I61" s="40"/>
      <c r="J61" s="40"/>
      <c r="K61" s="40"/>
      <c r="L61" s="40"/>
      <c r="M61" s="40"/>
    </row>
    <row r="62" spans="1:13">
      <c r="A62" s="40"/>
      <c r="F62" s="40"/>
      <c r="G62" s="40"/>
      <c r="H62" s="40"/>
      <c r="I62" s="40"/>
      <c r="J62" s="40"/>
      <c r="K62" s="40"/>
      <c r="L62" s="40"/>
      <c r="M62" s="40"/>
    </row>
    <row r="63" spans="1:13">
      <c r="A63" s="40"/>
      <c r="F63" s="40"/>
      <c r="G63" s="40"/>
      <c r="H63" s="40"/>
      <c r="I63" s="40"/>
      <c r="J63" s="40"/>
      <c r="K63" s="40"/>
      <c r="L63" s="40"/>
      <c r="M63" s="40"/>
    </row>
    <row r="64" spans="1:13">
      <c r="A64" s="40"/>
      <c r="F64" s="40"/>
      <c r="G64" s="40"/>
      <c r="H64" s="40"/>
      <c r="I64" s="40"/>
      <c r="J64" s="40"/>
      <c r="K64" s="40"/>
      <c r="L64" s="40"/>
      <c r="M64" s="40"/>
    </row>
    <row r="65" spans="1:13">
      <c r="A65" s="40"/>
      <c r="F65" s="40"/>
      <c r="G65" s="40"/>
      <c r="H65" s="40"/>
      <c r="I65" s="40"/>
      <c r="J65" s="40"/>
      <c r="K65" s="40"/>
      <c r="L65" s="40"/>
      <c r="M65" s="40"/>
    </row>
    <row r="66" spans="1:13">
      <c r="A66" s="40"/>
      <c r="F66" s="40"/>
      <c r="G66" s="40"/>
      <c r="H66" s="40"/>
      <c r="I66" s="40"/>
      <c r="J66" s="40"/>
      <c r="K66" s="40"/>
      <c r="L66" s="40"/>
      <c r="M66" s="40"/>
    </row>
    <row r="67" spans="1:13">
      <c r="A67" s="40"/>
      <c r="F67" s="40"/>
      <c r="G67" s="40"/>
      <c r="H67" s="40"/>
      <c r="I67" s="40"/>
      <c r="J67" s="40"/>
      <c r="K67" s="40"/>
      <c r="L67" s="40"/>
      <c r="M67" s="40"/>
    </row>
    <row r="68" spans="1:13">
      <c r="A68" s="40"/>
      <c r="F68" s="40"/>
      <c r="G68" s="40"/>
      <c r="H68" s="40"/>
      <c r="I68" s="40"/>
      <c r="J68" s="40"/>
      <c r="K68" s="40"/>
      <c r="L68" s="40"/>
      <c r="M68" s="40"/>
    </row>
    <row r="69" spans="1:13">
      <c r="A69" s="40"/>
      <c r="F69" s="40"/>
      <c r="G69" s="40"/>
      <c r="H69" s="40"/>
      <c r="I69" s="40"/>
      <c r="J69" s="40"/>
      <c r="K69" s="40"/>
      <c r="L69" s="40"/>
      <c r="M69" s="40"/>
    </row>
    <row r="70" spans="1:13">
      <c r="A70" s="40"/>
      <c r="F70" s="40"/>
      <c r="G70" s="40"/>
      <c r="H70" s="40"/>
      <c r="I70" s="40"/>
      <c r="J70" s="40"/>
      <c r="K70" s="40"/>
      <c r="L70" s="40"/>
      <c r="M70" s="40"/>
    </row>
    <row r="71" spans="1:13">
      <c r="A71" s="40"/>
      <c r="F71" s="40"/>
      <c r="G71" s="40"/>
      <c r="H71" s="40"/>
      <c r="I71" s="40"/>
      <c r="J71" s="40"/>
      <c r="K71" s="40"/>
      <c r="L71" s="40"/>
      <c r="M71" s="40"/>
    </row>
    <row r="72" spans="1:13">
      <c r="A72" s="40"/>
      <c r="F72" s="40"/>
      <c r="G72" s="40"/>
      <c r="H72" s="40"/>
      <c r="I72" s="40"/>
      <c r="J72" s="40"/>
      <c r="K72" s="40"/>
      <c r="L72" s="40"/>
      <c r="M72" s="40"/>
    </row>
    <row r="73" spans="1:13">
      <c r="A73" s="40"/>
      <c r="J73" s="40"/>
      <c r="K73" s="40"/>
      <c r="L73" s="40"/>
      <c r="M73" s="40"/>
    </row>
    <row r="74" spans="1:13">
      <c r="A74" s="40"/>
      <c r="J74" s="40"/>
      <c r="K74" s="40"/>
      <c r="L74" s="40"/>
      <c r="M74" s="40"/>
    </row>
    <row r="75" spans="1:13">
      <c r="A75" s="40"/>
      <c r="J75" s="40"/>
      <c r="K75" s="40"/>
      <c r="L75" s="40"/>
      <c r="M75" s="40"/>
    </row>
    <row r="76" spans="1:13">
      <c r="A76" s="40"/>
      <c r="J76" s="40"/>
      <c r="K76" s="40"/>
      <c r="L76" s="40"/>
      <c r="M76" s="40"/>
    </row>
    <row r="77" spans="1:13">
      <c r="A77" s="40"/>
      <c r="J77" s="40"/>
      <c r="K77" s="40"/>
      <c r="L77" s="40"/>
      <c r="M77" s="40"/>
    </row>
    <row r="78" spans="1:13">
      <c r="A78" s="40"/>
      <c r="J78" s="40"/>
      <c r="K78" s="40"/>
      <c r="L78" s="40"/>
      <c r="M78" s="40"/>
    </row>
    <row r="79" spans="1:13">
      <c r="A79" s="40"/>
      <c r="J79" s="40"/>
      <c r="K79" s="40"/>
      <c r="L79" s="40"/>
      <c r="M79" s="40"/>
    </row>
    <row r="80" spans="1:13">
      <c r="A80" s="40"/>
      <c r="J80" s="40"/>
      <c r="K80" s="40"/>
      <c r="L80" s="40"/>
      <c r="M80" s="40"/>
    </row>
    <row r="81" spans="1:13">
      <c r="A81" s="40"/>
      <c r="J81" s="40"/>
      <c r="K81" s="40"/>
      <c r="L81" s="40"/>
      <c r="M81" s="40"/>
    </row>
    <row r="82" spans="1:13">
      <c r="A82" s="40"/>
      <c r="J82" s="40"/>
      <c r="K82" s="40"/>
      <c r="L82" s="40"/>
      <c r="M82" s="40"/>
    </row>
    <row r="83" spans="1:13">
      <c r="A83" s="40"/>
      <c r="J83" s="40"/>
      <c r="K83" s="40"/>
      <c r="L83" s="40"/>
      <c r="M83" s="40"/>
    </row>
    <row r="84" spans="1:13">
      <c r="A84" s="40"/>
      <c r="J84" s="40"/>
      <c r="K84" s="40"/>
      <c r="L84" s="40"/>
      <c r="M84" s="40"/>
    </row>
    <row r="85" spans="1:13">
      <c r="A85" s="40"/>
      <c r="J85" s="40"/>
      <c r="K85" s="40"/>
      <c r="L85" s="40"/>
      <c r="M85" s="40"/>
    </row>
    <row r="86" spans="1:13">
      <c r="A86" s="40"/>
      <c r="J86" s="40"/>
      <c r="K86" s="40"/>
      <c r="L86" s="40"/>
      <c r="M86" s="40"/>
    </row>
    <row r="87" spans="1:13">
      <c r="A87" s="40"/>
      <c r="J87" s="40"/>
      <c r="K87" s="40"/>
      <c r="L87" s="40"/>
      <c r="M87" s="40"/>
    </row>
    <row r="88" spans="1:13">
      <c r="A88" s="40"/>
      <c r="J88" s="40"/>
      <c r="K88" s="40"/>
      <c r="L88" s="40"/>
      <c r="M88" s="40"/>
    </row>
    <row r="89" spans="1:13">
      <c r="A89" s="40"/>
      <c r="J89" s="40"/>
      <c r="K89" s="40"/>
      <c r="L89" s="40"/>
      <c r="M89" s="40"/>
    </row>
    <row r="90" spans="1:13">
      <c r="A90" s="40"/>
      <c r="J90" s="40"/>
      <c r="K90" s="40"/>
      <c r="L90" s="40"/>
      <c r="M90" s="40"/>
    </row>
    <row r="91" spans="1:13">
      <c r="A91" s="40"/>
      <c r="J91" s="40"/>
      <c r="K91" s="40"/>
      <c r="L91" s="40"/>
      <c r="M91" s="40"/>
    </row>
    <row r="92" spans="1:13">
      <c r="A92" s="40"/>
      <c r="J92" s="40"/>
      <c r="K92" s="40"/>
      <c r="L92" s="40"/>
      <c r="M92" s="40"/>
    </row>
    <row r="93" spans="1:13">
      <c r="A93" s="40"/>
      <c r="J93" s="40"/>
      <c r="K93" s="40"/>
      <c r="L93" s="40"/>
      <c r="M93" s="40"/>
    </row>
    <row r="94" spans="1:13">
      <c r="A94" s="40"/>
      <c r="J94" s="40"/>
      <c r="K94" s="40"/>
      <c r="L94" s="40"/>
      <c r="M94" s="40"/>
    </row>
    <row r="95" spans="1:13">
      <c r="A95" s="40"/>
      <c r="J95" s="40"/>
      <c r="K95" s="40"/>
      <c r="L95" s="40"/>
      <c r="M95" s="40"/>
    </row>
    <row r="96" spans="1:13">
      <c r="A96" s="40"/>
      <c r="J96" s="40"/>
      <c r="K96" s="40"/>
      <c r="L96" s="40"/>
      <c r="M96" s="40"/>
    </row>
    <row r="97" spans="1:13">
      <c r="A97" s="40"/>
      <c r="J97" s="40"/>
      <c r="K97" s="40"/>
      <c r="L97" s="40"/>
      <c r="M97" s="40"/>
    </row>
    <row r="98" spans="1:13">
      <c r="A98" s="40"/>
      <c r="J98" s="40"/>
      <c r="K98" s="40"/>
      <c r="L98" s="40"/>
      <c r="M98" s="40"/>
    </row>
    <row r="99" spans="1:13">
      <c r="A99" s="40"/>
      <c r="J99" s="40"/>
      <c r="K99" s="40"/>
      <c r="L99" s="40"/>
      <c r="M99" s="40"/>
    </row>
    <row r="100" spans="1:13">
      <c r="A100" s="40"/>
      <c r="J100" s="40"/>
      <c r="K100" s="40"/>
      <c r="L100" s="40"/>
      <c r="M100" s="40"/>
    </row>
    <row r="101" spans="1:13">
      <c r="A101" s="40"/>
      <c r="J101" s="40"/>
      <c r="K101" s="40"/>
      <c r="L101" s="40"/>
      <c r="M101" s="40"/>
    </row>
    <row r="102" spans="1:13">
      <c r="A102" s="40"/>
      <c r="J102" s="40"/>
      <c r="K102" s="40"/>
      <c r="L102" s="40"/>
      <c r="M102" s="40"/>
    </row>
    <row r="103" spans="1:13">
      <c r="A103" s="40"/>
      <c r="J103" s="40"/>
      <c r="K103" s="40"/>
      <c r="L103" s="40"/>
      <c r="M103" s="40"/>
    </row>
    <row r="104" spans="1:13">
      <c r="A104" s="40"/>
      <c r="J104" s="40"/>
      <c r="K104" s="40"/>
      <c r="L104" s="40"/>
      <c r="M104" s="40"/>
    </row>
    <row r="105" spans="1:13">
      <c r="A105" s="40"/>
      <c r="J105" s="40"/>
      <c r="K105" s="40"/>
      <c r="L105" s="40"/>
      <c r="M105" s="40"/>
    </row>
    <row r="106" spans="1:13">
      <c r="A106" s="40"/>
      <c r="J106" s="40"/>
      <c r="K106" s="40"/>
      <c r="L106" s="40"/>
      <c r="M106" s="40"/>
    </row>
    <row r="107" spans="1:13">
      <c r="A107" s="40"/>
      <c r="J107" s="40"/>
      <c r="K107" s="40"/>
      <c r="L107" s="40"/>
      <c r="M107" s="40"/>
    </row>
    <row r="108" spans="1:13">
      <c r="A108" s="40"/>
      <c r="J108" s="40"/>
      <c r="K108" s="40"/>
      <c r="L108" s="40"/>
      <c r="M108" s="40"/>
    </row>
    <row r="109" spans="1:13">
      <c r="A109" s="40"/>
      <c r="J109" s="40"/>
      <c r="K109" s="40"/>
      <c r="L109" s="40"/>
      <c r="M109" s="40"/>
    </row>
    <row r="110" spans="1:13">
      <c r="A110" s="40"/>
      <c r="J110" s="40"/>
      <c r="K110" s="40"/>
      <c r="L110" s="40"/>
      <c r="M110" s="40"/>
    </row>
    <row r="111" spans="1:13">
      <c r="A111" s="40"/>
      <c r="J111" s="40"/>
      <c r="K111" s="40"/>
      <c r="L111" s="40"/>
      <c r="M111" s="40"/>
    </row>
    <row r="112" spans="1:13">
      <c r="A112" s="40"/>
      <c r="J112" s="40"/>
      <c r="K112" s="40"/>
      <c r="L112" s="40"/>
      <c r="M112" s="40"/>
    </row>
    <row r="113" spans="1:13">
      <c r="A113" s="40"/>
      <c r="J113" s="40"/>
      <c r="K113" s="40"/>
      <c r="L113" s="40"/>
      <c r="M113" s="40"/>
    </row>
    <row r="114" spans="1:13">
      <c r="A114" s="40"/>
      <c r="J114" s="40"/>
      <c r="K114" s="40"/>
      <c r="L114" s="40"/>
      <c r="M114" s="40"/>
    </row>
    <row r="115" spans="1:13">
      <c r="A115" s="40"/>
      <c r="J115" s="40"/>
      <c r="K115" s="40"/>
      <c r="L115" s="40"/>
      <c r="M115" s="40"/>
    </row>
    <row r="116" spans="1:13">
      <c r="A116" s="40"/>
      <c r="J116" s="40"/>
      <c r="K116" s="40"/>
      <c r="L116" s="40"/>
      <c r="M116" s="40"/>
    </row>
    <row r="117" spans="1:13">
      <c r="A117" s="40"/>
      <c r="J117" s="40"/>
      <c r="K117" s="40"/>
      <c r="L117" s="40"/>
      <c r="M117" s="40"/>
    </row>
    <row r="118" spans="1:13">
      <c r="A118" s="40"/>
      <c r="J118" s="40"/>
      <c r="K118" s="40"/>
      <c r="L118" s="40"/>
      <c r="M118" s="40"/>
    </row>
    <row r="119" spans="1:13">
      <c r="A119" s="40"/>
      <c r="J119" s="40"/>
      <c r="K119" s="40"/>
      <c r="L119" s="40"/>
      <c r="M119" s="40"/>
    </row>
    <row r="120" spans="1:13">
      <c r="A120" s="40"/>
      <c r="J120" s="40"/>
      <c r="K120" s="40"/>
      <c r="L120" s="40"/>
      <c r="M120" s="40"/>
    </row>
    <row r="121" spans="1:13">
      <c r="A121" s="40"/>
      <c r="J121" s="40"/>
      <c r="K121" s="40"/>
      <c r="L121" s="40"/>
      <c r="M121" s="40"/>
    </row>
    <row r="122" spans="1:13">
      <c r="A122" s="40"/>
      <c r="J122" s="40"/>
      <c r="K122" s="40"/>
      <c r="L122" s="40"/>
      <c r="M122" s="40"/>
    </row>
    <row r="123" spans="1:13">
      <c r="A123" s="40"/>
      <c r="J123" s="40"/>
      <c r="K123" s="40"/>
      <c r="L123" s="40"/>
      <c r="M123" s="40"/>
    </row>
    <row r="124" spans="1:13">
      <c r="A124" s="40"/>
      <c r="J124" s="40"/>
      <c r="K124" s="40"/>
      <c r="L124" s="40"/>
      <c r="M124" s="40"/>
    </row>
    <row r="125" spans="1:13">
      <c r="A125" s="40"/>
      <c r="J125" s="40"/>
      <c r="K125" s="40"/>
      <c r="L125" s="40"/>
      <c r="M125" s="40"/>
    </row>
    <row r="126" spans="1:13">
      <c r="A126" s="40"/>
      <c r="J126" s="40"/>
      <c r="K126" s="40"/>
      <c r="L126" s="40"/>
      <c r="M126" s="40"/>
    </row>
    <row r="127" spans="1:13">
      <c r="A127" s="40"/>
      <c r="J127" s="40"/>
      <c r="K127" s="40"/>
      <c r="L127" s="40"/>
      <c r="M127" s="40"/>
    </row>
    <row r="128" spans="1:13">
      <c r="A128" s="40"/>
      <c r="J128" s="40"/>
      <c r="K128" s="40"/>
      <c r="L128" s="40"/>
      <c r="M128" s="40"/>
    </row>
    <row r="129" spans="1:13">
      <c r="A129" s="40"/>
      <c r="J129" s="40"/>
      <c r="K129" s="40"/>
      <c r="L129" s="40"/>
      <c r="M129" s="40"/>
    </row>
    <row r="130" spans="1:13">
      <c r="A130" s="40"/>
      <c r="J130" s="40"/>
      <c r="K130" s="40"/>
      <c r="L130" s="40"/>
      <c r="M130" s="40"/>
    </row>
    <row r="131" spans="1:13">
      <c r="A131" s="40"/>
      <c r="J131" s="40"/>
      <c r="K131" s="40"/>
      <c r="L131" s="40"/>
      <c r="M131" s="40"/>
    </row>
    <row r="132" spans="1:13">
      <c r="A132" s="40"/>
      <c r="J132" s="40"/>
      <c r="K132" s="40"/>
      <c r="L132" s="40"/>
      <c r="M132" s="40"/>
    </row>
    <row r="133" spans="1:13">
      <c r="A133" s="40"/>
      <c r="J133" s="40"/>
      <c r="K133" s="40"/>
      <c r="L133" s="40"/>
      <c r="M133" s="40"/>
    </row>
    <row r="134" spans="1:13">
      <c r="A134" s="40"/>
      <c r="J134" s="40"/>
      <c r="K134" s="40"/>
      <c r="L134" s="40"/>
      <c r="M134" s="40"/>
    </row>
    <row r="135" spans="1:13">
      <c r="A135" s="40"/>
      <c r="J135" s="40"/>
      <c r="K135" s="40"/>
      <c r="L135" s="40"/>
      <c r="M135" s="40"/>
    </row>
    <row r="136" spans="1:13">
      <c r="A136" s="40"/>
      <c r="J136" s="40"/>
      <c r="K136" s="40"/>
      <c r="L136" s="40"/>
      <c r="M136" s="40"/>
    </row>
    <row r="137" spans="1:13">
      <c r="A137" s="40"/>
      <c r="J137" s="40"/>
      <c r="K137" s="40"/>
      <c r="L137" s="40"/>
      <c r="M137" s="40"/>
    </row>
    <row r="138" spans="1:13">
      <c r="A138" s="40"/>
      <c r="J138" s="40"/>
      <c r="K138" s="40"/>
      <c r="L138" s="40"/>
      <c r="M138" s="40"/>
    </row>
    <row r="139" spans="1:13">
      <c r="A139" s="40"/>
      <c r="J139" s="40"/>
      <c r="K139" s="40"/>
      <c r="L139" s="40"/>
      <c r="M139" s="40"/>
    </row>
    <row r="140" spans="1:13">
      <c r="A140" s="40"/>
      <c r="J140" s="40"/>
      <c r="K140" s="40"/>
      <c r="L140" s="40"/>
      <c r="M140" s="40"/>
    </row>
    <row r="141" spans="1:13">
      <c r="A141" s="40"/>
      <c r="J141" s="40"/>
      <c r="K141" s="40"/>
      <c r="L141" s="40"/>
      <c r="M141" s="40"/>
    </row>
    <row r="142" spans="1:13">
      <c r="A142" s="40"/>
      <c r="J142" s="40"/>
      <c r="K142" s="40"/>
      <c r="L142" s="40"/>
      <c r="M142" s="40"/>
    </row>
    <row r="143" spans="1:13">
      <c r="A143" s="40"/>
      <c r="J143" s="40"/>
      <c r="K143" s="40"/>
      <c r="L143" s="40"/>
      <c r="M143" s="40"/>
    </row>
    <row r="144" spans="1:13">
      <c r="A144" s="40"/>
      <c r="J144" s="40"/>
      <c r="K144" s="40"/>
      <c r="L144" s="40"/>
      <c r="M144" s="40"/>
    </row>
    <row r="145" spans="1:13">
      <c r="A145" s="40"/>
      <c r="J145" s="40"/>
      <c r="K145" s="40"/>
      <c r="L145" s="40"/>
      <c r="M145" s="40"/>
    </row>
    <row r="146" spans="1:13">
      <c r="A146" s="40"/>
      <c r="J146" s="40"/>
      <c r="K146" s="40"/>
      <c r="L146" s="40"/>
      <c r="M146" s="40"/>
    </row>
    <row r="147" spans="1:13">
      <c r="A147" s="40"/>
      <c r="J147" s="40"/>
      <c r="K147" s="40"/>
      <c r="L147" s="40"/>
      <c r="M147" s="40"/>
    </row>
    <row r="148" spans="1:13">
      <c r="A148" s="40"/>
      <c r="J148" s="40"/>
      <c r="K148" s="40"/>
      <c r="L148" s="40"/>
      <c r="M148" s="40"/>
    </row>
    <row r="149" spans="1:13">
      <c r="A149" s="40"/>
      <c r="J149" s="40"/>
      <c r="K149" s="40"/>
      <c r="L149" s="40"/>
      <c r="M149" s="40"/>
    </row>
    <row r="150" spans="1:13">
      <c r="A150" s="40"/>
      <c r="J150" s="40"/>
      <c r="K150" s="40"/>
      <c r="L150" s="40"/>
      <c r="M150" s="40"/>
    </row>
    <row r="151" spans="1:13">
      <c r="A151" s="40"/>
      <c r="J151" s="40"/>
      <c r="K151" s="40"/>
      <c r="L151" s="40"/>
      <c r="M151" s="40"/>
    </row>
    <row r="152" spans="1:13">
      <c r="A152" s="40"/>
      <c r="J152" s="40"/>
      <c r="K152" s="40"/>
      <c r="L152" s="40"/>
      <c r="M152" s="40"/>
    </row>
    <row r="153" spans="1:13">
      <c r="A153" s="40"/>
      <c r="J153" s="40"/>
      <c r="K153" s="40"/>
      <c r="L153" s="40"/>
      <c r="M153" s="40"/>
    </row>
    <row r="154" spans="1:13">
      <c r="A154" s="40"/>
      <c r="J154" s="40"/>
      <c r="K154" s="40"/>
      <c r="L154" s="40"/>
      <c r="M154" s="40"/>
    </row>
    <row r="155" spans="1:13">
      <c r="A155" s="40"/>
      <c r="J155" s="40"/>
      <c r="K155" s="40"/>
      <c r="L155" s="40"/>
      <c r="M155" s="40"/>
    </row>
    <row r="156" spans="1:13">
      <c r="A156" s="40"/>
      <c r="J156" s="40"/>
      <c r="K156" s="40"/>
      <c r="L156" s="40"/>
      <c r="M156" s="40"/>
    </row>
    <row r="157" spans="1:13">
      <c r="A157" s="40"/>
      <c r="J157" s="40"/>
      <c r="K157" s="40"/>
      <c r="L157" s="40"/>
      <c r="M157" s="40"/>
    </row>
    <row r="158" spans="1:13">
      <c r="A158" s="40"/>
      <c r="J158" s="40"/>
      <c r="K158" s="40"/>
      <c r="L158" s="40"/>
      <c r="M158" s="40"/>
    </row>
    <row r="159" spans="1:13">
      <c r="A159" s="40"/>
      <c r="J159" s="40"/>
      <c r="K159" s="40"/>
      <c r="L159" s="40"/>
      <c r="M159" s="40"/>
    </row>
    <row r="160" spans="1:13">
      <c r="A160" s="40"/>
      <c r="J160" s="40"/>
      <c r="K160" s="40"/>
      <c r="L160" s="40"/>
      <c r="M160" s="40"/>
    </row>
    <row r="161" spans="1:13">
      <c r="A161" s="40"/>
      <c r="J161" s="40"/>
      <c r="K161" s="40"/>
      <c r="L161" s="40"/>
      <c r="M161" s="40"/>
    </row>
    <row r="162" spans="1:13">
      <c r="A162" s="40"/>
      <c r="J162" s="40"/>
      <c r="K162" s="40"/>
      <c r="L162" s="40"/>
      <c r="M162" s="40"/>
    </row>
    <row r="163" spans="1:13">
      <c r="A163" s="40"/>
      <c r="J163" s="40"/>
      <c r="K163" s="40"/>
      <c r="L163" s="40"/>
      <c r="M163" s="40"/>
    </row>
    <row r="164" spans="1:13">
      <c r="A164" s="40"/>
      <c r="J164" s="40"/>
      <c r="K164" s="40"/>
      <c r="L164" s="40"/>
      <c r="M164" s="40"/>
    </row>
    <row r="165" spans="1:13">
      <c r="A165" s="40"/>
      <c r="J165" s="40"/>
      <c r="K165" s="40"/>
      <c r="L165" s="40"/>
      <c r="M165" s="40"/>
    </row>
    <row r="166" spans="1:13">
      <c r="A166" s="40"/>
      <c r="J166" s="40"/>
      <c r="K166" s="40"/>
      <c r="L166" s="40"/>
      <c r="M166" s="40"/>
    </row>
    <row r="167" spans="1:13">
      <c r="A167" s="40"/>
      <c r="J167" s="40"/>
      <c r="K167" s="40"/>
      <c r="L167" s="40"/>
      <c r="M167" s="40"/>
    </row>
    <row r="168" spans="1:13">
      <c r="A168" s="40"/>
      <c r="J168" s="40"/>
      <c r="K168" s="40"/>
      <c r="L168" s="40"/>
      <c r="M168" s="40"/>
    </row>
    <row r="169" spans="1:13">
      <c r="A169" s="40"/>
      <c r="J169" s="40"/>
      <c r="K169" s="40"/>
      <c r="L169" s="40"/>
      <c r="M169" s="40"/>
    </row>
    <row r="170" spans="1:13">
      <c r="A170" s="40"/>
      <c r="J170" s="40"/>
      <c r="K170" s="40"/>
      <c r="L170" s="40"/>
      <c r="M170" s="40"/>
    </row>
    <row r="171" spans="1:13">
      <c r="A171" s="40"/>
      <c r="J171" s="40"/>
      <c r="K171" s="40"/>
      <c r="L171" s="40"/>
      <c r="M171" s="40"/>
    </row>
    <row r="172" spans="1:13">
      <c r="A172" s="40"/>
      <c r="J172" s="40"/>
      <c r="K172" s="40"/>
      <c r="L172" s="40"/>
      <c r="M172" s="40"/>
    </row>
    <row r="173" spans="1:13">
      <c r="A173" s="40"/>
      <c r="J173" s="40"/>
      <c r="K173" s="40"/>
      <c r="L173" s="40"/>
      <c r="M173" s="40"/>
    </row>
    <row r="174" spans="1:13">
      <c r="A174" s="40"/>
      <c r="J174" s="40"/>
      <c r="K174" s="40"/>
      <c r="L174" s="40"/>
      <c r="M174" s="40"/>
    </row>
    <row r="175" spans="1:13">
      <c r="A175" s="40"/>
      <c r="J175" s="40"/>
      <c r="K175" s="40"/>
      <c r="L175" s="40"/>
      <c r="M175" s="40"/>
    </row>
    <row r="176" spans="1:13">
      <c r="A176" s="40"/>
      <c r="J176" s="40"/>
      <c r="K176" s="40"/>
      <c r="L176" s="40"/>
      <c r="M176" s="40"/>
    </row>
    <row r="177" spans="1:13">
      <c r="A177" s="40"/>
      <c r="J177" s="40"/>
      <c r="K177" s="40"/>
      <c r="L177" s="40"/>
      <c r="M177" s="40"/>
    </row>
    <row r="178" spans="1:13">
      <c r="A178" s="40"/>
      <c r="J178" s="40"/>
      <c r="K178" s="40"/>
      <c r="L178" s="40"/>
      <c r="M178" s="40"/>
    </row>
    <row r="179" spans="1:13">
      <c r="A179" s="40"/>
      <c r="J179" s="40"/>
      <c r="K179" s="40"/>
      <c r="L179" s="40"/>
      <c r="M179" s="40"/>
    </row>
    <row r="180" spans="1:13">
      <c r="A180" s="40"/>
      <c r="J180" s="40"/>
      <c r="K180" s="40"/>
      <c r="L180" s="40"/>
      <c r="M180" s="40"/>
    </row>
    <row r="181" spans="1:13">
      <c r="A181" s="40"/>
      <c r="J181" s="40"/>
      <c r="K181" s="40"/>
      <c r="L181" s="40"/>
      <c r="M181" s="40"/>
    </row>
    <row r="182" spans="1:13">
      <c r="A182" s="40"/>
      <c r="J182" s="40"/>
      <c r="K182" s="40"/>
      <c r="L182" s="40"/>
      <c r="M182" s="40"/>
    </row>
    <row r="183" spans="1:13">
      <c r="A183" s="40"/>
      <c r="J183" s="40"/>
      <c r="K183" s="40"/>
      <c r="L183" s="40"/>
      <c r="M183" s="40"/>
    </row>
    <row r="184" spans="1:13">
      <c r="A184" s="40"/>
      <c r="J184" s="40"/>
      <c r="K184" s="40"/>
      <c r="L184" s="40"/>
      <c r="M184" s="40"/>
    </row>
    <row r="185" spans="1:13">
      <c r="A185" s="40"/>
      <c r="J185" s="40"/>
      <c r="K185" s="40"/>
      <c r="L185" s="40"/>
      <c r="M185" s="40"/>
    </row>
    <row r="186" spans="1:13">
      <c r="A186" s="40"/>
      <c r="J186" s="40"/>
      <c r="K186" s="40"/>
      <c r="L186" s="40"/>
      <c r="M186" s="40"/>
    </row>
    <row r="187" spans="1:13">
      <c r="A187" s="40"/>
      <c r="J187" s="40"/>
      <c r="K187" s="40"/>
      <c r="L187" s="40"/>
      <c r="M187" s="40"/>
    </row>
    <row r="188" spans="1:13">
      <c r="A188" s="40"/>
      <c r="J188" s="40"/>
      <c r="K188" s="40"/>
      <c r="L188" s="40"/>
      <c r="M188" s="40"/>
    </row>
    <row r="189" spans="1:13">
      <c r="A189" s="40"/>
      <c r="J189" s="40"/>
      <c r="K189" s="40"/>
      <c r="L189" s="40"/>
      <c r="M189" s="40"/>
    </row>
    <row r="190" spans="1:13">
      <c r="A190" s="40"/>
      <c r="J190" s="40"/>
      <c r="K190" s="40"/>
      <c r="L190" s="40"/>
      <c r="M190" s="40"/>
    </row>
    <row r="191" spans="1:13">
      <c r="A191" s="40"/>
      <c r="J191" s="40"/>
      <c r="K191" s="40"/>
      <c r="L191" s="40"/>
      <c r="M191" s="40"/>
    </row>
    <row r="192" spans="1:13">
      <c r="A192" s="40"/>
      <c r="J192" s="40"/>
      <c r="K192" s="40"/>
      <c r="L192" s="40"/>
      <c r="M192" s="40"/>
    </row>
    <row r="193" spans="1:13">
      <c r="A193" s="40"/>
      <c r="J193" s="40"/>
      <c r="K193" s="40"/>
      <c r="L193" s="40"/>
      <c r="M193" s="40"/>
    </row>
    <row r="194" spans="1:13">
      <c r="A194" s="40"/>
      <c r="J194" s="40"/>
      <c r="K194" s="40"/>
      <c r="L194" s="40"/>
      <c r="M194" s="40"/>
    </row>
    <row r="195" spans="1:13">
      <c r="A195" s="40"/>
      <c r="J195" s="40"/>
      <c r="K195" s="40"/>
      <c r="L195" s="40"/>
      <c r="M195" s="40"/>
    </row>
    <row r="196" spans="1:13">
      <c r="A196" s="40"/>
      <c r="J196" s="40"/>
      <c r="K196" s="40"/>
      <c r="L196" s="40"/>
      <c r="M196" s="40"/>
    </row>
    <row r="197" spans="1:13">
      <c r="A197" s="40"/>
      <c r="J197" s="40"/>
      <c r="K197" s="40"/>
      <c r="L197" s="40"/>
      <c r="M197" s="40"/>
    </row>
    <row r="198" spans="1:13">
      <c r="A198" s="40"/>
      <c r="J198" s="40"/>
      <c r="K198" s="40"/>
      <c r="L198" s="40"/>
      <c r="M198" s="40"/>
    </row>
    <row r="199" spans="1:13">
      <c r="A199" s="40"/>
      <c r="J199" s="40"/>
      <c r="K199" s="40"/>
      <c r="L199" s="40"/>
      <c r="M199" s="40"/>
    </row>
    <row r="200" spans="1:13">
      <c r="A200" s="40"/>
      <c r="J200" s="40"/>
      <c r="K200" s="40"/>
      <c r="L200" s="40"/>
      <c r="M200" s="40"/>
    </row>
    <row r="201" spans="1:13">
      <c r="A201" s="40"/>
      <c r="J201" s="40"/>
      <c r="K201" s="40"/>
      <c r="L201" s="40"/>
      <c r="M201" s="40"/>
    </row>
    <row r="202" spans="1:13">
      <c r="A202" s="40"/>
      <c r="J202" s="40"/>
      <c r="K202" s="40"/>
      <c r="L202" s="40"/>
      <c r="M202" s="40"/>
    </row>
    <row r="203" spans="1:13">
      <c r="A203" s="40"/>
      <c r="J203" s="40"/>
      <c r="K203" s="40"/>
      <c r="L203" s="40"/>
      <c r="M203" s="40"/>
    </row>
    <row r="204" spans="1:13">
      <c r="A204" s="40"/>
      <c r="J204" s="40"/>
      <c r="K204" s="40"/>
      <c r="L204" s="40"/>
      <c r="M204" s="40"/>
    </row>
    <row r="205" spans="1:13">
      <c r="A205" s="40"/>
      <c r="J205" s="40"/>
      <c r="K205" s="40"/>
      <c r="L205" s="40"/>
      <c r="M205" s="40"/>
    </row>
    <row r="206" spans="1:13">
      <c r="A206" s="40"/>
      <c r="J206" s="40"/>
      <c r="K206" s="40"/>
      <c r="L206" s="40"/>
      <c r="M206" s="40"/>
    </row>
    <row r="207" spans="1:13">
      <c r="A207" s="40"/>
      <c r="J207" s="40"/>
      <c r="K207" s="40"/>
      <c r="L207" s="40"/>
      <c r="M207" s="40"/>
    </row>
    <row r="208" spans="1:13">
      <c r="A208" s="40"/>
      <c r="J208" s="40"/>
      <c r="K208" s="40"/>
      <c r="L208" s="40"/>
      <c r="M208" s="40"/>
    </row>
    <row r="209" spans="1:13">
      <c r="A209" s="40"/>
      <c r="J209" s="40"/>
      <c r="K209" s="40"/>
      <c r="L209" s="40"/>
      <c r="M209" s="40"/>
    </row>
    <row r="210" spans="1:13">
      <c r="A210" s="40"/>
      <c r="J210" s="40"/>
      <c r="K210" s="40"/>
      <c r="L210" s="40"/>
      <c r="M210" s="40"/>
    </row>
    <row r="211" spans="1:13">
      <c r="A211" s="40"/>
      <c r="J211" s="40"/>
      <c r="K211" s="40"/>
      <c r="L211" s="40"/>
      <c r="M211" s="40"/>
    </row>
    <row r="212" spans="1:13">
      <c r="A212" s="40"/>
      <c r="J212" s="40"/>
      <c r="K212" s="40"/>
      <c r="L212" s="40"/>
      <c r="M212" s="40"/>
    </row>
    <row r="213" spans="1:13">
      <c r="A213" s="40"/>
      <c r="J213" s="40"/>
      <c r="K213" s="40"/>
      <c r="L213" s="40"/>
      <c r="M213" s="40"/>
    </row>
    <row r="214" spans="1:13">
      <c r="A214" s="40"/>
      <c r="J214" s="40"/>
      <c r="K214" s="40"/>
      <c r="L214" s="40"/>
      <c r="M214" s="40"/>
    </row>
    <row r="215" spans="1:13">
      <c r="A215" s="40"/>
      <c r="J215" s="40"/>
      <c r="K215" s="40"/>
      <c r="L215" s="40"/>
      <c r="M215" s="40"/>
    </row>
    <row r="216" spans="1:13">
      <c r="A216" s="40"/>
      <c r="J216" s="40"/>
      <c r="K216" s="40"/>
      <c r="L216" s="40"/>
      <c r="M216" s="40"/>
    </row>
    <row r="217" spans="1:13">
      <c r="A217" s="40"/>
      <c r="J217" s="40"/>
      <c r="K217" s="40"/>
      <c r="L217" s="40"/>
      <c r="M217" s="40"/>
    </row>
    <row r="218" spans="1:13">
      <c r="A218" s="40"/>
      <c r="J218" s="40"/>
      <c r="K218" s="40"/>
      <c r="L218" s="40"/>
      <c r="M218" s="40"/>
    </row>
    <row r="219" spans="1:13">
      <c r="A219" s="40"/>
      <c r="J219" s="40"/>
      <c r="K219" s="40"/>
      <c r="L219" s="40"/>
      <c r="M219" s="40"/>
    </row>
    <row r="220" spans="1:13">
      <c r="A220" s="40"/>
      <c r="J220" s="40"/>
      <c r="K220" s="40"/>
      <c r="L220" s="40"/>
      <c r="M220" s="40"/>
    </row>
    <row r="221" spans="1:13">
      <c r="A221" s="40"/>
      <c r="J221" s="40"/>
      <c r="K221" s="40"/>
      <c r="L221" s="40"/>
      <c r="M221" s="40"/>
    </row>
    <row r="222" spans="1:13">
      <c r="A222" s="40"/>
      <c r="J222" s="40"/>
      <c r="K222" s="40"/>
      <c r="L222" s="40"/>
      <c r="M222" s="40"/>
    </row>
    <row r="223" spans="1:13">
      <c r="A223" s="40"/>
      <c r="J223" s="40"/>
      <c r="K223" s="40"/>
      <c r="L223" s="40"/>
      <c r="M223" s="40"/>
    </row>
    <row r="224" spans="1:13">
      <c r="A224" s="40"/>
      <c r="J224" s="40"/>
      <c r="K224" s="40"/>
      <c r="L224" s="40"/>
      <c r="M224" s="40"/>
    </row>
    <row r="225" spans="1:13">
      <c r="A225" s="40"/>
      <c r="J225" s="40"/>
      <c r="K225" s="40"/>
      <c r="L225" s="40"/>
      <c r="M225" s="40"/>
    </row>
    <row r="226" spans="1:13">
      <c r="A226" s="40"/>
      <c r="J226" s="40"/>
      <c r="K226" s="40"/>
      <c r="L226" s="40"/>
      <c r="M226" s="40"/>
    </row>
    <row r="227" spans="1:13">
      <c r="A227" s="40"/>
      <c r="J227" s="40"/>
      <c r="K227" s="40"/>
      <c r="L227" s="40"/>
      <c r="M227" s="40"/>
    </row>
    <row r="228" spans="1:13">
      <c r="A228" s="40"/>
      <c r="J228" s="40"/>
      <c r="K228" s="40"/>
      <c r="L228" s="40"/>
      <c r="M228" s="40"/>
    </row>
    <row r="229" spans="1:13">
      <c r="A229" s="40"/>
      <c r="J229" s="40"/>
      <c r="K229" s="40"/>
      <c r="L229" s="40"/>
      <c r="M229" s="40"/>
    </row>
    <row r="230" spans="1:13">
      <c r="A230" s="40"/>
      <c r="J230" s="40"/>
      <c r="K230" s="40"/>
      <c r="L230" s="40"/>
      <c r="M230" s="40"/>
    </row>
    <row r="231" spans="1:13">
      <c r="A231" s="40"/>
      <c r="J231" s="40"/>
      <c r="K231" s="40"/>
      <c r="L231" s="40"/>
      <c r="M231" s="40"/>
    </row>
    <row r="232" spans="1:13">
      <c r="A232" s="40"/>
      <c r="J232" s="40"/>
      <c r="K232" s="40"/>
      <c r="L232" s="40"/>
      <c r="M232" s="40"/>
    </row>
    <row r="233" spans="1:13">
      <c r="A233" s="40"/>
      <c r="J233" s="40"/>
      <c r="K233" s="40"/>
      <c r="L233" s="40"/>
      <c r="M233" s="40"/>
    </row>
    <row r="234" spans="1:13">
      <c r="A234" s="40"/>
      <c r="J234" s="40"/>
      <c r="K234" s="40"/>
      <c r="L234" s="40"/>
      <c r="M234" s="40"/>
    </row>
    <row r="235" spans="1:13">
      <c r="A235" s="40"/>
      <c r="J235" s="40"/>
      <c r="K235" s="40"/>
      <c r="L235" s="40"/>
      <c r="M235" s="40"/>
    </row>
    <row r="236" spans="1:13">
      <c r="A236" s="40"/>
      <c r="J236" s="40"/>
      <c r="K236" s="40"/>
      <c r="L236" s="40"/>
      <c r="M236" s="40"/>
    </row>
    <row r="237" spans="1:13">
      <c r="A237" s="40"/>
      <c r="J237" s="40"/>
      <c r="K237" s="40"/>
      <c r="L237" s="40"/>
      <c r="M237" s="40"/>
    </row>
    <row r="238" spans="1:13">
      <c r="A238" s="40"/>
      <c r="J238" s="40"/>
      <c r="K238" s="40"/>
      <c r="L238" s="40"/>
      <c r="M238" s="40"/>
    </row>
    <row r="239" spans="1:13">
      <c r="A239" s="40"/>
      <c r="J239" s="40"/>
      <c r="K239" s="40"/>
      <c r="L239" s="40"/>
      <c r="M239" s="40"/>
    </row>
    <row r="240" spans="1:13">
      <c r="A240" s="40"/>
      <c r="J240" s="40"/>
      <c r="K240" s="40"/>
      <c r="L240" s="40"/>
      <c r="M240" s="40"/>
    </row>
    <row r="241" spans="1:13">
      <c r="A241" s="40"/>
      <c r="J241" s="40"/>
      <c r="K241" s="40"/>
      <c r="L241" s="40"/>
      <c r="M241" s="40"/>
    </row>
    <row r="242" spans="1:13">
      <c r="A242" s="40"/>
      <c r="J242" s="40"/>
      <c r="K242" s="40"/>
      <c r="L242" s="40"/>
      <c r="M242" s="40"/>
    </row>
    <row r="243" spans="1:13">
      <c r="A243" s="40"/>
      <c r="J243" s="40"/>
      <c r="K243" s="40"/>
      <c r="L243" s="40"/>
      <c r="M243" s="40"/>
    </row>
    <row r="244" spans="1:13">
      <c r="A244" s="40"/>
      <c r="J244" s="40"/>
      <c r="K244" s="40"/>
      <c r="L244" s="40"/>
      <c r="M244" s="40"/>
    </row>
    <row r="245" spans="1:13">
      <c r="A245" s="40"/>
      <c r="J245" s="40"/>
      <c r="K245" s="40"/>
      <c r="L245" s="40"/>
      <c r="M245" s="40"/>
    </row>
    <row r="246" spans="1:13">
      <c r="A246" s="40"/>
      <c r="J246" s="40"/>
      <c r="K246" s="40"/>
      <c r="L246" s="40"/>
      <c r="M246" s="40"/>
    </row>
    <row r="247" spans="1:13">
      <c r="A247" s="40"/>
      <c r="J247" s="40"/>
      <c r="K247" s="40"/>
      <c r="L247" s="40"/>
      <c r="M247" s="40"/>
    </row>
    <row r="248" spans="1:13">
      <c r="A248" s="40"/>
      <c r="J248" s="40"/>
      <c r="K248" s="40"/>
      <c r="L248" s="40"/>
      <c r="M248" s="40"/>
    </row>
    <row r="249" spans="1:13">
      <c r="A249" s="40"/>
      <c r="J249" s="40"/>
      <c r="K249" s="40"/>
      <c r="L249" s="40"/>
      <c r="M249" s="40"/>
    </row>
    <row r="250" spans="1:13">
      <c r="A250" s="40"/>
      <c r="J250" s="40"/>
      <c r="K250" s="40"/>
      <c r="L250" s="40"/>
      <c r="M250" s="40"/>
    </row>
    <row r="251" spans="1:13">
      <c r="A251" s="40"/>
      <c r="J251" s="40"/>
      <c r="K251" s="40"/>
      <c r="L251" s="40"/>
      <c r="M251" s="40"/>
    </row>
    <row r="252" spans="1:13">
      <c r="A252" s="40"/>
      <c r="J252" s="40"/>
      <c r="K252" s="40"/>
      <c r="L252" s="40"/>
      <c r="M252" s="40"/>
    </row>
    <row r="253" spans="1:13">
      <c r="A253" s="40"/>
      <c r="J253" s="40"/>
      <c r="K253" s="40"/>
      <c r="L253" s="40"/>
      <c r="M253" s="40"/>
    </row>
    <row r="254" spans="1:13">
      <c r="A254" s="40"/>
      <c r="J254" s="40"/>
      <c r="K254" s="40"/>
      <c r="L254" s="40"/>
      <c r="M254" s="40"/>
    </row>
    <row r="255" spans="1:13">
      <c r="A255" s="40"/>
      <c r="J255" s="40"/>
      <c r="K255" s="40"/>
      <c r="L255" s="40"/>
      <c r="M255" s="40"/>
    </row>
    <row r="256" spans="1:13">
      <c r="A256" s="40"/>
      <c r="J256" s="40"/>
      <c r="K256" s="40"/>
      <c r="L256" s="40"/>
      <c r="M256" s="40"/>
    </row>
    <row r="257" spans="1:13">
      <c r="A257" s="40"/>
      <c r="J257" s="40"/>
      <c r="K257" s="40"/>
      <c r="L257" s="40"/>
      <c r="M257" s="40"/>
    </row>
    <row r="258" spans="1:13">
      <c r="A258" s="40"/>
      <c r="J258" s="40"/>
      <c r="K258" s="40"/>
      <c r="L258" s="40"/>
      <c r="M258" s="40"/>
    </row>
    <row r="259" spans="1:13">
      <c r="A259" s="40"/>
      <c r="J259" s="40"/>
      <c r="K259" s="40"/>
      <c r="L259" s="40"/>
      <c r="M259" s="40"/>
    </row>
    <row r="260" spans="1:13">
      <c r="A260" s="40"/>
      <c r="J260" s="40"/>
      <c r="K260" s="40"/>
      <c r="L260" s="40"/>
      <c r="M260" s="40"/>
    </row>
    <row r="261" spans="1:13">
      <c r="A261" s="40"/>
      <c r="J261" s="40"/>
      <c r="K261" s="40"/>
      <c r="L261" s="40"/>
      <c r="M261" s="40"/>
    </row>
    <row r="262" spans="1:13">
      <c r="A262" s="40"/>
      <c r="J262" s="40"/>
      <c r="K262" s="40"/>
      <c r="L262" s="40"/>
      <c r="M262" s="40"/>
    </row>
    <row r="263" spans="1:13">
      <c r="A263" s="40"/>
      <c r="J263" s="40"/>
      <c r="K263" s="40"/>
      <c r="L263" s="40"/>
      <c r="M263" s="40"/>
    </row>
    <row r="264" spans="1:13">
      <c r="A264" s="40"/>
      <c r="J264" s="40"/>
      <c r="K264" s="40"/>
      <c r="L264" s="40"/>
      <c r="M264" s="40"/>
    </row>
    <row r="265" spans="1:13">
      <c r="A265" s="40"/>
      <c r="J265" s="40"/>
      <c r="K265" s="40"/>
      <c r="L265" s="40"/>
      <c r="M265" s="40"/>
    </row>
    <row r="266" spans="1:13">
      <c r="A266" s="40"/>
      <c r="J266" s="40"/>
      <c r="K266" s="40"/>
      <c r="L266" s="40"/>
      <c r="M266" s="40"/>
    </row>
    <row r="267" spans="1:13">
      <c r="A267" s="40"/>
      <c r="J267" s="40"/>
      <c r="K267" s="40"/>
      <c r="L267" s="40"/>
      <c r="M267" s="40"/>
    </row>
    <row r="268" spans="1:13">
      <c r="A268" s="40"/>
      <c r="J268" s="40"/>
      <c r="K268" s="40"/>
      <c r="L268" s="40"/>
      <c r="M268" s="40"/>
    </row>
    <row r="269" spans="1:13">
      <c r="A269" s="40"/>
      <c r="J269" s="40"/>
      <c r="K269" s="40"/>
      <c r="L269" s="40"/>
      <c r="M269" s="40"/>
    </row>
    <row r="270" spans="1:13">
      <c r="A270" s="40"/>
      <c r="J270" s="40"/>
      <c r="K270" s="40"/>
      <c r="L270" s="40"/>
      <c r="M270" s="40"/>
    </row>
    <row r="271" spans="1:13">
      <c r="A271" s="40"/>
      <c r="J271" s="40"/>
      <c r="K271" s="40"/>
      <c r="L271" s="40"/>
      <c r="M271" s="40"/>
    </row>
    <row r="272" spans="1:13">
      <c r="A272" s="40"/>
      <c r="J272" s="40"/>
      <c r="K272" s="40"/>
      <c r="L272" s="40"/>
      <c r="M272" s="40"/>
    </row>
    <row r="273" spans="1:13">
      <c r="A273" s="40"/>
      <c r="J273" s="40"/>
      <c r="K273" s="40"/>
      <c r="L273" s="40"/>
      <c r="M273" s="40"/>
    </row>
    <row r="274" spans="1:13">
      <c r="A274" s="40"/>
      <c r="J274" s="40"/>
      <c r="K274" s="40"/>
      <c r="L274" s="40"/>
      <c r="M274" s="40"/>
    </row>
    <row r="275" spans="1:13">
      <c r="A275" s="40"/>
      <c r="J275" s="40"/>
      <c r="K275" s="40"/>
      <c r="L275" s="40"/>
      <c r="M275" s="40"/>
    </row>
    <row r="276" spans="1:13">
      <c r="A276" s="40"/>
      <c r="J276" s="40"/>
      <c r="K276" s="40"/>
      <c r="L276" s="40"/>
      <c r="M276" s="40"/>
    </row>
    <row r="277" spans="1:13">
      <c r="A277" s="40"/>
      <c r="J277" s="40"/>
      <c r="K277" s="40"/>
      <c r="L277" s="40"/>
      <c r="M277" s="40"/>
    </row>
    <row r="278" spans="1:13">
      <c r="A278" s="40"/>
      <c r="J278" s="40"/>
      <c r="K278" s="40"/>
      <c r="L278" s="40"/>
      <c r="M278" s="40"/>
    </row>
    <row r="279" spans="1:13">
      <c r="A279" s="40"/>
      <c r="J279" s="40"/>
      <c r="K279" s="40"/>
      <c r="L279" s="40"/>
      <c r="M279" s="40"/>
    </row>
    <row r="280" spans="1:13">
      <c r="A280" s="40"/>
      <c r="J280" s="40"/>
      <c r="K280" s="40"/>
      <c r="L280" s="40"/>
      <c r="M280" s="40"/>
    </row>
    <row r="281" spans="1:13">
      <c r="A281" s="40"/>
      <c r="J281" s="40"/>
      <c r="K281" s="40"/>
      <c r="L281" s="40"/>
      <c r="M281" s="40"/>
    </row>
    <row r="282" spans="1:13">
      <c r="A282" s="40"/>
      <c r="J282" s="40"/>
      <c r="K282" s="40"/>
      <c r="L282" s="40"/>
      <c r="M282" s="40"/>
    </row>
    <row r="283" spans="1:13">
      <c r="A283" s="40"/>
      <c r="J283" s="40"/>
      <c r="K283" s="40"/>
      <c r="L283" s="40"/>
      <c r="M283" s="40"/>
    </row>
    <row r="284" spans="1:13">
      <c r="A284" s="40"/>
      <c r="J284" s="40"/>
      <c r="K284" s="40"/>
      <c r="L284" s="40"/>
      <c r="M284" s="40"/>
    </row>
    <row r="285" spans="1:13">
      <c r="A285" s="40"/>
      <c r="J285" s="40"/>
      <c r="K285" s="40"/>
      <c r="L285" s="40"/>
      <c r="M285" s="40"/>
    </row>
    <row r="286" spans="1:13">
      <c r="A286" s="40"/>
      <c r="J286" s="40"/>
      <c r="K286" s="40"/>
      <c r="L286" s="40"/>
      <c r="M286" s="40"/>
    </row>
    <row r="287" spans="1:13">
      <c r="A287" s="40"/>
      <c r="J287" s="40"/>
      <c r="K287" s="40"/>
      <c r="L287" s="40"/>
      <c r="M287" s="40"/>
    </row>
    <row r="288" spans="1:13">
      <c r="A288" s="40"/>
      <c r="J288" s="40"/>
      <c r="K288" s="40"/>
      <c r="L288" s="40"/>
      <c r="M288" s="40"/>
    </row>
    <row r="289" spans="1:13">
      <c r="A289" s="40"/>
      <c r="J289" s="40"/>
      <c r="K289" s="40"/>
      <c r="L289" s="40"/>
      <c r="M289" s="40"/>
    </row>
    <row r="290" spans="1:13">
      <c r="A290" s="40"/>
      <c r="J290" s="40"/>
      <c r="K290" s="40"/>
      <c r="L290" s="40"/>
      <c r="M290" s="40"/>
    </row>
    <row r="291" spans="1:13">
      <c r="A291" s="40"/>
      <c r="J291" s="40"/>
      <c r="K291" s="40"/>
      <c r="L291" s="40"/>
      <c r="M291" s="40"/>
    </row>
    <row r="292" spans="1:13">
      <c r="A292" s="40"/>
      <c r="J292" s="40"/>
      <c r="K292" s="40"/>
      <c r="L292" s="40"/>
      <c r="M292" s="40"/>
    </row>
    <row r="293" spans="1:13">
      <c r="A293" s="40"/>
      <c r="J293" s="40"/>
      <c r="K293" s="40"/>
      <c r="L293" s="40"/>
      <c r="M293" s="40"/>
    </row>
    <row r="294" spans="1:13">
      <c r="A294" s="40"/>
      <c r="J294" s="40"/>
      <c r="K294" s="40"/>
      <c r="L294" s="40"/>
      <c r="M294" s="40"/>
    </row>
    <row r="295" spans="1:13">
      <c r="A295" s="40"/>
      <c r="J295" s="40"/>
      <c r="K295" s="40"/>
      <c r="L295" s="40"/>
      <c r="M295" s="40"/>
    </row>
    <row r="296" spans="1:13">
      <c r="A296" s="40"/>
      <c r="J296" s="40"/>
      <c r="K296" s="40"/>
      <c r="L296" s="40"/>
      <c r="M296" s="40"/>
    </row>
    <row r="297" spans="1:13">
      <c r="A297" s="40"/>
      <c r="J297" s="40"/>
      <c r="K297" s="40"/>
      <c r="L297" s="40"/>
      <c r="M297" s="40"/>
    </row>
    <row r="298" spans="1:13">
      <c r="A298" s="40"/>
      <c r="J298" s="40"/>
      <c r="K298" s="40"/>
      <c r="L298" s="40"/>
      <c r="M298" s="40"/>
    </row>
    <row r="299" spans="1:13">
      <c r="A299" s="40"/>
      <c r="J299" s="40"/>
      <c r="K299" s="40"/>
      <c r="L299" s="40"/>
      <c r="M299" s="40"/>
    </row>
    <row r="300" spans="1:13">
      <c r="A300" s="40"/>
      <c r="J300" s="40"/>
      <c r="K300" s="40"/>
      <c r="L300" s="40"/>
      <c r="M300" s="40"/>
    </row>
    <row r="301" spans="1:13">
      <c r="A301" s="40"/>
      <c r="J301" s="40"/>
      <c r="K301" s="40"/>
      <c r="L301" s="40"/>
      <c r="M301" s="40"/>
    </row>
    <row r="302" spans="1:13">
      <c r="A302" s="40"/>
      <c r="J302" s="40"/>
      <c r="K302" s="40"/>
      <c r="L302" s="40"/>
      <c r="M302" s="40"/>
    </row>
    <row r="303" spans="1:13">
      <c r="A303" s="40"/>
      <c r="J303" s="40"/>
      <c r="K303" s="40"/>
      <c r="L303" s="40"/>
      <c r="M303" s="40"/>
    </row>
    <row r="304" spans="1:13">
      <c r="A304" s="40"/>
      <c r="J304" s="40"/>
      <c r="K304" s="40"/>
      <c r="L304" s="40"/>
      <c r="M304" s="40"/>
    </row>
    <row r="305" spans="1:13">
      <c r="A305" s="40"/>
      <c r="J305" s="40"/>
      <c r="K305" s="40"/>
      <c r="L305" s="40"/>
      <c r="M305" s="40"/>
    </row>
    <row r="306" spans="1:13">
      <c r="A306" s="40"/>
      <c r="J306" s="40"/>
      <c r="K306" s="40"/>
      <c r="L306" s="40"/>
      <c r="M306" s="40"/>
    </row>
    <row r="307" spans="1:13">
      <c r="A307" s="40"/>
      <c r="J307" s="40"/>
      <c r="K307" s="40"/>
      <c r="L307" s="40"/>
      <c r="M307" s="40"/>
    </row>
    <row r="308" spans="1:13">
      <c r="A308" s="40"/>
      <c r="J308" s="40"/>
      <c r="K308" s="40"/>
      <c r="L308" s="40"/>
      <c r="M308" s="40"/>
    </row>
    <row r="309" spans="1:13">
      <c r="A309" s="40"/>
      <c r="J309" s="40"/>
      <c r="K309" s="40"/>
      <c r="L309" s="40"/>
      <c r="M309" s="40"/>
    </row>
    <row r="310" spans="1:13">
      <c r="A310" s="40"/>
      <c r="J310" s="40"/>
      <c r="K310" s="40"/>
      <c r="L310" s="40"/>
      <c r="M310" s="40"/>
    </row>
    <row r="311" spans="1:13">
      <c r="A311" s="40"/>
      <c r="J311" s="40"/>
      <c r="K311" s="40"/>
      <c r="L311" s="40"/>
      <c r="M311" s="40"/>
    </row>
    <row r="312" spans="1:13">
      <c r="A312" s="40"/>
      <c r="J312" s="40"/>
      <c r="K312" s="40"/>
      <c r="L312" s="40"/>
      <c r="M312" s="40"/>
    </row>
    <row r="313" spans="1:13">
      <c r="A313" s="40"/>
      <c r="J313" s="40"/>
      <c r="K313" s="40"/>
      <c r="L313" s="40"/>
      <c r="M313" s="40"/>
    </row>
    <row r="314" spans="1:13">
      <c r="A314" s="40"/>
      <c r="J314" s="40"/>
      <c r="K314" s="40"/>
      <c r="L314" s="40"/>
      <c r="M314" s="40"/>
    </row>
    <row r="315" spans="1:13">
      <c r="A315" s="40"/>
      <c r="J315" s="40"/>
      <c r="K315" s="40"/>
      <c r="L315" s="40"/>
      <c r="M315" s="40"/>
    </row>
    <row r="316" spans="1:13">
      <c r="A316" s="40"/>
      <c r="J316" s="40"/>
      <c r="K316" s="40"/>
      <c r="L316" s="40"/>
      <c r="M316" s="40"/>
    </row>
    <row r="317" spans="1:13">
      <c r="A317" s="40"/>
      <c r="J317" s="40"/>
      <c r="K317" s="40"/>
      <c r="L317" s="40"/>
      <c r="M317" s="40"/>
    </row>
    <row r="318" spans="1:13">
      <c r="A318" s="40"/>
      <c r="J318" s="40"/>
      <c r="K318" s="40"/>
      <c r="L318" s="40"/>
      <c r="M318" s="40"/>
    </row>
    <row r="319" spans="1:13">
      <c r="A319" s="40"/>
      <c r="J319" s="40"/>
      <c r="K319" s="40"/>
      <c r="L319" s="40"/>
      <c r="M319" s="40"/>
    </row>
    <row r="320" spans="1:13">
      <c r="A320" s="40"/>
      <c r="J320" s="40"/>
      <c r="K320" s="40"/>
      <c r="L320" s="40"/>
      <c r="M320" s="40"/>
    </row>
    <row r="321" spans="1:13">
      <c r="A321" s="40"/>
      <c r="J321" s="40"/>
      <c r="K321" s="40"/>
      <c r="L321" s="40"/>
      <c r="M321" s="40"/>
    </row>
    <row r="322" spans="1:13">
      <c r="A322" s="40"/>
      <c r="J322" s="40"/>
      <c r="K322" s="40"/>
      <c r="L322" s="40"/>
      <c r="M322" s="40"/>
    </row>
    <row r="323" spans="1:13">
      <c r="A323" s="40"/>
      <c r="J323" s="40"/>
      <c r="K323" s="40"/>
      <c r="L323" s="40"/>
      <c r="M323" s="40"/>
    </row>
    <row r="324" spans="1:13">
      <c r="A324" s="40"/>
      <c r="J324" s="40"/>
      <c r="K324" s="40"/>
      <c r="L324" s="40"/>
      <c r="M324" s="40"/>
    </row>
    <row r="325" spans="1:13">
      <c r="A325" s="40"/>
      <c r="J325" s="40"/>
      <c r="K325" s="40"/>
      <c r="L325" s="40"/>
      <c r="M325" s="40"/>
    </row>
    <row r="326" spans="1:13">
      <c r="A326" s="40"/>
      <c r="J326" s="40"/>
      <c r="K326" s="40"/>
      <c r="L326" s="40"/>
      <c r="M326" s="40"/>
    </row>
    <row r="327" spans="1:13">
      <c r="A327" s="40"/>
      <c r="J327" s="40"/>
      <c r="K327" s="40"/>
      <c r="L327" s="40"/>
      <c r="M327" s="40"/>
    </row>
    <row r="328" spans="1:13">
      <c r="A328" s="40"/>
      <c r="J328" s="40"/>
      <c r="K328" s="40"/>
      <c r="L328" s="40"/>
      <c r="M328" s="40"/>
    </row>
    <row r="329" spans="1:13">
      <c r="A329" s="40"/>
      <c r="J329" s="40"/>
      <c r="K329" s="40"/>
      <c r="L329" s="40"/>
      <c r="M329" s="40"/>
    </row>
    <row r="330" spans="1:13">
      <c r="A330" s="40"/>
      <c r="J330" s="40"/>
      <c r="K330" s="40"/>
      <c r="L330" s="40"/>
      <c r="M330" s="40"/>
    </row>
    <row r="331" spans="1:13">
      <c r="A331" s="40"/>
      <c r="J331" s="40"/>
      <c r="K331" s="40"/>
      <c r="L331" s="40"/>
      <c r="M331" s="40"/>
    </row>
    <row r="332" spans="1:13">
      <c r="A332" s="40"/>
      <c r="J332" s="40"/>
      <c r="K332" s="40"/>
      <c r="L332" s="40"/>
      <c r="M332" s="40"/>
    </row>
    <row r="333" spans="1:13">
      <c r="A333" s="40"/>
      <c r="J333" s="40"/>
      <c r="K333" s="40"/>
      <c r="L333" s="40"/>
      <c r="M333" s="40"/>
    </row>
    <row r="334" spans="1:13">
      <c r="A334" s="40"/>
      <c r="J334" s="40"/>
      <c r="K334" s="40"/>
      <c r="L334" s="40"/>
      <c r="M334" s="40"/>
    </row>
    <row r="335" spans="1:13">
      <c r="A335" s="40"/>
      <c r="J335" s="40"/>
      <c r="K335" s="40"/>
      <c r="L335" s="40"/>
      <c r="M335" s="40"/>
    </row>
    <row r="336" spans="1:13">
      <c r="A336" s="40"/>
      <c r="J336" s="40"/>
      <c r="K336" s="40"/>
      <c r="L336" s="40"/>
      <c r="M336" s="40"/>
    </row>
    <row r="337" spans="1:13">
      <c r="A337" s="40"/>
      <c r="J337" s="40"/>
      <c r="K337" s="40"/>
      <c r="L337" s="40"/>
      <c r="M337" s="40"/>
    </row>
    <row r="338" spans="1:13">
      <c r="A338" s="40"/>
      <c r="J338" s="40"/>
      <c r="K338" s="40"/>
      <c r="L338" s="40"/>
      <c r="M338" s="40"/>
    </row>
    <row r="339" spans="1:13">
      <c r="A339" s="40"/>
      <c r="J339" s="40"/>
      <c r="K339" s="40"/>
      <c r="L339" s="40"/>
      <c r="M339" s="40"/>
    </row>
    <row r="340" spans="1:13">
      <c r="A340" s="40"/>
      <c r="J340" s="40"/>
      <c r="K340" s="40"/>
      <c r="L340" s="40"/>
      <c r="M340" s="40"/>
    </row>
    <row r="341" spans="1:13">
      <c r="A341" s="40"/>
      <c r="J341" s="40"/>
      <c r="K341" s="40"/>
      <c r="L341" s="40"/>
      <c r="M341" s="40"/>
    </row>
    <row r="342" spans="1:13">
      <c r="A342" s="40"/>
      <c r="J342" s="40"/>
      <c r="K342" s="40"/>
      <c r="L342" s="40"/>
      <c r="M342" s="40"/>
    </row>
    <row r="343" spans="1:13">
      <c r="A343" s="40"/>
      <c r="J343" s="40"/>
      <c r="K343" s="40"/>
      <c r="L343" s="40"/>
      <c r="M343" s="40"/>
    </row>
    <row r="344" spans="1:13">
      <c r="A344" s="40"/>
      <c r="J344" s="40"/>
      <c r="K344" s="40"/>
      <c r="L344" s="40"/>
      <c r="M344" s="40"/>
    </row>
    <row r="345" spans="1:13">
      <c r="A345" s="40"/>
      <c r="J345" s="40"/>
      <c r="K345" s="40"/>
      <c r="L345" s="40"/>
      <c r="M345" s="40"/>
    </row>
    <row r="346" spans="1:13">
      <c r="A346" s="40"/>
      <c r="J346" s="40"/>
      <c r="K346" s="40"/>
      <c r="L346" s="40"/>
      <c r="M346" s="40"/>
    </row>
    <row r="347" spans="1:13">
      <c r="A347" s="40"/>
      <c r="J347" s="40"/>
      <c r="K347" s="40"/>
      <c r="L347" s="40"/>
      <c r="M347" s="40"/>
    </row>
    <row r="348" spans="1:13">
      <c r="A348" s="40"/>
      <c r="J348" s="40"/>
      <c r="K348" s="40"/>
      <c r="L348" s="40"/>
      <c r="M348" s="40"/>
    </row>
    <row r="349" spans="1:13">
      <c r="A349" s="40"/>
      <c r="J349" s="40"/>
      <c r="K349" s="40"/>
      <c r="L349" s="40"/>
      <c r="M349" s="40"/>
    </row>
    <row r="350" spans="1:13">
      <c r="A350" s="40"/>
      <c r="J350" s="40"/>
      <c r="K350" s="40"/>
      <c r="L350" s="40"/>
      <c r="M350" s="40"/>
    </row>
    <row r="351" spans="1:13">
      <c r="A351" s="40"/>
      <c r="J351" s="40"/>
      <c r="K351" s="40"/>
      <c r="L351" s="40"/>
      <c r="M351" s="40"/>
    </row>
    <row r="352" spans="1:13">
      <c r="A352" s="40"/>
      <c r="J352" s="40"/>
      <c r="K352" s="40"/>
      <c r="L352" s="40"/>
      <c r="M352" s="40"/>
    </row>
    <row r="353" spans="1:13">
      <c r="A353" s="40"/>
      <c r="J353" s="40"/>
      <c r="K353" s="40"/>
      <c r="L353" s="40"/>
      <c r="M353" s="40"/>
    </row>
    <row r="354" spans="1:13">
      <c r="A354" s="40"/>
      <c r="J354" s="40"/>
      <c r="K354" s="40"/>
      <c r="L354" s="40"/>
      <c r="M354" s="40"/>
    </row>
    <row r="355" spans="1:13">
      <c r="A355" s="40"/>
      <c r="J355" s="40"/>
      <c r="K355" s="40"/>
      <c r="L355" s="40"/>
      <c r="M355" s="40"/>
    </row>
    <row r="356" spans="1:13">
      <c r="A356" s="40"/>
      <c r="J356" s="40"/>
      <c r="K356" s="40"/>
      <c r="L356" s="40"/>
      <c r="M356" s="40"/>
    </row>
    <row r="357" spans="1:13">
      <c r="A357" s="40"/>
      <c r="J357" s="40"/>
      <c r="K357" s="40"/>
      <c r="L357" s="40"/>
      <c r="M357" s="40"/>
    </row>
    <row r="358" spans="1:13">
      <c r="A358" s="40"/>
      <c r="J358" s="40"/>
      <c r="K358" s="40"/>
      <c r="L358" s="40"/>
      <c r="M358" s="40"/>
    </row>
    <row r="359" spans="1:13">
      <c r="A359" s="40"/>
      <c r="J359" s="40"/>
      <c r="K359" s="40"/>
      <c r="L359" s="40"/>
      <c r="M359" s="40"/>
    </row>
    <row r="360" spans="1:13">
      <c r="A360" s="40"/>
      <c r="J360" s="40"/>
      <c r="K360" s="40"/>
      <c r="L360" s="40"/>
      <c r="M360" s="40"/>
    </row>
    <row r="361" spans="1:13">
      <c r="A361" s="40"/>
      <c r="J361" s="40"/>
      <c r="K361" s="40"/>
      <c r="L361" s="40"/>
      <c r="M361" s="40"/>
    </row>
    <row r="362" spans="1:13">
      <c r="A362" s="40"/>
      <c r="J362" s="40"/>
      <c r="K362" s="40"/>
      <c r="L362" s="40"/>
      <c r="M362" s="40"/>
    </row>
    <row r="363" spans="1:13">
      <c r="A363" s="40"/>
      <c r="J363" s="40"/>
      <c r="K363" s="40"/>
      <c r="L363" s="40"/>
      <c r="M363" s="40"/>
    </row>
    <row r="364" spans="1:13">
      <c r="A364" s="40"/>
      <c r="J364" s="40"/>
      <c r="K364" s="40"/>
      <c r="L364" s="40"/>
      <c r="M364" s="40"/>
    </row>
    <row r="365" spans="1:13">
      <c r="A365" s="40"/>
      <c r="J365" s="40"/>
      <c r="K365" s="40"/>
      <c r="L365" s="40"/>
      <c r="M365" s="40"/>
    </row>
    <row r="366" spans="1:13">
      <c r="A366" s="40"/>
      <c r="J366" s="40"/>
      <c r="K366" s="40"/>
      <c r="L366" s="40"/>
      <c r="M366" s="40"/>
    </row>
    <row r="367" spans="1:13">
      <c r="A367" s="40"/>
      <c r="J367" s="40"/>
      <c r="K367" s="40"/>
      <c r="L367" s="40"/>
      <c r="M367" s="40"/>
    </row>
    <row r="368" spans="1:13">
      <c r="A368" s="40"/>
      <c r="J368" s="40"/>
      <c r="K368" s="40"/>
      <c r="L368" s="40"/>
      <c r="M368" s="40"/>
    </row>
    <row r="369" spans="1:13">
      <c r="A369" s="40"/>
      <c r="J369" s="40"/>
      <c r="K369" s="40"/>
      <c r="L369" s="40"/>
      <c r="M369" s="40"/>
    </row>
    <row r="370" spans="1:13">
      <c r="A370" s="40"/>
      <c r="J370" s="40"/>
      <c r="K370" s="40"/>
      <c r="L370" s="40"/>
      <c r="M370" s="40"/>
    </row>
    <row r="371" spans="1:13">
      <c r="A371" s="40"/>
      <c r="J371" s="40"/>
      <c r="K371" s="40"/>
      <c r="L371" s="40"/>
      <c r="M371" s="40"/>
    </row>
    <row r="372" spans="1:13">
      <c r="A372" s="40"/>
      <c r="J372" s="40"/>
      <c r="K372" s="40"/>
      <c r="L372" s="40"/>
      <c r="M372" s="40"/>
    </row>
    <row r="373" spans="1:13">
      <c r="A373" s="40"/>
      <c r="J373" s="40"/>
      <c r="K373" s="40"/>
      <c r="L373" s="40"/>
      <c r="M373" s="40"/>
    </row>
    <row r="374" spans="1:13">
      <c r="A374" s="40"/>
      <c r="J374" s="40"/>
      <c r="K374" s="40"/>
      <c r="L374" s="40"/>
      <c r="M374" s="40"/>
    </row>
    <row r="375" spans="1:13">
      <c r="A375" s="40"/>
      <c r="J375" s="40"/>
      <c r="K375" s="40"/>
      <c r="L375" s="40"/>
      <c r="M375" s="40"/>
    </row>
    <row r="376" spans="1:13">
      <c r="A376" s="40"/>
      <c r="J376" s="40"/>
      <c r="K376" s="40"/>
      <c r="L376" s="40"/>
      <c r="M376" s="40"/>
    </row>
    <row r="377" spans="1:13">
      <c r="A377" s="40"/>
      <c r="J377" s="40"/>
      <c r="K377" s="40"/>
      <c r="L377" s="40"/>
      <c r="M377" s="40"/>
    </row>
    <row r="378" spans="1:13">
      <c r="A378" s="40"/>
      <c r="J378" s="40"/>
      <c r="K378" s="40"/>
      <c r="L378" s="40"/>
      <c r="M378" s="40"/>
    </row>
    <row r="379" spans="1:13">
      <c r="A379" s="40"/>
      <c r="J379" s="40"/>
      <c r="K379" s="40"/>
      <c r="L379" s="40"/>
      <c r="M379" s="40"/>
    </row>
    <row r="380" spans="1:13">
      <c r="A380" s="40"/>
      <c r="J380" s="40"/>
      <c r="K380" s="40"/>
      <c r="L380" s="40"/>
      <c r="M380" s="40"/>
    </row>
    <row r="381" spans="1:13">
      <c r="A381" s="40"/>
      <c r="J381" s="40"/>
      <c r="K381" s="40"/>
      <c r="L381" s="40"/>
      <c r="M381" s="40"/>
    </row>
    <row r="382" spans="1:13">
      <c r="A382" s="40"/>
      <c r="J382" s="40"/>
      <c r="K382" s="40"/>
      <c r="L382" s="40"/>
      <c r="M382" s="40"/>
    </row>
    <row r="383" spans="1:13">
      <c r="A383" s="40"/>
      <c r="J383" s="40"/>
      <c r="K383" s="40"/>
      <c r="L383" s="40"/>
      <c r="M383" s="40"/>
    </row>
    <row r="384" spans="1:13">
      <c r="A384" s="40"/>
      <c r="J384" s="40"/>
      <c r="K384" s="40"/>
      <c r="L384" s="40"/>
      <c r="M384" s="40"/>
    </row>
    <row r="385" spans="1:13">
      <c r="A385" s="40"/>
      <c r="J385" s="40"/>
      <c r="K385" s="40"/>
      <c r="L385" s="40"/>
      <c r="M385" s="40"/>
    </row>
    <row r="386" spans="1:13">
      <c r="A386" s="40"/>
      <c r="J386" s="40"/>
      <c r="K386" s="40"/>
      <c r="L386" s="40"/>
      <c r="M386" s="40"/>
    </row>
    <row r="387" spans="1:13">
      <c r="A387" s="40"/>
      <c r="J387" s="40"/>
      <c r="K387" s="40"/>
      <c r="L387" s="40"/>
      <c r="M387" s="40"/>
    </row>
    <row r="388" spans="1:13">
      <c r="A388" s="40"/>
      <c r="J388" s="40"/>
      <c r="K388" s="40"/>
      <c r="L388" s="40"/>
      <c r="M388" s="40"/>
    </row>
    <row r="389" spans="1:13">
      <c r="A389" s="40"/>
      <c r="J389" s="40"/>
      <c r="K389" s="40"/>
      <c r="L389" s="40"/>
      <c r="M389" s="40"/>
    </row>
    <row r="390" spans="1:13">
      <c r="A390" s="40"/>
      <c r="J390" s="40"/>
      <c r="K390" s="40"/>
      <c r="L390" s="40"/>
      <c r="M390" s="40"/>
    </row>
    <row r="391" spans="1:13">
      <c r="A391" s="40"/>
      <c r="J391" s="40"/>
      <c r="K391" s="40"/>
      <c r="L391" s="40"/>
      <c r="M391" s="40"/>
    </row>
    <row r="392" spans="1:13">
      <c r="A392" s="40"/>
      <c r="J392" s="40"/>
      <c r="K392" s="40"/>
      <c r="L392" s="40"/>
      <c r="M392" s="40"/>
    </row>
    <row r="393" spans="1:13">
      <c r="A393" s="40"/>
      <c r="J393" s="40"/>
      <c r="K393" s="40"/>
      <c r="L393" s="40"/>
      <c r="M393" s="40"/>
    </row>
    <row r="394" spans="1:13">
      <c r="A394" s="40"/>
      <c r="J394" s="40"/>
      <c r="K394" s="40"/>
      <c r="L394" s="40"/>
      <c r="M394" s="40"/>
    </row>
    <row r="395" spans="1:13">
      <c r="A395" s="40"/>
      <c r="J395" s="40"/>
      <c r="K395" s="40"/>
      <c r="L395" s="40"/>
      <c r="M395" s="40"/>
    </row>
    <row r="396" spans="1:13">
      <c r="A396" s="40"/>
      <c r="J396" s="40"/>
      <c r="K396" s="40"/>
      <c r="L396" s="40"/>
      <c r="M396" s="40"/>
    </row>
    <row r="397" spans="1:13">
      <c r="A397" s="40"/>
      <c r="J397" s="40"/>
      <c r="K397" s="40"/>
      <c r="L397" s="40"/>
      <c r="M397" s="40"/>
    </row>
    <row r="398" spans="1:13">
      <c r="A398" s="40"/>
      <c r="J398" s="40"/>
      <c r="K398" s="40"/>
      <c r="L398" s="40"/>
      <c r="M398" s="40"/>
    </row>
    <row r="399" spans="1:13">
      <c r="A399" s="40"/>
      <c r="J399" s="40"/>
      <c r="K399" s="40"/>
      <c r="L399" s="40"/>
      <c r="M399" s="40"/>
    </row>
    <row r="400" spans="1:13">
      <c r="A400" s="40"/>
      <c r="J400" s="40"/>
      <c r="K400" s="40"/>
      <c r="L400" s="40"/>
      <c r="M400" s="40"/>
    </row>
    <row r="401" spans="1:13">
      <c r="A401" s="40"/>
      <c r="J401" s="40"/>
      <c r="K401" s="40"/>
      <c r="L401" s="40"/>
      <c r="M401" s="40"/>
    </row>
    <row r="402" spans="1:13">
      <c r="A402" s="40"/>
      <c r="J402" s="40"/>
      <c r="K402" s="40"/>
      <c r="L402" s="40"/>
      <c r="M402" s="40"/>
    </row>
    <row r="403" spans="1:13">
      <c r="A403" s="40"/>
      <c r="J403" s="40"/>
      <c r="K403" s="40"/>
      <c r="L403" s="40"/>
      <c r="M403" s="40"/>
    </row>
    <row r="404" spans="1:13">
      <c r="A404" s="40"/>
      <c r="J404" s="40"/>
      <c r="K404" s="40"/>
      <c r="L404" s="40"/>
      <c r="M404" s="40"/>
    </row>
    <row r="405" spans="1:13">
      <c r="A405" s="40"/>
      <c r="J405" s="40"/>
      <c r="K405" s="40"/>
      <c r="L405" s="40"/>
      <c r="M405" s="40"/>
    </row>
    <row r="406" spans="1:13">
      <c r="A406" s="40"/>
      <c r="J406" s="40"/>
      <c r="K406" s="40"/>
      <c r="L406" s="40"/>
      <c r="M406" s="40"/>
    </row>
    <row r="407" spans="1:13">
      <c r="A407" s="40"/>
      <c r="J407" s="40"/>
      <c r="K407" s="40"/>
      <c r="L407" s="40"/>
      <c r="M407" s="40"/>
    </row>
    <row r="408" spans="1:13">
      <c r="A408" s="40"/>
      <c r="J408" s="40"/>
      <c r="K408" s="40"/>
      <c r="L408" s="40"/>
      <c r="M408" s="40"/>
    </row>
    <row r="409" spans="1:13">
      <c r="A409" s="40"/>
      <c r="J409" s="40"/>
      <c r="K409" s="40"/>
      <c r="L409" s="40"/>
      <c r="M409" s="40"/>
    </row>
    <row r="410" spans="1:13">
      <c r="A410" s="40"/>
      <c r="J410" s="40"/>
      <c r="K410" s="40"/>
      <c r="L410" s="40"/>
      <c r="M410" s="40"/>
    </row>
    <row r="411" spans="1:13">
      <c r="A411" s="40"/>
      <c r="J411" s="40"/>
      <c r="K411" s="40"/>
      <c r="L411" s="40"/>
      <c r="M411" s="40"/>
    </row>
    <row r="412" spans="1:13">
      <c r="A412" s="40"/>
      <c r="J412" s="40"/>
      <c r="K412" s="40"/>
      <c r="L412" s="40"/>
      <c r="M412" s="40"/>
    </row>
    <row r="413" spans="1:13">
      <c r="A413" s="40"/>
      <c r="J413" s="40"/>
      <c r="K413" s="40"/>
      <c r="L413" s="40"/>
      <c r="M413" s="40"/>
    </row>
    <row r="414" spans="1:13">
      <c r="A414" s="40"/>
      <c r="J414" s="40"/>
      <c r="K414" s="40"/>
      <c r="L414" s="40"/>
      <c r="M414" s="40"/>
    </row>
    <row r="415" spans="1:13">
      <c r="A415" s="40"/>
      <c r="J415" s="40"/>
      <c r="K415" s="40"/>
      <c r="L415" s="40"/>
      <c r="M415" s="40"/>
    </row>
    <row r="416" spans="1:13">
      <c r="A416" s="40"/>
      <c r="J416" s="40"/>
      <c r="K416" s="40"/>
      <c r="L416" s="40"/>
      <c r="M416" s="40"/>
    </row>
    <row r="417" spans="1:13">
      <c r="A417" s="40"/>
      <c r="J417" s="40"/>
      <c r="K417" s="40"/>
      <c r="L417" s="40"/>
      <c r="M417" s="40"/>
    </row>
    <row r="418" spans="1:13">
      <c r="A418" s="40"/>
      <c r="J418" s="40"/>
      <c r="K418" s="40"/>
      <c r="L418" s="40"/>
      <c r="M418" s="40"/>
    </row>
    <row r="419" spans="1:13">
      <c r="A419" s="40"/>
      <c r="J419" s="40"/>
      <c r="K419" s="40"/>
      <c r="L419" s="40"/>
      <c r="M419" s="40"/>
    </row>
    <row r="420" spans="1:13">
      <c r="A420" s="40"/>
      <c r="J420" s="40"/>
      <c r="K420" s="40"/>
      <c r="L420" s="40"/>
      <c r="M420" s="40"/>
    </row>
    <row r="421" spans="1:13">
      <c r="A421" s="40"/>
      <c r="J421" s="40"/>
      <c r="K421" s="40"/>
      <c r="L421" s="40"/>
      <c r="M421" s="40"/>
    </row>
    <row r="422" spans="1:13">
      <c r="A422" s="40"/>
      <c r="J422" s="40"/>
      <c r="K422" s="40"/>
      <c r="L422" s="40"/>
      <c r="M422" s="40"/>
    </row>
    <row r="423" spans="1:13">
      <c r="A423" s="40"/>
      <c r="J423" s="40"/>
      <c r="K423" s="40"/>
      <c r="L423" s="40"/>
      <c r="M423" s="40"/>
    </row>
    <row r="424" spans="1:13">
      <c r="A424" s="40"/>
      <c r="J424" s="40"/>
      <c r="K424" s="40"/>
      <c r="L424" s="40"/>
      <c r="M424" s="40"/>
    </row>
    <row r="425" spans="1:13">
      <c r="A425" s="40"/>
      <c r="J425" s="40"/>
      <c r="K425" s="40"/>
      <c r="L425" s="40"/>
      <c r="M425" s="40"/>
    </row>
    <row r="426" spans="1:13">
      <c r="A426" s="40"/>
      <c r="J426" s="40"/>
      <c r="K426" s="40"/>
      <c r="L426" s="40"/>
      <c r="M426" s="40"/>
    </row>
    <row r="427" spans="1:13">
      <c r="A427" s="40"/>
      <c r="J427" s="40"/>
      <c r="K427" s="40"/>
      <c r="L427" s="40"/>
      <c r="M427" s="40"/>
    </row>
    <row r="428" spans="1:13">
      <c r="A428" s="40"/>
      <c r="J428" s="40"/>
      <c r="K428" s="40"/>
      <c r="L428" s="40"/>
      <c r="M428" s="40"/>
    </row>
    <row r="429" spans="1:13">
      <c r="A429" s="40"/>
      <c r="J429" s="40"/>
      <c r="K429" s="40"/>
      <c r="L429" s="40"/>
      <c r="M429" s="40"/>
    </row>
    <row r="430" spans="1:13">
      <c r="A430" s="40"/>
      <c r="J430" s="40"/>
      <c r="K430" s="40"/>
      <c r="L430" s="40"/>
      <c r="M430" s="40"/>
    </row>
    <row r="431" spans="1:13">
      <c r="A431" s="40"/>
      <c r="J431" s="40"/>
      <c r="K431" s="40"/>
      <c r="L431" s="40"/>
      <c r="M431" s="40"/>
    </row>
    <row r="432" spans="1:13">
      <c r="A432" s="40"/>
      <c r="J432" s="40"/>
      <c r="K432" s="40"/>
      <c r="L432" s="40"/>
      <c r="M432" s="40"/>
    </row>
    <row r="433" spans="1:13">
      <c r="A433" s="40"/>
      <c r="J433" s="40"/>
      <c r="K433" s="40"/>
      <c r="L433" s="40"/>
      <c r="M433" s="40"/>
    </row>
    <row r="434" spans="1:13">
      <c r="A434" s="40"/>
      <c r="J434" s="40"/>
      <c r="K434" s="40"/>
      <c r="L434" s="40"/>
      <c r="M434" s="40"/>
    </row>
    <row r="435" spans="1:13">
      <c r="A435" s="40"/>
      <c r="J435" s="40"/>
      <c r="K435" s="40"/>
      <c r="L435" s="40"/>
      <c r="M435" s="40"/>
    </row>
    <row r="436" spans="1:13">
      <c r="A436" s="40"/>
      <c r="J436" s="40"/>
      <c r="K436" s="40"/>
      <c r="L436" s="40"/>
      <c r="M436" s="40"/>
    </row>
    <row r="437" spans="1:13">
      <c r="A437" s="40"/>
      <c r="J437" s="40"/>
      <c r="K437" s="40"/>
      <c r="L437" s="40"/>
      <c r="M437" s="40"/>
    </row>
    <row r="438" spans="1:13">
      <c r="A438" s="40"/>
      <c r="J438" s="40"/>
      <c r="K438" s="40"/>
      <c r="L438" s="40"/>
      <c r="M438" s="40"/>
    </row>
    <row r="439" spans="1:13">
      <c r="A439" s="40"/>
      <c r="J439" s="40"/>
      <c r="K439" s="40"/>
      <c r="L439" s="40"/>
      <c r="M439" s="40"/>
    </row>
    <row r="440" spans="1:13">
      <c r="A440" s="40"/>
      <c r="J440" s="40"/>
      <c r="K440" s="40"/>
      <c r="L440" s="40"/>
      <c r="M440" s="40"/>
    </row>
    <row r="441" spans="1:13">
      <c r="A441" s="40"/>
      <c r="J441" s="40"/>
      <c r="K441" s="40"/>
      <c r="L441" s="40"/>
      <c r="M441" s="40"/>
    </row>
    <row r="442" spans="1:13">
      <c r="A442" s="40"/>
      <c r="J442" s="40"/>
      <c r="K442" s="40"/>
      <c r="L442" s="40"/>
      <c r="M442" s="40"/>
    </row>
    <row r="443" spans="1:13">
      <c r="A443" s="40"/>
      <c r="J443" s="40"/>
      <c r="K443" s="40"/>
      <c r="L443" s="40"/>
      <c r="M443" s="40"/>
    </row>
    <row r="444" spans="1:13">
      <c r="A444" s="40"/>
      <c r="J444" s="40"/>
      <c r="K444" s="40"/>
      <c r="L444" s="40"/>
      <c r="M444" s="40"/>
    </row>
    <row r="445" spans="1:13">
      <c r="A445" s="40"/>
      <c r="J445" s="40"/>
      <c r="K445" s="40"/>
      <c r="L445" s="40"/>
      <c r="M445" s="40"/>
    </row>
    <row r="446" spans="1:13">
      <c r="A446" s="40"/>
      <c r="J446" s="40"/>
      <c r="K446" s="40"/>
      <c r="L446" s="40"/>
      <c r="M446" s="40"/>
    </row>
    <row r="447" spans="1:13">
      <c r="A447" s="40"/>
      <c r="J447" s="40"/>
      <c r="K447" s="40"/>
      <c r="L447" s="40"/>
      <c r="M447" s="40"/>
    </row>
    <row r="448" spans="1:13">
      <c r="A448" s="40"/>
      <c r="J448" s="40"/>
      <c r="K448" s="40"/>
      <c r="L448" s="40"/>
      <c r="M448" s="40"/>
    </row>
    <row r="449" spans="1:13">
      <c r="A449" s="40"/>
      <c r="J449" s="40"/>
      <c r="K449" s="40"/>
      <c r="L449" s="40"/>
      <c r="M449" s="40"/>
    </row>
    <row r="450" spans="1:13">
      <c r="A450" s="40"/>
      <c r="J450" s="40"/>
      <c r="K450" s="40"/>
      <c r="L450" s="40"/>
      <c r="M450" s="40"/>
    </row>
    <row r="451" spans="1:13">
      <c r="A451" s="40"/>
      <c r="J451" s="40"/>
      <c r="K451" s="40"/>
      <c r="L451" s="40"/>
      <c r="M451" s="40"/>
    </row>
    <row r="452" spans="1:13">
      <c r="A452" s="40"/>
      <c r="J452" s="40"/>
      <c r="K452" s="40"/>
      <c r="L452" s="40"/>
      <c r="M452" s="40"/>
    </row>
    <row r="453" spans="1:13">
      <c r="A453" s="40"/>
      <c r="J453" s="40"/>
      <c r="K453" s="40"/>
      <c r="L453" s="40"/>
      <c r="M453" s="40"/>
    </row>
    <row r="454" spans="1:13">
      <c r="A454" s="40"/>
      <c r="J454" s="40"/>
      <c r="K454" s="40"/>
      <c r="L454" s="40"/>
      <c r="M454" s="40"/>
    </row>
    <row r="455" spans="1:13">
      <c r="A455" s="40"/>
      <c r="J455" s="40"/>
      <c r="K455" s="40"/>
      <c r="L455" s="40"/>
      <c r="M455" s="40"/>
    </row>
    <row r="456" spans="1:13">
      <c r="A456" s="40"/>
      <c r="J456" s="40"/>
      <c r="K456" s="40"/>
      <c r="L456" s="40"/>
      <c r="M456" s="40"/>
    </row>
    <row r="457" spans="1:13">
      <c r="A457" s="40"/>
      <c r="J457" s="40"/>
      <c r="K457" s="40"/>
      <c r="L457" s="40"/>
      <c r="M457" s="40"/>
    </row>
    <row r="458" spans="1:13">
      <c r="A458" s="40"/>
      <c r="J458" s="40"/>
      <c r="K458" s="40"/>
      <c r="L458" s="40"/>
      <c r="M458" s="40"/>
    </row>
    <row r="459" spans="1:13">
      <c r="A459" s="40"/>
      <c r="J459" s="40"/>
      <c r="K459" s="40"/>
      <c r="L459" s="40"/>
      <c r="M459" s="40"/>
    </row>
    <row r="460" spans="1:13">
      <c r="A460" s="40"/>
      <c r="J460" s="40"/>
      <c r="K460" s="40"/>
      <c r="L460" s="40"/>
      <c r="M460" s="40"/>
    </row>
    <row r="461" spans="1:13">
      <c r="A461" s="40"/>
      <c r="J461" s="40"/>
      <c r="K461" s="40"/>
      <c r="L461" s="40"/>
      <c r="M461" s="40"/>
    </row>
    <row r="462" spans="1:13">
      <c r="A462" s="40"/>
      <c r="J462" s="40"/>
      <c r="K462" s="40"/>
      <c r="L462" s="40"/>
      <c r="M462" s="40"/>
    </row>
    <row r="463" spans="1:13">
      <c r="A463" s="40"/>
      <c r="J463" s="40"/>
      <c r="K463" s="40"/>
      <c r="L463" s="40"/>
      <c r="M463" s="40"/>
    </row>
    <row r="464" spans="1:13">
      <c r="A464" s="40"/>
      <c r="J464" s="40"/>
      <c r="K464" s="40"/>
      <c r="L464" s="40"/>
      <c r="M464" s="40"/>
    </row>
    <row r="465" spans="1:13">
      <c r="A465" s="40"/>
      <c r="J465" s="40"/>
      <c r="K465" s="40"/>
      <c r="L465" s="40"/>
      <c r="M465" s="40"/>
    </row>
    <row r="466" spans="1:13">
      <c r="A466" s="40"/>
      <c r="J466" s="40"/>
      <c r="K466" s="40"/>
      <c r="L466" s="40"/>
      <c r="M466" s="40"/>
    </row>
    <row r="467" spans="1:13">
      <c r="A467" s="40"/>
      <c r="J467" s="40"/>
      <c r="K467" s="40"/>
      <c r="L467" s="40"/>
      <c r="M467" s="40"/>
    </row>
    <row r="468" spans="1:13">
      <c r="A468" s="40"/>
      <c r="J468" s="40"/>
      <c r="K468" s="40"/>
      <c r="L468" s="40"/>
      <c r="M468" s="40"/>
    </row>
    <row r="469" spans="1:13">
      <c r="A469" s="40"/>
      <c r="J469" s="40"/>
      <c r="K469" s="40"/>
      <c r="L469" s="40"/>
      <c r="M469" s="40"/>
    </row>
    <row r="470" spans="1:13">
      <c r="A470" s="40"/>
      <c r="J470" s="40"/>
      <c r="K470" s="40"/>
      <c r="L470" s="40"/>
      <c r="M470" s="40"/>
    </row>
    <row r="471" spans="1:13">
      <c r="A471" s="40"/>
      <c r="J471" s="40"/>
      <c r="K471" s="40"/>
      <c r="L471" s="40"/>
      <c r="M471" s="40"/>
    </row>
    <row r="472" spans="1:13">
      <c r="A472" s="40"/>
      <c r="J472" s="40"/>
      <c r="K472" s="40"/>
      <c r="L472" s="40"/>
      <c r="M472" s="40"/>
    </row>
    <row r="473" spans="1:13">
      <c r="A473" s="40"/>
      <c r="J473" s="40"/>
      <c r="K473" s="40"/>
      <c r="L473" s="40"/>
      <c r="M473" s="40"/>
    </row>
    <row r="474" spans="1:13">
      <c r="A474" s="40"/>
      <c r="J474" s="40"/>
      <c r="K474" s="40"/>
      <c r="L474" s="40"/>
      <c r="M474" s="40"/>
    </row>
    <row r="475" spans="1:13">
      <c r="A475" s="40"/>
      <c r="J475" s="40"/>
      <c r="K475" s="40"/>
      <c r="L475" s="40"/>
      <c r="M475" s="40"/>
    </row>
    <row r="476" spans="1:13">
      <c r="A476" s="40"/>
      <c r="J476" s="40"/>
      <c r="K476" s="40"/>
      <c r="L476" s="40"/>
      <c r="M476" s="40"/>
    </row>
    <row r="477" spans="1:13">
      <c r="A477" s="40"/>
      <c r="J477" s="40"/>
      <c r="K477" s="40"/>
      <c r="L477" s="40"/>
      <c r="M477" s="40"/>
    </row>
    <row r="478" spans="1:13">
      <c r="A478" s="40"/>
      <c r="J478" s="40"/>
      <c r="K478" s="40"/>
      <c r="L478" s="40"/>
      <c r="M478" s="40"/>
    </row>
    <row r="479" spans="1:13">
      <c r="A479" s="40"/>
      <c r="J479" s="40"/>
      <c r="K479" s="40"/>
      <c r="L479" s="40"/>
      <c r="M479" s="40"/>
    </row>
    <row r="480" spans="1:13">
      <c r="A480" s="40"/>
      <c r="J480" s="40"/>
      <c r="K480" s="40"/>
      <c r="L480" s="40"/>
      <c r="M480" s="40"/>
    </row>
    <row r="481" spans="1:13">
      <c r="A481" s="40"/>
      <c r="J481" s="40"/>
      <c r="K481" s="40"/>
      <c r="L481" s="40"/>
      <c r="M481" s="40"/>
    </row>
    <row r="482" spans="1:13">
      <c r="A482" s="40"/>
      <c r="J482" s="40"/>
      <c r="K482" s="40"/>
      <c r="L482" s="40"/>
      <c r="M482" s="40"/>
    </row>
    <row r="483" spans="1:13">
      <c r="A483" s="40"/>
      <c r="J483" s="40"/>
      <c r="K483" s="40"/>
      <c r="L483" s="40"/>
      <c r="M483" s="40"/>
    </row>
    <row r="484" spans="1:13">
      <c r="A484" s="40"/>
      <c r="J484" s="40"/>
      <c r="K484" s="40"/>
      <c r="L484" s="40"/>
      <c r="M484" s="40"/>
    </row>
    <row r="485" spans="1:13">
      <c r="A485" s="40"/>
      <c r="J485" s="40"/>
      <c r="K485" s="40"/>
      <c r="L485" s="40"/>
      <c r="M485" s="40"/>
    </row>
    <row r="486" spans="1:13">
      <c r="A486" s="40"/>
      <c r="J486" s="40"/>
      <c r="K486" s="40"/>
      <c r="L486" s="40"/>
      <c r="M486" s="40"/>
    </row>
    <row r="487" spans="1:13">
      <c r="A487" s="40"/>
      <c r="J487" s="40"/>
      <c r="K487" s="40"/>
      <c r="L487" s="40"/>
      <c r="M487" s="40"/>
    </row>
    <row r="488" spans="1:13">
      <c r="A488" s="40"/>
      <c r="J488" s="40"/>
      <c r="K488" s="40"/>
      <c r="L488" s="40"/>
      <c r="M488" s="40"/>
    </row>
    <row r="489" spans="1:13">
      <c r="A489" s="40"/>
      <c r="J489" s="40"/>
      <c r="K489" s="40"/>
      <c r="L489" s="40"/>
      <c r="M489" s="40"/>
    </row>
    <row r="490" spans="1:13">
      <c r="A490" s="40"/>
      <c r="J490" s="40"/>
      <c r="K490" s="40"/>
      <c r="L490" s="40"/>
      <c r="M490" s="40"/>
    </row>
    <row r="491" spans="1:13">
      <c r="A491" s="40"/>
      <c r="J491" s="40"/>
      <c r="K491" s="40"/>
      <c r="L491" s="40"/>
      <c r="M491" s="40"/>
    </row>
    <row r="492" spans="1:13">
      <c r="A492" s="40"/>
      <c r="J492" s="40"/>
      <c r="K492" s="40"/>
      <c r="L492" s="40"/>
      <c r="M492" s="40"/>
    </row>
    <row r="493" spans="1:13">
      <c r="A493" s="40"/>
      <c r="J493" s="40"/>
      <c r="K493" s="40"/>
      <c r="L493" s="40"/>
      <c r="M493" s="40"/>
    </row>
    <row r="494" spans="1:13">
      <c r="A494" s="40"/>
      <c r="J494" s="40"/>
      <c r="K494" s="40"/>
      <c r="L494" s="40"/>
      <c r="M494" s="40"/>
    </row>
    <row r="495" spans="1:13">
      <c r="A495" s="40"/>
      <c r="J495" s="40"/>
      <c r="K495" s="40"/>
      <c r="L495" s="40"/>
      <c r="M495" s="40"/>
    </row>
    <row r="496" spans="1:13">
      <c r="A496" s="40"/>
      <c r="J496" s="40"/>
      <c r="K496" s="40"/>
      <c r="L496" s="40"/>
      <c r="M496" s="40"/>
    </row>
    <row r="497" spans="1:13">
      <c r="A497" s="40"/>
      <c r="J497" s="40"/>
      <c r="K497" s="40"/>
      <c r="L497" s="40"/>
      <c r="M497" s="40"/>
    </row>
    <row r="498" spans="1:13">
      <c r="A498" s="40"/>
      <c r="J498" s="40"/>
      <c r="K498" s="40"/>
      <c r="L498" s="40"/>
      <c r="M498" s="40"/>
    </row>
    <row r="499" spans="1:13">
      <c r="A499" s="40"/>
      <c r="J499" s="40"/>
      <c r="K499" s="40"/>
      <c r="L499" s="40"/>
      <c r="M499" s="40"/>
    </row>
    <row r="500" spans="1:13">
      <c r="A500" s="40"/>
      <c r="J500" s="40"/>
      <c r="K500" s="40"/>
      <c r="L500" s="40"/>
      <c r="M500" s="40"/>
    </row>
    <row r="501" spans="1:13">
      <c r="A501" s="40"/>
      <c r="J501" s="40"/>
      <c r="K501" s="40"/>
      <c r="L501" s="40"/>
      <c r="M501" s="40"/>
    </row>
    <row r="502" spans="1:13">
      <c r="A502" s="40"/>
      <c r="J502" s="40"/>
      <c r="K502" s="40"/>
      <c r="L502" s="40"/>
      <c r="M502" s="40"/>
    </row>
    <row r="503" spans="1:13">
      <c r="A503" s="40"/>
      <c r="J503" s="40"/>
      <c r="K503" s="40"/>
      <c r="L503" s="40"/>
      <c r="M503" s="40"/>
    </row>
    <row r="504" spans="1:13">
      <c r="A504" s="40"/>
      <c r="J504" s="40"/>
      <c r="K504" s="40"/>
      <c r="L504" s="40"/>
      <c r="M504" s="40"/>
    </row>
    <row r="505" spans="1:13">
      <c r="A505" s="40"/>
      <c r="J505" s="40"/>
      <c r="K505" s="40"/>
      <c r="L505" s="40"/>
      <c r="M505" s="40"/>
    </row>
    <row r="506" spans="1:13">
      <c r="A506" s="40"/>
      <c r="J506" s="40"/>
      <c r="K506" s="40"/>
      <c r="L506" s="40"/>
      <c r="M506" s="40"/>
    </row>
    <row r="507" spans="1:13">
      <c r="A507" s="40"/>
      <c r="J507" s="40"/>
      <c r="K507" s="40"/>
      <c r="L507" s="40"/>
      <c r="M507" s="40"/>
    </row>
    <row r="508" spans="1:13">
      <c r="A508" s="40"/>
      <c r="J508" s="40"/>
      <c r="K508" s="40"/>
      <c r="L508" s="40"/>
      <c r="M508" s="40"/>
    </row>
    <row r="509" spans="1:13">
      <c r="A509" s="40"/>
      <c r="J509" s="40"/>
      <c r="K509" s="40"/>
      <c r="L509" s="40"/>
      <c r="M509" s="40"/>
    </row>
    <row r="510" spans="1:13">
      <c r="A510" s="40"/>
      <c r="J510" s="40"/>
      <c r="K510" s="40"/>
      <c r="L510" s="40"/>
      <c r="M510" s="40"/>
    </row>
    <row r="511" spans="1:13">
      <c r="A511" s="40"/>
      <c r="J511" s="40"/>
      <c r="K511" s="40"/>
      <c r="L511" s="40"/>
      <c r="M511" s="40"/>
    </row>
    <row r="512" spans="1:13">
      <c r="A512" s="40"/>
      <c r="J512" s="40"/>
      <c r="K512" s="40"/>
      <c r="L512" s="40"/>
      <c r="M512" s="40"/>
    </row>
    <row r="513" spans="1:13">
      <c r="A513" s="40"/>
      <c r="J513" s="40"/>
      <c r="K513" s="40"/>
      <c r="L513" s="40"/>
      <c r="M513" s="40"/>
    </row>
    <row r="514" spans="1:13">
      <c r="A514" s="40"/>
      <c r="J514" s="40"/>
      <c r="K514" s="40"/>
      <c r="L514" s="40"/>
      <c r="M514" s="40"/>
    </row>
    <row r="515" spans="1:13">
      <c r="A515" s="40"/>
      <c r="J515" s="40"/>
      <c r="K515" s="40"/>
      <c r="L515" s="40"/>
      <c r="M515" s="40"/>
    </row>
    <row r="516" spans="1:13">
      <c r="A516" s="40"/>
      <c r="J516" s="40"/>
      <c r="K516" s="40"/>
      <c r="L516" s="40"/>
      <c r="M516" s="40"/>
    </row>
    <row r="517" spans="1:13">
      <c r="A517" s="40"/>
      <c r="J517" s="40"/>
      <c r="K517" s="40"/>
      <c r="L517" s="40"/>
      <c r="M517" s="40"/>
    </row>
    <row r="518" spans="1:13">
      <c r="A518" s="40"/>
      <c r="J518" s="40"/>
      <c r="K518" s="40"/>
      <c r="L518" s="40"/>
      <c r="M518" s="40"/>
    </row>
    <row r="519" spans="1:13">
      <c r="A519" s="40"/>
      <c r="J519" s="40"/>
      <c r="K519" s="40"/>
      <c r="L519" s="40"/>
      <c r="M519" s="40"/>
    </row>
    <row r="520" spans="1:13">
      <c r="A520" s="40"/>
      <c r="J520" s="40"/>
      <c r="K520" s="40"/>
      <c r="L520" s="40"/>
      <c r="M520" s="40"/>
    </row>
    <row r="521" spans="1:13">
      <c r="A521" s="40"/>
      <c r="J521" s="40"/>
      <c r="K521" s="40"/>
      <c r="L521" s="40"/>
      <c r="M521" s="40"/>
    </row>
    <row r="522" spans="1:13">
      <c r="A522" s="40"/>
      <c r="J522" s="40"/>
      <c r="K522" s="40"/>
      <c r="L522" s="40"/>
      <c r="M522" s="40"/>
    </row>
    <row r="523" spans="1:13">
      <c r="A523" s="40"/>
      <c r="J523" s="40"/>
      <c r="K523" s="40"/>
      <c r="L523" s="40"/>
      <c r="M523" s="40"/>
    </row>
    <row r="524" spans="1:13">
      <c r="A524" s="40"/>
      <c r="J524" s="40"/>
      <c r="K524" s="40"/>
      <c r="L524" s="40"/>
      <c r="M524" s="40"/>
    </row>
    <row r="525" spans="1:13">
      <c r="A525" s="40"/>
      <c r="J525" s="40"/>
      <c r="K525" s="40"/>
      <c r="L525" s="40"/>
      <c r="M525" s="40"/>
    </row>
    <row r="526" spans="1:13">
      <c r="A526" s="40"/>
      <c r="J526" s="40"/>
      <c r="K526" s="40"/>
      <c r="L526" s="40"/>
      <c r="M526" s="40"/>
    </row>
    <row r="527" spans="1:13">
      <c r="A527" s="40"/>
      <c r="J527" s="40"/>
      <c r="K527" s="40"/>
      <c r="L527" s="40"/>
      <c r="M527" s="40"/>
    </row>
    <row r="528" spans="1:13">
      <c r="A528" s="40"/>
      <c r="J528" s="40"/>
      <c r="K528" s="40"/>
      <c r="L528" s="40"/>
      <c r="M528" s="40"/>
    </row>
    <row r="529" spans="1:13">
      <c r="A529" s="40"/>
      <c r="J529" s="40"/>
      <c r="K529" s="40"/>
      <c r="L529" s="40"/>
      <c r="M529" s="40"/>
    </row>
    <row r="530" spans="1:13">
      <c r="A530" s="40"/>
      <c r="J530" s="40"/>
      <c r="K530" s="40"/>
      <c r="L530" s="40"/>
      <c r="M530" s="40"/>
    </row>
    <row r="531" spans="1:13">
      <c r="A531" s="40"/>
      <c r="J531" s="40"/>
      <c r="K531" s="40"/>
      <c r="L531" s="40"/>
      <c r="M531" s="40"/>
    </row>
    <row r="532" spans="1:13">
      <c r="A532" s="40"/>
      <c r="J532" s="40"/>
      <c r="K532" s="40"/>
      <c r="L532" s="40"/>
      <c r="M532" s="40"/>
    </row>
    <row r="533" spans="1:13">
      <c r="A533" s="40"/>
      <c r="J533" s="40"/>
      <c r="K533" s="40"/>
      <c r="L533" s="40"/>
      <c r="M533" s="40"/>
    </row>
    <row r="534" spans="1:13">
      <c r="A534" s="40"/>
      <c r="J534" s="40"/>
      <c r="K534" s="40"/>
      <c r="L534" s="40"/>
      <c r="M534" s="40"/>
    </row>
    <row r="535" spans="1:13">
      <c r="A535" s="40"/>
      <c r="J535" s="40"/>
      <c r="K535" s="40"/>
      <c r="L535" s="40"/>
      <c r="M535" s="40"/>
    </row>
    <row r="536" spans="1:13">
      <c r="A536" s="40"/>
      <c r="J536" s="40"/>
      <c r="K536" s="40"/>
      <c r="L536" s="40"/>
      <c r="M536" s="40"/>
    </row>
    <row r="537" spans="1:13">
      <c r="A537" s="40"/>
      <c r="J537" s="40"/>
      <c r="K537" s="40"/>
      <c r="L537" s="40"/>
      <c r="M537" s="40"/>
    </row>
    <row r="538" spans="1:13">
      <c r="A538" s="40"/>
      <c r="J538" s="40"/>
      <c r="K538" s="40"/>
      <c r="L538" s="40"/>
      <c r="M538" s="40"/>
    </row>
    <row r="539" spans="1:13">
      <c r="A539" s="40"/>
      <c r="J539" s="40"/>
      <c r="K539" s="40"/>
      <c r="L539" s="40"/>
      <c r="M539" s="40"/>
    </row>
    <row r="540" spans="1:13">
      <c r="A540" s="40"/>
      <c r="J540" s="40"/>
      <c r="K540" s="40"/>
      <c r="L540" s="40"/>
      <c r="M540" s="40"/>
    </row>
    <row r="541" spans="1:13">
      <c r="A541" s="40"/>
      <c r="J541" s="40"/>
      <c r="K541" s="40"/>
      <c r="L541" s="40"/>
      <c r="M541" s="40"/>
    </row>
    <row r="542" spans="1:13">
      <c r="A542" s="40"/>
      <c r="J542" s="40"/>
      <c r="K542" s="40"/>
      <c r="L542" s="40"/>
      <c r="M542" s="40"/>
    </row>
    <row r="543" spans="1:13">
      <c r="A543" s="40"/>
      <c r="J543" s="40"/>
      <c r="K543" s="40"/>
      <c r="L543" s="40"/>
      <c r="M543" s="40"/>
    </row>
    <row r="544" spans="1:13">
      <c r="A544" s="40"/>
      <c r="J544" s="40"/>
      <c r="K544" s="40"/>
      <c r="L544" s="40"/>
      <c r="M544" s="40"/>
    </row>
    <row r="545" spans="1:13">
      <c r="A545" s="40"/>
      <c r="J545" s="40"/>
      <c r="K545" s="40"/>
      <c r="L545" s="40"/>
      <c r="M545" s="40"/>
    </row>
    <row r="546" spans="1:13">
      <c r="A546" s="40"/>
      <c r="J546" s="40"/>
      <c r="K546" s="40"/>
      <c r="L546" s="40"/>
      <c r="M546" s="40"/>
    </row>
    <row r="547" spans="1:13">
      <c r="A547" s="40"/>
      <c r="J547" s="40"/>
      <c r="K547" s="40"/>
      <c r="L547" s="40"/>
      <c r="M547" s="40"/>
    </row>
    <row r="548" spans="1:13">
      <c r="A548" s="40"/>
      <c r="J548" s="40"/>
      <c r="K548" s="40"/>
      <c r="L548" s="40"/>
      <c r="M548" s="40"/>
    </row>
    <row r="549" spans="1:13">
      <c r="A549" s="40"/>
      <c r="J549" s="40"/>
      <c r="K549" s="40"/>
      <c r="L549" s="40"/>
      <c r="M549" s="40"/>
    </row>
    <row r="550" spans="1:13">
      <c r="A550" s="40"/>
      <c r="J550" s="40"/>
      <c r="K550" s="40"/>
      <c r="L550" s="40"/>
      <c r="M550" s="40"/>
    </row>
    <row r="551" spans="1:13">
      <c r="A551" s="40"/>
      <c r="J551" s="40"/>
      <c r="K551" s="40"/>
      <c r="L551" s="40"/>
      <c r="M551" s="40"/>
    </row>
    <row r="552" spans="1:13">
      <c r="A552" s="40"/>
      <c r="J552" s="40"/>
      <c r="K552" s="40"/>
      <c r="L552" s="40"/>
      <c r="M552" s="40"/>
    </row>
    <row r="553" spans="1:13">
      <c r="A553" s="40"/>
      <c r="J553" s="40"/>
      <c r="K553" s="40"/>
      <c r="L553" s="40"/>
      <c r="M553" s="40"/>
    </row>
    <row r="554" spans="1:13">
      <c r="A554" s="40"/>
      <c r="J554" s="40"/>
      <c r="K554" s="40"/>
      <c r="L554" s="40"/>
      <c r="M554" s="40"/>
    </row>
    <row r="555" spans="1:13">
      <c r="A555" s="40"/>
      <c r="J555" s="40"/>
      <c r="K555" s="40"/>
      <c r="L555" s="40"/>
      <c r="M555" s="40"/>
    </row>
    <row r="556" spans="1:13">
      <c r="A556" s="40"/>
      <c r="J556" s="40"/>
      <c r="K556" s="40"/>
      <c r="L556" s="40"/>
      <c r="M556" s="40"/>
    </row>
    <row r="557" spans="1:13">
      <c r="A557" s="40"/>
      <c r="J557" s="40"/>
      <c r="K557" s="40"/>
      <c r="L557" s="40"/>
      <c r="M557" s="40"/>
    </row>
    <row r="558" spans="1:13">
      <c r="A558" s="40"/>
      <c r="J558" s="40"/>
      <c r="K558" s="40"/>
      <c r="L558" s="40"/>
      <c r="M558" s="40"/>
    </row>
    <row r="559" spans="1:13">
      <c r="A559" s="40"/>
      <c r="J559" s="40"/>
      <c r="K559" s="40"/>
      <c r="L559" s="40"/>
      <c r="M559" s="40"/>
    </row>
    <row r="560" spans="1:13">
      <c r="A560" s="40"/>
      <c r="J560" s="40"/>
      <c r="K560" s="40"/>
      <c r="L560" s="40"/>
      <c r="M560" s="40"/>
    </row>
    <row r="561" spans="1:13">
      <c r="A561" s="40"/>
      <c r="J561" s="40"/>
      <c r="K561" s="40"/>
      <c r="L561" s="40"/>
      <c r="M561" s="40"/>
    </row>
    <row r="562" spans="1:13">
      <c r="A562" s="40"/>
      <c r="J562" s="40"/>
      <c r="K562" s="40"/>
      <c r="L562" s="40"/>
      <c r="M562" s="40"/>
    </row>
    <row r="563" spans="1:13">
      <c r="A563" s="40"/>
      <c r="J563" s="40"/>
      <c r="K563" s="40"/>
      <c r="L563" s="40"/>
      <c r="M563" s="40"/>
    </row>
    <row r="564" spans="1:13">
      <c r="A564" s="40"/>
      <c r="J564" s="40"/>
      <c r="K564" s="40"/>
      <c r="L564" s="40"/>
      <c r="M564" s="40"/>
    </row>
    <row r="565" spans="1:13">
      <c r="A565" s="40"/>
      <c r="J565" s="40"/>
      <c r="K565" s="40"/>
      <c r="L565" s="40"/>
      <c r="M565" s="40"/>
    </row>
    <row r="566" spans="1:13">
      <c r="A566" s="40"/>
      <c r="J566" s="40"/>
      <c r="K566" s="40"/>
      <c r="L566" s="40"/>
      <c r="M566" s="40"/>
    </row>
    <row r="567" spans="1:13">
      <c r="A567" s="40"/>
      <c r="J567" s="40"/>
      <c r="K567" s="40"/>
      <c r="L567" s="40"/>
      <c r="M567" s="40"/>
    </row>
    <row r="568" spans="1:13">
      <c r="A568" s="40"/>
      <c r="J568" s="40"/>
      <c r="K568" s="40"/>
      <c r="L568" s="40"/>
      <c r="M568" s="40"/>
    </row>
    <row r="569" spans="1:13">
      <c r="A569" s="40"/>
      <c r="J569" s="40"/>
      <c r="K569" s="40"/>
      <c r="L569" s="40"/>
      <c r="M569" s="40"/>
    </row>
    <row r="570" spans="1:13">
      <c r="A570" s="40"/>
      <c r="J570" s="40"/>
      <c r="K570" s="40"/>
      <c r="L570" s="40"/>
      <c r="M570" s="40"/>
    </row>
    <row r="571" spans="1:13">
      <c r="A571" s="40"/>
      <c r="J571" s="40"/>
      <c r="K571" s="40"/>
      <c r="L571" s="40"/>
      <c r="M571" s="40"/>
    </row>
    <row r="572" spans="1:13">
      <c r="A572" s="40"/>
      <c r="J572" s="40"/>
      <c r="K572" s="40"/>
      <c r="L572" s="40"/>
      <c r="M572" s="40"/>
    </row>
    <row r="573" spans="1:13">
      <c r="A573" s="40"/>
      <c r="J573" s="40"/>
      <c r="K573" s="40"/>
      <c r="L573" s="40"/>
      <c r="M573" s="40"/>
    </row>
    <row r="574" spans="1:13">
      <c r="A574" s="40"/>
      <c r="J574" s="40"/>
      <c r="K574" s="40"/>
      <c r="L574" s="40"/>
      <c r="M574" s="40"/>
    </row>
    <row r="575" spans="1:13">
      <c r="A575" s="40"/>
      <c r="J575" s="40"/>
      <c r="K575" s="40"/>
      <c r="L575" s="40"/>
      <c r="M575" s="40"/>
    </row>
    <row r="576" spans="1:13">
      <c r="A576" s="40"/>
      <c r="J576" s="40"/>
      <c r="K576" s="40"/>
      <c r="L576" s="40"/>
      <c r="M576" s="40"/>
    </row>
    <row r="577" spans="1:13">
      <c r="A577" s="40"/>
      <c r="J577" s="40"/>
      <c r="K577" s="40"/>
      <c r="L577" s="40"/>
      <c r="M577" s="40"/>
    </row>
    <row r="578" spans="1:13">
      <c r="A578" s="40"/>
      <c r="J578" s="40"/>
      <c r="K578" s="40"/>
      <c r="L578" s="40"/>
      <c r="M578" s="40"/>
    </row>
    <row r="579" spans="1:13">
      <c r="A579" s="40"/>
      <c r="J579" s="40"/>
      <c r="K579" s="40"/>
      <c r="L579" s="40"/>
      <c r="M579" s="40"/>
    </row>
    <row r="580" spans="1:13">
      <c r="A580" s="40"/>
      <c r="J580" s="40"/>
      <c r="K580" s="40"/>
      <c r="L580" s="40"/>
      <c r="M580" s="40"/>
    </row>
    <row r="581" spans="1:13">
      <c r="A581" s="40"/>
      <c r="J581" s="40"/>
      <c r="K581" s="40"/>
      <c r="L581" s="40"/>
      <c r="M581" s="40"/>
    </row>
    <row r="582" spans="1:13">
      <c r="A582" s="40"/>
      <c r="J582" s="40"/>
      <c r="K582" s="40"/>
      <c r="L582" s="40"/>
      <c r="M582" s="40"/>
    </row>
    <row r="583" spans="1:13">
      <c r="A583" s="40"/>
      <c r="J583" s="40"/>
      <c r="K583" s="40"/>
      <c r="L583" s="40"/>
      <c r="M583" s="40"/>
    </row>
    <row r="584" spans="1:13">
      <c r="A584" s="40"/>
      <c r="J584" s="40"/>
      <c r="K584" s="40"/>
      <c r="L584" s="40"/>
      <c r="M584" s="40"/>
    </row>
    <row r="585" spans="1:13">
      <c r="A585" s="40"/>
      <c r="J585" s="40"/>
      <c r="K585" s="40"/>
      <c r="L585" s="40"/>
      <c r="M585" s="40"/>
    </row>
    <row r="586" spans="1:13">
      <c r="A586" s="40"/>
      <c r="J586" s="40"/>
      <c r="K586" s="40"/>
      <c r="L586" s="40"/>
      <c r="M586" s="40"/>
    </row>
    <row r="587" spans="1:13">
      <c r="A587" s="40"/>
      <c r="J587" s="40"/>
      <c r="K587" s="40"/>
      <c r="L587" s="40"/>
      <c r="M587" s="40"/>
    </row>
    <row r="588" spans="1:13">
      <c r="A588" s="40"/>
      <c r="J588" s="40"/>
      <c r="K588" s="40"/>
      <c r="L588" s="40"/>
      <c r="M588" s="40"/>
    </row>
    <row r="589" spans="1:13">
      <c r="A589" s="40"/>
      <c r="J589" s="40"/>
      <c r="K589" s="40"/>
      <c r="L589" s="40"/>
      <c r="M589" s="40"/>
    </row>
    <row r="590" spans="1:13">
      <c r="A590" s="40"/>
      <c r="J590" s="40"/>
      <c r="K590" s="40"/>
      <c r="L590" s="40"/>
      <c r="M590" s="40"/>
    </row>
    <row r="591" spans="1:13">
      <c r="A591" s="40"/>
      <c r="J591" s="40"/>
      <c r="K591" s="40"/>
      <c r="L591" s="40"/>
      <c r="M591" s="40"/>
    </row>
    <row r="592" spans="1:13">
      <c r="A592" s="40"/>
      <c r="J592" s="40"/>
      <c r="K592" s="40"/>
      <c r="L592" s="40"/>
      <c r="M592" s="40"/>
    </row>
    <row r="593" spans="1:13">
      <c r="A593" s="40"/>
      <c r="J593" s="40"/>
      <c r="K593" s="40"/>
      <c r="L593" s="40"/>
      <c r="M593" s="40"/>
    </row>
    <row r="594" spans="1:13">
      <c r="A594" s="40"/>
      <c r="J594" s="40"/>
      <c r="K594" s="40"/>
      <c r="L594" s="40"/>
      <c r="M594" s="40"/>
    </row>
    <row r="595" spans="1:13">
      <c r="A595" s="40"/>
      <c r="J595" s="40"/>
      <c r="K595" s="40"/>
      <c r="L595" s="40"/>
      <c r="M595" s="40"/>
    </row>
    <row r="596" spans="1:13">
      <c r="A596" s="40"/>
      <c r="J596" s="40"/>
      <c r="K596" s="40"/>
      <c r="L596" s="40"/>
      <c r="M596" s="40"/>
    </row>
    <row r="597" spans="1:13">
      <c r="A597" s="40"/>
      <c r="J597" s="40"/>
      <c r="K597" s="40"/>
      <c r="L597" s="40"/>
      <c r="M597" s="40"/>
    </row>
    <row r="598" spans="1:13">
      <c r="A598" s="40"/>
      <c r="J598" s="40"/>
      <c r="K598" s="40"/>
      <c r="L598" s="40"/>
      <c r="M598" s="40"/>
    </row>
    <row r="599" spans="1:13">
      <c r="A599" s="40"/>
      <c r="J599" s="40"/>
      <c r="K599" s="40"/>
      <c r="L599" s="40"/>
      <c r="M599" s="40"/>
    </row>
    <row r="600" spans="1:13">
      <c r="A600" s="40"/>
      <c r="J600" s="40"/>
      <c r="K600" s="40"/>
      <c r="L600" s="40"/>
      <c r="M600" s="40"/>
    </row>
    <row r="601" spans="1:13">
      <c r="A601" s="40"/>
      <c r="J601" s="40"/>
      <c r="K601" s="40"/>
      <c r="L601" s="40"/>
      <c r="M601" s="40"/>
    </row>
    <row r="602" spans="1:13">
      <c r="A602" s="40"/>
      <c r="J602" s="40"/>
      <c r="K602" s="40"/>
      <c r="L602" s="40"/>
      <c r="M602" s="40"/>
    </row>
    <row r="603" spans="1:13">
      <c r="A603" s="40"/>
      <c r="J603" s="40"/>
      <c r="K603" s="40"/>
      <c r="L603" s="40"/>
      <c r="M603" s="40"/>
    </row>
    <row r="604" spans="1:13">
      <c r="A604" s="40"/>
      <c r="J604" s="40"/>
      <c r="K604" s="40"/>
      <c r="L604" s="40"/>
      <c r="M604" s="40"/>
    </row>
    <row r="605" spans="1:13">
      <c r="A605" s="40"/>
      <c r="J605" s="40"/>
      <c r="K605" s="40"/>
      <c r="L605" s="40"/>
      <c r="M605" s="40"/>
    </row>
    <row r="606" spans="1:13">
      <c r="A606" s="40"/>
      <c r="J606" s="40"/>
      <c r="K606" s="40"/>
      <c r="L606" s="40"/>
      <c r="M606" s="40"/>
    </row>
    <row r="607" spans="1:13">
      <c r="A607" s="40"/>
      <c r="J607" s="40"/>
      <c r="K607" s="40"/>
      <c r="L607" s="40"/>
      <c r="M607" s="40"/>
    </row>
    <row r="608" spans="1:13">
      <c r="A608" s="40"/>
      <c r="J608" s="40"/>
      <c r="K608" s="40"/>
      <c r="L608" s="40"/>
      <c r="M608" s="40"/>
    </row>
    <row r="609" spans="1:13">
      <c r="A609" s="40"/>
      <c r="J609" s="40"/>
      <c r="K609" s="40"/>
      <c r="L609" s="40"/>
      <c r="M609" s="40"/>
    </row>
    <row r="610" spans="1:13">
      <c r="A610" s="40"/>
      <c r="J610" s="40"/>
      <c r="K610" s="40"/>
      <c r="L610" s="40"/>
      <c r="M610" s="40"/>
    </row>
    <row r="611" spans="1:13">
      <c r="A611" s="40"/>
      <c r="J611" s="40"/>
      <c r="K611" s="40"/>
      <c r="L611" s="40"/>
      <c r="M611" s="40"/>
    </row>
    <row r="612" spans="1:13">
      <c r="A612" s="40"/>
      <c r="J612" s="40"/>
      <c r="K612" s="40"/>
      <c r="L612" s="40"/>
      <c r="M612" s="40"/>
    </row>
    <row r="613" spans="1:13">
      <c r="A613" s="40"/>
      <c r="J613" s="40"/>
      <c r="K613" s="40"/>
      <c r="L613" s="40"/>
      <c r="M613" s="40"/>
    </row>
    <row r="614" spans="1:13">
      <c r="A614" s="40"/>
      <c r="J614" s="40"/>
      <c r="K614" s="40"/>
      <c r="L614" s="40"/>
      <c r="M614" s="40"/>
    </row>
    <row r="615" spans="1:13">
      <c r="A615" s="40"/>
      <c r="J615" s="40"/>
      <c r="K615" s="40"/>
      <c r="L615" s="40"/>
      <c r="M615" s="40"/>
    </row>
    <row r="616" spans="1:13">
      <c r="A616" s="40"/>
      <c r="J616" s="40"/>
      <c r="K616" s="40"/>
      <c r="L616" s="40"/>
      <c r="M616" s="40"/>
    </row>
    <row r="617" spans="1:13">
      <c r="A617" s="40"/>
      <c r="J617" s="40"/>
      <c r="K617" s="40"/>
      <c r="L617" s="40"/>
      <c r="M617" s="40"/>
    </row>
    <row r="618" spans="1:13">
      <c r="A618" s="40"/>
      <c r="J618" s="40"/>
      <c r="K618" s="40"/>
      <c r="L618" s="40"/>
      <c r="M618" s="40"/>
    </row>
    <row r="619" spans="1:13">
      <c r="A619" s="40"/>
      <c r="J619" s="40"/>
      <c r="K619" s="40"/>
      <c r="L619" s="40"/>
      <c r="M619" s="40"/>
    </row>
    <row r="620" spans="1:13">
      <c r="A620" s="40"/>
      <c r="J620" s="40"/>
      <c r="K620" s="40"/>
      <c r="L620" s="40"/>
      <c r="M620" s="40"/>
    </row>
    <row r="621" spans="1:13">
      <c r="A621" s="40"/>
      <c r="J621" s="40"/>
      <c r="K621" s="40"/>
      <c r="L621" s="40"/>
      <c r="M621" s="40"/>
    </row>
    <row r="622" spans="1:13">
      <c r="A622" s="40"/>
      <c r="J622" s="40"/>
      <c r="K622" s="40"/>
      <c r="L622" s="40"/>
      <c r="M622" s="40"/>
    </row>
    <row r="623" spans="1:13">
      <c r="A623" s="40"/>
      <c r="J623" s="40"/>
      <c r="K623" s="40"/>
      <c r="L623" s="40"/>
      <c r="M623" s="40"/>
    </row>
    <row r="624" spans="1:13">
      <c r="A624" s="40"/>
      <c r="J624" s="40"/>
      <c r="K624" s="40"/>
      <c r="L624" s="40"/>
      <c r="M624" s="40"/>
    </row>
    <row r="625" spans="1:13">
      <c r="A625" s="40"/>
      <c r="J625" s="40"/>
      <c r="K625" s="40"/>
      <c r="L625" s="40"/>
      <c r="M625" s="40"/>
    </row>
    <row r="626" spans="1:13">
      <c r="A626" s="40"/>
      <c r="J626" s="40"/>
      <c r="K626" s="40"/>
      <c r="L626" s="40"/>
      <c r="M626" s="40"/>
    </row>
    <row r="627" spans="1:13">
      <c r="A627" s="40"/>
      <c r="J627" s="40"/>
      <c r="K627" s="40"/>
      <c r="L627" s="40"/>
      <c r="M627" s="40"/>
    </row>
    <row r="628" spans="1:13">
      <c r="A628" s="40"/>
      <c r="J628" s="40"/>
      <c r="K628" s="40"/>
      <c r="L628" s="40"/>
      <c r="M628" s="40"/>
    </row>
    <row r="629" spans="1:13">
      <c r="A629" s="40"/>
      <c r="J629" s="40"/>
      <c r="K629" s="40"/>
      <c r="L629" s="40"/>
      <c r="M629" s="40"/>
    </row>
    <row r="630" spans="1:13">
      <c r="A630" s="40"/>
      <c r="J630" s="40"/>
      <c r="K630" s="40"/>
      <c r="L630" s="40"/>
      <c r="M630" s="40"/>
    </row>
    <row r="631" spans="1:13">
      <c r="A631" s="40"/>
      <c r="J631" s="40"/>
      <c r="K631" s="40"/>
      <c r="L631" s="40"/>
      <c r="M631" s="40"/>
    </row>
    <row r="632" spans="1:13">
      <c r="A632" s="40"/>
      <c r="J632" s="40"/>
      <c r="K632" s="40"/>
      <c r="L632" s="40"/>
      <c r="M632" s="40"/>
    </row>
    <row r="633" spans="1:13">
      <c r="A633" s="40"/>
      <c r="J633" s="40"/>
      <c r="K633" s="40"/>
      <c r="L633" s="40"/>
      <c r="M633" s="40"/>
    </row>
    <row r="634" spans="1:13">
      <c r="A634" s="40"/>
      <c r="J634" s="40"/>
      <c r="K634" s="40"/>
      <c r="L634" s="40"/>
      <c r="M634" s="40"/>
    </row>
    <row r="635" spans="1:13">
      <c r="A635" s="40"/>
      <c r="J635" s="40"/>
      <c r="K635" s="40"/>
      <c r="L635" s="40"/>
      <c r="M635" s="40"/>
    </row>
    <row r="636" spans="1:13">
      <c r="A636" s="40"/>
      <c r="J636" s="40"/>
      <c r="K636" s="40"/>
      <c r="L636" s="40"/>
      <c r="M636" s="40"/>
    </row>
    <row r="637" spans="1:13">
      <c r="A637" s="40"/>
      <c r="J637" s="40"/>
      <c r="K637" s="40"/>
      <c r="L637" s="40"/>
      <c r="M637" s="40"/>
    </row>
    <row r="638" spans="1:13">
      <c r="A638" s="40"/>
      <c r="J638" s="40"/>
      <c r="K638" s="40"/>
      <c r="L638" s="40"/>
      <c r="M638" s="40"/>
    </row>
    <row r="639" spans="1:13">
      <c r="A639" s="40"/>
      <c r="J639" s="40"/>
      <c r="K639" s="40"/>
      <c r="L639" s="40"/>
      <c r="M639" s="40"/>
    </row>
    <row r="640" spans="1:13">
      <c r="A640" s="40"/>
      <c r="J640" s="40"/>
      <c r="K640" s="40"/>
      <c r="L640" s="40"/>
      <c r="M640" s="40"/>
    </row>
    <row r="641" spans="1:13">
      <c r="A641" s="40"/>
      <c r="J641" s="40"/>
      <c r="K641" s="40"/>
      <c r="L641" s="40"/>
      <c r="M641" s="40"/>
    </row>
    <row r="642" spans="1:13">
      <c r="A642" s="40"/>
      <c r="J642" s="40"/>
      <c r="K642" s="40"/>
      <c r="L642" s="40"/>
      <c r="M642" s="40"/>
    </row>
    <row r="643" spans="1:13">
      <c r="A643" s="40"/>
      <c r="J643" s="40"/>
      <c r="K643" s="40"/>
      <c r="L643" s="40"/>
      <c r="M643" s="40"/>
    </row>
    <row r="644" spans="1:13">
      <c r="A644" s="40"/>
      <c r="J644" s="40"/>
      <c r="K644" s="40"/>
      <c r="L644" s="40"/>
      <c r="M644" s="40"/>
    </row>
    <row r="645" spans="1:13">
      <c r="A645" s="40"/>
      <c r="J645" s="40"/>
      <c r="K645" s="40"/>
      <c r="L645" s="40"/>
      <c r="M645" s="40"/>
    </row>
    <row r="646" spans="1:13">
      <c r="A646" s="40"/>
      <c r="J646" s="40"/>
      <c r="K646" s="40"/>
      <c r="L646" s="40"/>
      <c r="M646" s="40"/>
    </row>
    <row r="647" spans="1:13">
      <c r="A647" s="40"/>
      <c r="J647" s="40"/>
      <c r="K647" s="40"/>
      <c r="L647" s="40"/>
      <c r="M647" s="40"/>
    </row>
    <row r="648" spans="1:13">
      <c r="A648" s="40"/>
      <c r="J648" s="40"/>
      <c r="K648" s="40"/>
      <c r="L648" s="40"/>
      <c r="M648" s="40"/>
    </row>
    <row r="649" spans="1:13">
      <c r="A649" s="40"/>
      <c r="J649" s="40"/>
      <c r="K649" s="40"/>
      <c r="L649" s="40"/>
      <c r="M649" s="40"/>
    </row>
    <row r="650" spans="1:13">
      <c r="A650" s="40"/>
      <c r="J650" s="40"/>
      <c r="K650" s="40"/>
      <c r="L650" s="40"/>
      <c r="M650" s="40"/>
    </row>
    <row r="651" spans="1:13">
      <c r="A651" s="40"/>
      <c r="J651" s="40"/>
      <c r="K651" s="40"/>
      <c r="L651" s="40"/>
      <c r="M651" s="40"/>
    </row>
    <row r="652" spans="1:13">
      <c r="A652" s="40"/>
      <c r="J652" s="40"/>
      <c r="K652" s="40"/>
      <c r="L652" s="40"/>
      <c r="M652" s="40"/>
    </row>
    <row r="653" spans="1:13">
      <c r="A653" s="40"/>
      <c r="J653" s="40"/>
      <c r="K653" s="40"/>
      <c r="L653" s="40"/>
      <c r="M653" s="40"/>
    </row>
    <row r="654" spans="1:13">
      <c r="A654" s="40"/>
      <c r="J654" s="40"/>
      <c r="K654" s="40"/>
      <c r="L654" s="40"/>
      <c r="M654" s="40"/>
    </row>
    <row r="655" spans="1:13">
      <c r="A655" s="40"/>
      <c r="J655" s="40"/>
      <c r="K655" s="40"/>
      <c r="L655" s="40"/>
      <c r="M655" s="40"/>
    </row>
    <row r="656" spans="1:13">
      <c r="A656" s="40"/>
      <c r="J656" s="40"/>
      <c r="K656" s="40"/>
      <c r="L656" s="40"/>
      <c r="M656" s="40"/>
    </row>
    <row r="657" spans="1:13">
      <c r="A657" s="40"/>
      <c r="J657" s="40"/>
      <c r="K657" s="40"/>
      <c r="L657" s="40"/>
      <c r="M657" s="40"/>
    </row>
    <row r="658" spans="1:13">
      <c r="A658" s="40"/>
      <c r="J658" s="40"/>
      <c r="K658" s="40"/>
      <c r="L658" s="40"/>
      <c r="M658" s="40"/>
    </row>
    <row r="659" spans="1:13">
      <c r="A659" s="40"/>
      <c r="J659" s="40"/>
      <c r="K659" s="40"/>
      <c r="L659" s="40"/>
      <c r="M659" s="40"/>
    </row>
    <row r="660" spans="1:13">
      <c r="A660" s="40"/>
      <c r="J660" s="40"/>
      <c r="K660" s="40"/>
      <c r="L660" s="40"/>
      <c r="M660" s="40"/>
    </row>
    <row r="661" spans="1:13">
      <c r="A661" s="40"/>
      <c r="J661" s="40"/>
      <c r="K661" s="40"/>
      <c r="L661" s="40"/>
      <c r="M661" s="40"/>
    </row>
    <row r="662" spans="1:13">
      <c r="A662" s="40"/>
      <c r="J662" s="40"/>
      <c r="K662" s="40"/>
      <c r="L662" s="40"/>
      <c r="M662" s="40"/>
    </row>
    <row r="663" spans="1:13">
      <c r="A663" s="40"/>
      <c r="J663" s="40"/>
      <c r="K663" s="40"/>
      <c r="L663" s="40"/>
      <c r="M663" s="40"/>
    </row>
    <row r="664" spans="1:13">
      <c r="A664" s="40"/>
      <c r="J664" s="40"/>
      <c r="K664" s="40"/>
      <c r="L664" s="40"/>
      <c r="M664" s="40"/>
    </row>
    <row r="665" spans="1:13">
      <c r="A665" s="40"/>
      <c r="J665" s="40"/>
      <c r="K665" s="40"/>
      <c r="L665" s="40"/>
      <c r="M665" s="40"/>
    </row>
    <row r="666" spans="1:13">
      <c r="A666" s="40"/>
      <c r="J666" s="40"/>
      <c r="K666" s="40"/>
      <c r="L666" s="40"/>
      <c r="M666" s="40"/>
    </row>
    <row r="667" spans="1:13">
      <c r="A667" s="40"/>
      <c r="J667" s="40"/>
      <c r="K667" s="40"/>
      <c r="L667" s="40"/>
      <c r="M667" s="40"/>
    </row>
    <row r="668" spans="1:13">
      <c r="A668" s="40"/>
      <c r="J668" s="40"/>
      <c r="K668" s="40"/>
      <c r="L668" s="40"/>
      <c r="M668" s="40"/>
    </row>
    <row r="669" spans="1:13">
      <c r="A669" s="40"/>
      <c r="J669" s="40"/>
      <c r="K669" s="40"/>
      <c r="L669" s="40"/>
      <c r="M669" s="40"/>
    </row>
    <row r="670" spans="1:13">
      <c r="A670" s="40"/>
      <c r="J670" s="40"/>
      <c r="K670" s="40"/>
      <c r="L670" s="40"/>
      <c r="M670" s="40"/>
    </row>
    <row r="671" spans="1:13">
      <c r="A671" s="40"/>
      <c r="J671" s="40"/>
      <c r="K671" s="40"/>
      <c r="L671" s="40"/>
      <c r="M671" s="40"/>
    </row>
    <row r="672" spans="1:13">
      <c r="A672" s="40"/>
      <c r="J672" s="40"/>
      <c r="K672" s="40"/>
      <c r="L672" s="40"/>
      <c r="M672" s="40"/>
    </row>
    <row r="673" spans="1:13">
      <c r="A673" s="40"/>
      <c r="J673" s="40"/>
      <c r="K673" s="40"/>
      <c r="L673" s="40"/>
      <c r="M673" s="40"/>
    </row>
    <row r="674" spans="1:13">
      <c r="A674" s="40"/>
      <c r="J674" s="40"/>
      <c r="K674" s="40"/>
      <c r="L674" s="40"/>
      <c r="M674" s="40"/>
    </row>
    <row r="675" spans="1:13">
      <c r="A675" s="40"/>
      <c r="J675" s="40"/>
      <c r="K675" s="40"/>
      <c r="L675" s="40"/>
      <c r="M675" s="40"/>
    </row>
    <row r="676" spans="1:13">
      <c r="A676" s="40"/>
      <c r="J676" s="40"/>
      <c r="K676" s="40"/>
      <c r="L676" s="40"/>
      <c r="M676" s="40"/>
    </row>
    <row r="677" spans="1:13">
      <c r="A677" s="40"/>
      <c r="J677" s="40"/>
      <c r="K677" s="40"/>
      <c r="L677" s="40"/>
      <c r="M677" s="40"/>
    </row>
    <row r="678" spans="1:13">
      <c r="A678" s="40"/>
      <c r="J678" s="40"/>
      <c r="K678" s="40"/>
      <c r="L678" s="40"/>
      <c r="M678" s="40"/>
    </row>
    <row r="679" spans="1:13">
      <c r="A679" s="40"/>
      <c r="J679" s="40"/>
      <c r="K679" s="40"/>
      <c r="L679" s="40"/>
      <c r="M679" s="40"/>
    </row>
    <row r="680" spans="1:13">
      <c r="A680" s="40"/>
      <c r="J680" s="40"/>
      <c r="K680" s="40"/>
      <c r="L680" s="40"/>
      <c r="M680" s="40"/>
    </row>
    <row r="681" spans="1:13">
      <c r="A681" s="40"/>
      <c r="J681" s="40"/>
      <c r="K681" s="40"/>
      <c r="L681" s="40"/>
      <c r="M681" s="40"/>
    </row>
    <row r="682" spans="1:13">
      <c r="A682" s="40"/>
      <c r="J682" s="40"/>
      <c r="K682" s="40"/>
      <c r="L682" s="40"/>
      <c r="M682" s="40"/>
    </row>
    <row r="683" spans="1:13">
      <c r="A683" s="40"/>
      <c r="J683" s="40"/>
      <c r="K683" s="40"/>
      <c r="L683" s="40"/>
      <c r="M683" s="40"/>
    </row>
    <row r="684" spans="1:13">
      <c r="A684" s="40"/>
      <c r="J684" s="40"/>
      <c r="K684" s="40"/>
      <c r="L684" s="40"/>
      <c r="M684" s="40"/>
    </row>
    <row r="685" spans="1:13">
      <c r="A685" s="40"/>
      <c r="J685" s="40"/>
      <c r="K685" s="40"/>
      <c r="L685" s="40"/>
      <c r="M685" s="40"/>
    </row>
    <row r="686" spans="1:13">
      <c r="A686" s="40"/>
      <c r="J686" s="40"/>
      <c r="K686" s="40"/>
      <c r="L686" s="40"/>
      <c r="M686" s="40"/>
    </row>
    <row r="687" spans="1:13">
      <c r="A687" s="40"/>
      <c r="J687" s="40"/>
      <c r="K687" s="40"/>
      <c r="L687" s="40"/>
      <c r="M687" s="40"/>
    </row>
    <row r="688" spans="1:13">
      <c r="A688" s="40"/>
      <c r="J688" s="40"/>
      <c r="K688" s="40"/>
      <c r="L688" s="40"/>
      <c r="M688" s="40"/>
    </row>
    <row r="689" spans="1:13">
      <c r="A689" s="40"/>
      <c r="J689" s="40"/>
      <c r="K689" s="40"/>
      <c r="L689" s="40"/>
      <c r="M689" s="40"/>
    </row>
    <row r="690" spans="1:13">
      <c r="A690" s="40"/>
      <c r="J690" s="40"/>
      <c r="K690" s="40"/>
      <c r="L690" s="40"/>
      <c r="M690" s="40"/>
    </row>
    <row r="691" spans="1:13">
      <c r="A691" s="40"/>
      <c r="J691" s="40"/>
      <c r="K691" s="40"/>
      <c r="L691" s="40"/>
      <c r="M691" s="40"/>
    </row>
    <row r="692" spans="1:13">
      <c r="A692" s="40"/>
      <c r="J692" s="40"/>
      <c r="K692" s="40"/>
      <c r="L692" s="40"/>
      <c r="M692" s="40"/>
    </row>
    <row r="693" spans="1:13">
      <c r="A693" s="40"/>
      <c r="J693" s="40"/>
      <c r="K693" s="40"/>
      <c r="L693" s="40"/>
      <c r="M693" s="40"/>
    </row>
    <row r="694" spans="1:13">
      <c r="A694" s="40"/>
      <c r="J694" s="40"/>
      <c r="K694" s="40"/>
      <c r="L694" s="40"/>
      <c r="M694" s="40"/>
    </row>
    <row r="695" spans="1:13">
      <c r="A695" s="40"/>
      <c r="J695" s="40"/>
      <c r="K695" s="40"/>
      <c r="L695" s="40"/>
      <c r="M695" s="40"/>
    </row>
    <row r="696" spans="1:13">
      <c r="A696" s="40"/>
      <c r="J696" s="40"/>
      <c r="K696" s="40"/>
      <c r="L696" s="40"/>
      <c r="M696" s="40"/>
    </row>
    <row r="697" spans="1:13">
      <c r="A697" s="40"/>
      <c r="J697" s="40"/>
      <c r="K697" s="40"/>
      <c r="L697" s="40"/>
      <c r="M697" s="40"/>
    </row>
    <row r="698" spans="1:13">
      <c r="A698" s="40"/>
      <c r="J698" s="40"/>
      <c r="K698" s="40"/>
      <c r="L698" s="40"/>
      <c r="M698" s="40"/>
    </row>
    <row r="699" spans="1:13">
      <c r="A699" s="40"/>
      <c r="J699" s="40"/>
      <c r="K699" s="40"/>
      <c r="L699" s="40"/>
      <c r="M699" s="40"/>
    </row>
    <row r="700" spans="1:13">
      <c r="A700" s="40"/>
      <c r="J700" s="40"/>
      <c r="K700" s="40"/>
      <c r="L700" s="40"/>
      <c r="M700" s="40"/>
    </row>
    <row r="701" spans="1:13">
      <c r="A701" s="40"/>
      <c r="J701" s="40"/>
      <c r="K701" s="40"/>
      <c r="L701" s="40"/>
      <c r="M701" s="40"/>
    </row>
    <row r="702" spans="1:13">
      <c r="A702" s="40"/>
      <c r="J702" s="40"/>
      <c r="K702" s="40"/>
      <c r="L702" s="40"/>
      <c r="M702" s="40"/>
    </row>
    <row r="703" spans="1:13">
      <c r="A703" s="40"/>
      <c r="J703" s="40"/>
      <c r="K703" s="40"/>
      <c r="L703" s="40"/>
      <c r="M703" s="40"/>
    </row>
    <row r="704" spans="1:13">
      <c r="A704" s="40"/>
      <c r="J704" s="40"/>
      <c r="K704" s="40"/>
      <c r="L704" s="40"/>
      <c r="M704" s="40"/>
    </row>
    <row r="705" spans="1:13">
      <c r="A705" s="40"/>
      <c r="J705" s="40"/>
      <c r="K705" s="40"/>
      <c r="L705" s="40"/>
      <c r="M705" s="40"/>
    </row>
    <row r="706" spans="1:13">
      <c r="A706" s="40"/>
      <c r="J706" s="40"/>
      <c r="K706" s="40"/>
      <c r="L706" s="40"/>
      <c r="M706" s="40"/>
    </row>
    <row r="707" spans="1:13">
      <c r="A707" s="40"/>
      <c r="J707" s="40"/>
      <c r="K707" s="40"/>
      <c r="L707" s="40"/>
      <c r="M707" s="40"/>
    </row>
    <row r="708" spans="1:13">
      <c r="A708" s="40"/>
      <c r="J708" s="40"/>
      <c r="K708" s="40"/>
      <c r="L708" s="40"/>
      <c r="M708" s="40"/>
    </row>
    <row r="709" spans="1:13">
      <c r="A709" s="40"/>
      <c r="J709" s="40"/>
      <c r="K709" s="40"/>
      <c r="L709" s="40"/>
      <c r="M709" s="40"/>
    </row>
    <row r="710" spans="1:13">
      <c r="A710" s="40"/>
      <c r="J710" s="40"/>
      <c r="K710" s="40"/>
      <c r="L710" s="40"/>
      <c r="M710" s="40"/>
    </row>
    <row r="711" spans="1:13">
      <c r="A711" s="40"/>
      <c r="J711" s="40"/>
      <c r="K711" s="40"/>
      <c r="L711" s="40"/>
      <c r="M711" s="40"/>
    </row>
    <row r="712" spans="1:13">
      <c r="A712" s="40"/>
      <c r="J712" s="40"/>
      <c r="K712" s="40"/>
      <c r="L712" s="40"/>
      <c r="M712" s="40"/>
    </row>
    <row r="713" spans="1:13">
      <c r="A713" s="40"/>
      <c r="J713" s="40"/>
      <c r="K713" s="40"/>
      <c r="L713" s="40"/>
      <c r="M713" s="40"/>
    </row>
    <row r="714" spans="1:13">
      <c r="A714" s="40"/>
      <c r="J714" s="40"/>
      <c r="K714" s="40"/>
      <c r="L714" s="40"/>
      <c r="M714" s="40"/>
    </row>
    <row r="715" spans="1:13">
      <c r="A715" s="40"/>
      <c r="J715" s="40"/>
      <c r="K715" s="40"/>
      <c r="L715" s="40"/>
      <c r="M715" s="40"/>
    </row>
    <row r="716" spans="1:13">
      <c r="A716" s="40"/>
      <c r="J716" s="40"/>
      <c r="K716" s="40"/>
      <c r="L716" s="40"/>
      <c r="M716" s="40"/>
    </row>
    <row r="717" spans="1:13">
      <c r="A717" s="40"/>
      <c r="J717" s="40"/>
      <c r="K717" s="40"/>
      <c r="L717" s="40"/>
      <c r="M717" s="40"/>
    </row>
    <row r="718" spans="1:13">
      <c r="A718" s="40"/>
      <c r="J718" s="40"/>
      <c r="K718" s="40"/>
      <c r="L718" s="40"/>
      <c r="M718" s="40"/>
    </row>
    <row r="719" spans="1:13">
      <c r="A719" s="40"/>
      <c r="J719" s="40"/>
      <c r="K719" s="40"/>
      <c r="L719" s="40"/>
      <c r="M719" s="40"/>
    </row>
    <row r="720" spans="1:13">
      <c r="A720" s="40"/>
      <c r="J720" s="40"/>
      <c r="K720" s="40"/>
      <c r="L720" s="40"/>
      <c r="M720" s="40"/>
    </row>
    <row r="721" spans="1:13">
      <c r="A721" s="40"/>
      <c r="J721" s="40"/>
      <c r="K721" s="40"/>
      <c r="L721" s="40"/>
      <c r="M721" s="40"/>
    </row>
    <row r="722" spans="1:13">
      <c r="A722" s="40"/>
      <c r="J722" s="40"/>
      <c r="K722" s="40"/>
      <c r="L722" s="40"/>
      <c r="M722" s="40"/>
    </row>
    <row r="723" spans="1:13">
      <c r="A723" s="40"/>
      <c r="J723" s="40"/>
      <c r="K723" s="40"/>
      <c r="L723" s="40"/>
      <c r="M723" s="40"/>
    </row>
    <row r="724" spans="1:13">
      <c r="A724" s="40"/>
      <c r="J724" s="40"/>
      <c r="K724" s="40"/>
      <c r="L724" s="40"/>
      <c r="M724" s="40"/>
    </row>
    <row r="725" spans="1:13">
      <c r="A725" s="40"/>
      <c r="J725" s="40"/>
      <c r="K725" s="40"/>
      <c r="L725" s="40"/>
      <c r="M725" s="40"/>
    </row>
    <row r="726" spans="1:13">
      <c r="A726" s="40"/>
      <c r="J726" s="40"/>
      <c r="K726" s="40"/>
      <c r="L726" s="40"/>
      <c r="M726" s="40"/>
    </row>
    <row r="727" spans="1:13">
      <c r="A727" s="40"/>
      <c r="J727" s="40"/>
      <c r="K727" s="40"/>
      <c r="L727" s="40"/>
      <c r="M727" s="40"/>
    </row>
    <row r="728" spans="1:13">
      <c r="A728" s="40"/>
      <c r="J728" s="40"/>
      <c r="K728" s="40"/>
      <c r="L728" s="40"/>
      <c r="M728" s="40"/>
    </row>
    <row r="729" spans="1:13">
      <c r="A729" s="40"/>
      <c r="J729" s="40"/>
      <c r="K729" s="40"/>
      <c r="L729" s="40"/>
      <c r="M729" s="40"/>
    </row>
    <row r="730" spans="1:13">
      <c r="A730" s="40"/>
      <c r="J730" s="40"/>
      <c r="K730" s="40"/>
      <c r="L730" s="40"/>
      <c r="M730" s="40"/>
    </row>
    <row r="731" spans="1:13">
      <c r="A731" s="40"/>
      <c r="J731" s="40"/>
      <c r="K731" s="40"/>
      <c r="L731" s="40"/>
      <c r="M731" s="40"/>
    </row>
    <row r="732" spans="1:13">
      <c r="A732" s="40"/>
      <c r="J732" s="40"/>
      <c r="K732" s="40"/>
      <c r="L732" s="40"/>
      <c r="M732" s="40"/>
    </row>
    <row r="733" spans="1:13">
      <c r="A733" s="40"/>
      <c r="J733" s="40"/>
      <c r="K733" s="40"/>
      <c r="L733" s="40"/>
      <c r="M733" s="40"/>
    </row>
    <row r="734" spans="1:13">
      <c r="A734" s="40"/>
      <c r="J734" s="40"/>
      <c r="K734" s="40"/>
      <c r="L734" s="40"/>
      <c r="M734" s="40"/>
    </row>
    <row r="735" spans="1:13">
      <c r="A735" s="40"/>
      <c r="J735" s="40"/>
      <c r="K735" s="40"/>
      <c r="L735" s="40"/>
      <c r="M735" s="40"/>
    </row>
    <row r="736" spans="1:13">
      <c r="A736" s="40"/>
      <c r="J736" s="40"/>
      <c r="K736" s="40"/>
      <c r="L736" s="40"/>
      <c r="M736" s="40"/>
    </row>
    <row r="737" spans="1:13">
      <c r="A737" s="40"/>
      <c r="J737" s="40"/>
      <c r="K737" s="40"/>
      <c r="L737" s="40"/>
      <c r="M737" s="40"/>
    </row>
    <row r="738" spans="1:13">
      <c r="A738" s="40"/>
      <c r="J738" s="40"/>
      <c r="K738" s="40"/>
      <c r="L738" s="40"/>
      <c r="M738" s="40"/>
    </row>
    <row r="739" spans="1:13">
      <c r="A739" s="40"/>
      <c r="J739" s="40"/>
      <c r="K739" s="40"/>
      <c r="L739" s="40"/>
      <c r="M739" s="40"/>
    </row>
    <row r="740" spans="1:13">
      <c r="A740" s="40"/>
      <c r="J740" s="40"/>
      <c r="K740" s="40"/>
      <c r="L740" s="40"/>
      <c r="M740" s="40"/>
    </row>
    <row r="741" spans="1:13">
      <c r="A741" s="40"/>
      <c r="J741" s="40"/>
      <c r="K741" s="40"/>
      <c r="L741" s="40"/>
      <c r="M741" s="40"/>
    </row>
    <row r="742" spans="1:13">
      <c r="A742" s="40"/>
      <c r="J742" s="40"/>
      <c r="K742" s="40"/>
      <c r="L742" s="40"/>
      <c r="M742" s="40"/>
    </row>
    <row r="743" spans="1:13">
      <c r="A743" s="40"/>
      <c r="J743" s="40"/>
      <c r="K743" s="40"/>
      <c r="L743" s="40"/>
      <c r="M743" s="40"/>
    </row>
    <row r="744" spans="1:13">
      <c r="A744" s="40"/>
      <c r="J744" s="40"/>
      <c r="K744" s="40"/>
      <c r="L744" s="40"/>
      <c r="M744" s="40"/>
    </row>
    <row r="745" spans="1:13">
      <c r="A745" s="40"/>
      <c r="J745" s="40"/>
      <c r="K745" s="40"/>
      <c r="L745" s="40"/>
      <c r="M745" s="40"/>
    </row>
    <row r="746" spans="1:13">
      <c r="A746" s="40"/>
      <c r="J746" s="40"/>
      <c r="K746" s="40"/>
      <c r="L746" s="40"/>
      <c r="M746" s="40"/>
    </row>
    <row r="747" spans="1:13">
      <c r="A747" s="40"/>
      <c r="J747" s="40"/>
      <c r="K747" s="40"/>
      <c r="L747" s="40"/>
      <c r="M747" s="40"/>
    </row>
    <row r="748" spans="1:13">
      <c r="A748" s="40"/>
      <c r="J748" s="40"/>
      <c r="K748" s="40"/>
      <c r="L748" s="40"/>
      <c r="M748" s="40"/>
    </row>
    <row r="749" spans="1:13">
      <c r="A749" s="40"/>
      <c r="J749" s="40"/>
      <c r="K749" s="40"/>
      <c r="L749" s="40"/>
      <c r="M749" s="40"/>
    </row>
    <row r="750" spans="1:13">
      <c r="A750" s="40"/>
      <c r="J750" s="40"/>
      <c r="K750" s="40"/>
      <c r="L750" s="40"/>
      <c r="M750" s="40"/>
    </row>
    <row r="751" spans="1:13">
      <c r="A751" s="40"/>
      <c r="J751" s="40"/>
      <c r="K751" s="40"/>
      <c r="L751" s="40"/>
      <c r="M751" s="40"/>
    </row>
    <row r="752" spans="1:13">
      <c r="A752" s="40"/>
      <c r="J752" s="40"/>
      <c r="K752" s="40"/>
      <c r="L752" s="40"/>
      <c r="M752" s="40"/>
    </row>
    <row r="753" spans="1:13">
      <c r="A753" s="40"/>
      <c r="J753" s="40"/>
      <c r="K753" s="40"/>
      <c r="L753" s="40"/>
      <c r="M753" s="40"/>
    </row>
    <row r="754" spans="1:13">
      <c r="A754" s="40"/>
      <c r="J754" s="40"/>
      <c r="K754" s="40"/>
      <c r="L754" s="40"/>
      <c r="M754" s="40"/>
    </row>
    <row r="755" spans="1:13">
      <c r="A755" s="40"/>
      <c r="J755" s="40"/>
      <c r="K755" s="40"/>
      <c r="L755" s="40"/>
      <c r="M755" s="40"/>
    </row>
    <row r="756" spans="1:13">
      <c r="A756" s="40"/>
      <c r="J756" s="40"/>
      <c r="K756" s="40"/>
      <c r="L756" s="40"/>
      <c r="M756" s="40"/>
    </row>
    <row r="757" spans="1:13">
      <c r="A757" s="40"/>
      <c r="J757" s="40"/>
      <c r="K757" s="40"/>
      <c r="L757" s="40"/>
      <c r="M757" s="40"/>
    </row>
    <row r="758" spans="1:13">
      <c r="A758" s="40"/>
      <c r="J758" s="40"/>
      <c r="K758" s="40"/>
      <c r="L758" s="40"/>
      <c r="M758" s="40"/>
    </row>
    <row r="759" spans="1:13">
      <c r="A759" s="40"/>
      <c r="J759" s="40"/>
      <c r="K759" s="40"/>
      <c r="L759" s="40"/>
      <c r="M759" s="40"/>
    </row>
    <row r="760" spans="1:13">
      <c r="A760" s="40"/>
      <c r="J760" s="40"/>
      <c r="K760" s="40"/>
      <c r="L760" s="40"/>
      <c r="M760" s="40"/>
    </row>
    <row r="761" spans="1:13">
      <c r="A761" s="40"/>
      <c r="J761" s="40"/>
      <c r="K761" s="40"/>
      <c r="L761" s="40"/>
      <c r="M761" s="40"/>
    </row>
    <row r="762" spans="1:13">
      <c r="A762" s="40"/>
      <c r="J762" s="40"/>
      <c r="K762" s="40"/>
      <c r="L762" s="40"/>
      <c r="M762" s="40"/>
    </row>
    <row r="763" spans="1:13">
      <c r="A763" s="40"/>
      <c r="J763" s="40"/>
      <c r="K763" s="40"/>
      <c r="L763" s="40"/>
      <c r="M763" s="40"/>
    </row>
    <row r="764" spans="1:13">
      <c r="A764" s="40"/>
      <c r="J764" s="40"/>
      <c r="K764" s="40"/>
      <c r="L764" s="40"/>
      <c r="M764" s="40"/>
    </row>
    <row r="765" spans="1:13">
      <c r="A765" s="40"/>
      <c r="J765" s="40"/>
      <c r="K765" s="40"/>
      <c r="L765" s="40"/>
      <c r="M765" s="40"/>
    </row>
    <row r="766" spans="1:13">
      <c r="A766" s="40"/>
      <c r="J766" s="40"/>
      <c r="K766" s="40"/>
      <c r="L766" s="40"/>
      <c r="M766" s="40"/>
    </row>
    <row r="767" spans="1:13">
      <c r="A767" s="40"/>
      <c r="J767" s="40"/>
      <c r="K767" s="40"/>
      <c r="L767" s="40"/>
      <c r="M767" s="40"/>
    </row>
    <row r="768" spans="1:13">
      <c r="A768" s="40"/>
      <c r="J768" s="40"/>
      <c r="K768" s="40"/>
      <c r="L768" s="40"/>
      <c r="M768" s="40"/>
    </row>
    <row r="769" spans="1:13">
      <c r="A769" s="40"/>
      <c r="J769" s="40"/>
      <c r="K769" s="40"/>
      <c r="L769" s="40"/>
      <c r="M769" s="40"/>
    </row>
    <row r="770" spans="1:13">
      <c r="A770" s="40"/>
      <c r="J770" s="40"/>
      <c r="K770" s="40"/>
      <c r="L770" s="40"/>
      <c r="M770" s="40"/>
    </row>
    <row r="771" spans="1:13">
      <c r="A771" s="40"/>
      <c r="J771" s="40"/>
      <c r="K771" s="40"/>
      <c r="L771" s="40"/>
      <c r="M771" s="40"/>
    </row>
    <row r="772" spans="1:13">
      <c r="A772" s="40"/>
      <c r="J772" s="40"/>
      <c r="K772" s="40"/>
      <c r="L772" s="40"/>
      <c r="M772" s="40"/>
    </row>
    <row r="773" spans="1:13">
      <c r="A773" s="40"/>
      <c r="J773" s="40"/>
      <c r="K773" s="40"/>
      <c r="L773" s="40"/>
      <c r="M773" s="40"/>
    </row>
    <row r="774" spans="1:13">
      <c r="A774" s="40"/>
      <c r="J774" s="40"/>
      <c r="K774" s="40"/>
      <c r="L774" s="40"/>
      <c r="M774" s="40"/>
    </row>
    <row r="775" spans="1:13">
      <c r="A775" s="40"/>
      <c r="J775" s="40"/>
      <c r="K775" s="40"/>
      <c r="L775" s="40"/>
      <c r="M775" s="40"/>
    </row>
    <row r="776" spans="1:13">
      <c r="A776" s="40"/>
      <c r="J776" s="40"/>
      <c r="K776" s="40"/>
      <c r="L776" s="40"/>
      <c r="M776" s="40"/>
    </row>
    <row r="777" spans="1:13">
      <c r="A777" s="40"/>
      <c r="J777" s="40"/>
      <c r="K777" s="40"/>
      <c r="L777" s="40"/>
      <c r="M777" s="40"/>
    </row>
    <row r="778" spans="1:13">
      <c r="A778" s="40"/>
      <c r="J778" s="40"/>
      <c r="K778" s="40"/>
      <c r="L778" s="40"/>
      <c r="M778" s="40"/>
    </row>
    <row r="779" spans="1:13">
      <c r="A779" s="40"/>
      <c r="J779" s="40"/>
      <c r="K779" s="40"/>
      <c r="L779" s="40"/>
      <c r="M779" s="40"/>
    </row>
    <row r="780" spans="1:13">
      <c r="A780" s="40"/>
      <c r="J780" s="40"/>
      <c r="K780" s="40"/>
      <c r="L780" s="40"/>
      <c r="M780" s="40"/>
    </row>
    <row r="781" spans="1:13">
      <c r="A781" s="40"/>
      <c r="J781" s="40"/>
      <c r="K781" s="40"/>
      <c r="L781" s="40"/>
      <c r="M781" s="40"/>
    </row>
    <row r="782" spans="1:13">
      <c r="A782" s="40"/>
      <c r="J782" s="40"/>
      <c r="K782" s="40"/>
      <c r="L782" s="40"/>
      <c r="M782" s="40"/>
    </row>
    <row r="783" spans="1:13">
      <c r="A783" s="40"/>
      <c r="J783" s="40"/>
      <c r="K783" s="40"/>
      <c r="L783" s="40"/>
      <c r="M783" s="40"/>
    </row>
    <row r="784" spans="1:13">
      <c r="A784" s="40"/>
      <c r="J784" s="40"/>
      <c r="K784" s="40"/>
      <c r="L784" s="40"/>
      <c r="M784" s="40"/>
    </row>
    <row r="785" spans="1:13">
      <c r="A785" s="40"/>
      <c r="J785" s="40"/>
      <c r="K785" s="40"/>
      <c r="L785" s="40"/>
      <c r="M785" s="40"/>
    </row>
    <row r="786" spans="1:13">
      <c r="A786" s="40"/>
      <c r="J786" s="40"/>
      <c r="K786" s="40"/>
      <c r="L786" s="40"/>
      <c r="M786" s="40"/>
    </row>
    <row r="787" spans="1:13">
      <c r="A787" s="40"/>
      <c r="J787" s="40"/>
      <c r="K787" s="40"/>
      <c r="L787" s="40"/>
      <c r="M787" s="40"/>
    </row>
    <row r="788" spans="1:13">
      <c r="A788" s="40"/>
      <c r="J788" s="40"/>
      <c r="K788" s="40"/>
      <c r="L788" s="40"/>
      <c r="M788" s="40"/>
    </row>
    <row r="789" spans="1:13">
      <c r="A789" s="40"/>
      <c r="J789" s="40"/>
      <c r="K789" s="40"/>
      <c r="L789" s="40"/>
      <c r="M789" s="40"/>
    </row>
    <row r="790" spans="1:13">
      <c r="A790" s="40"/>
      <c r="J790" s="40"/>
      <c r="K790" s="40"/>
      <c r="L790" s="40"/>
      <c r="M790" s="40"/>
    </row>
    <row r="791" spans="1:13">
      <c r="A791" s="40"/>
      <c r="J791" s="40"/>
      <c r="K791" s="40"/>
      <c r="L791" s="40"/>
      <c r="M791" s="40"/>
    </row>
    <row r="792" spans="1:13">
      <c r="A792" s="40"/>
      <c r="J792" s="40"/>
      <c r="K792" s="40"/>
      <c r="L792" s="40"/>
      <c r="M792" s="40"/>
    </row>
    <row r="793" spans="1:13">
      <c r="A793" s="40"/>
      <c r="J793" s="40"/>
      <c r="K793" s="40"/>
      <c r="L793" s="40"/>
      <c r="M793" s="40"/>
    </row>
    <row r="794" spans="1:13">
      <c r="A794" s="40"/>
      <c r="J794" s="40"/>
      <c r="K794" s="40"/>
      <c r="L794" s="40"/>
      <c r="M794" s="40"/>
    </row>
    <row r="795" spans="1:13">
      <c r="A795" s="40"/>
      <c r="J795" s="40"/>
      <c r="K795" s="40"/>
      <c r="L795" s="40"/>
      <c r="M795" s="40"/>
    </row>
    <row r="796" spans="1:13">
      <c r="A796" s="40"/>
      <c r="J796" s="40"/>
      <c r="K796" s="40"/>
      <c r="L796" s="40"/>
      <c r="M796" s="40"/>
    </row>
    <row r="797" spans="1:13">
      <c r="A797" s="40"/>
      <c r="J797" s="40"/>
      <c r="K797" s="40"/>
      <c r="L797" s="40"/>
      <c r="M797" s="40"/>
    </row>
    <row r="798" spans="1:13">
      <c r="A798" s="40"/>
      <c r="J798" s="40"/>
      <c r="K798" s="40"/>
      <c r="L798" s="40"/>
      <c r="M798" s="40"/>
    </row>
    <row r="799" spans="1:13">
      <c r="A799" s="40"/>
      <c r="J799" s="40"/>
      <c r="K799" s="40"/>
      <c r="L799" s="40"/>
      <c r="M799" s="40"/>
    </row>
    <row r="800" spans="1:13">
      <c r="A800" s="40"/>
      <c r="J800" s="40"/>
      <c r="K800" s="40"/>
      <c r="L800" s="40"/>
      <c r="M800" s="40"/>
    </row>
    <row r="801" spans="1:13">
      <c r="A801" s="40"/>
      <c r="J801" s="40"/>
      <c r="K801" s="40"/>
      <c r="L801" s="40"/>
      <c r="M801" s="40"/>
    </row>
    <row r="802" spans="1:13">
      <c r="A802" s="40"/>
      <c r="J802" s="40"/>
      <c r="K802" s="40"/>
      <c r="L802" s="40"/>
      <c r="M802" s="40"/>
    </row>
    <row r="803" spans="1:13">
      <c r="A803" s="40"/>
      <c r="J803" s="40"/>
      <c r="K803" s="40"/>
      <c r="L803" s="40"/>
      <c r="M803" s="40"/>
    </row>
    <row r="804" spans="1:13">
      <c r="A804" s="40"/>
      <c r="J804" s="40"/>
      <c r="K804" s="40"/>
      <c r="L804" s="40"/>
      <c r="M804" s="40"/>
    </row>
    <row r="805" spans="1:13">
      <c r="A805" s="40"/>
      <c r="J805" s="40"/>
      <c r="K805" s="40"/>
      <c r="L805" s="40"/>
      <c r="M805" s="40"/>
    </row>
    <row r="806" spans="1:13">
      <c r="A806" s="40"/>
      <c r="J806" s="40"/>
      <c r="K806" s="40"/>
      <c r="L806" s="40"/>
      <c r="M806" s="40"/>
    </row>
    <row r="807" spans="1:13">
      <c r="A807" s="40"/>
      <c r="J807" s="40"/>
      <c r="K807" s="40"/>
      <c r="L807" s="40"/>
      <c r="M807" s="40"/>
    </row>
    <row r="808" spans="1:13">
      <c r="A808" s="40"/>
      <c r="J808" s="40"/>
      <c r="K808" s="40"/>
      <c r="L808" s="40"/>
      <c r="M808" s="40"/>
    </row>
    <row r="809" spans="1:13">
      <c r="A809" s="40"/>
      <c r="J809" s="40"/>
      <c r="K809" s="40"/>
      <c r="L809" s="40"/>
      <c r="M809" s="40"/>
    </row>
    <row r="810" spans="1:13">
      <c r="A810" s="40"/>
      <c r="J810" s="40"/>
      <c r="K810" s="40"/>
      <c r="L810" s="40"/>
      <c r="M810" s="40"/>
    </row>
    <row r="811" spans="1:13">
      <c r="A811" s="40"/>
      <c r="J811" s="40"/>
      <c r="K811" s="40"/>
      <c r="L811" s="40"/>
      <c r="M811" s="40"/>
    </row>
    <row r="812" spans="1:13">
      <c r="A812" s="40"/>
      <c r="J812" s="40"/>
      <c r="K812" s="40"/>
      <c r="L812" s="40"/>
      <c r="M812" s="40"/>
    </row>
    <row r="813" spans="1:13">
      <c r="A813" s="40"/>
      <c r="J813" s="40"/>
      <c r="K813" s="40"/>
      <c r="L813" s="40"/>
      <c r="M813" s="40"/>
    </row>
    <row r="814" spans="1:13">
      <c r="A814" s="40"/>
      <c r="J814" s="40"/>
      <c r="K814" s="40"/>
      <c r="L814" s="40"/>
      <c r="M814" s="40"/>
    </row>
    <row r="815" spans="1:13">
      <c r="A815" s="40"/>
      <c r="J815" s="40"/>
      <c r="K815" s="40"/>
      <c r="L815" s="40"/>
      <c r="M815" s="40"/>
    </row>
    <row r="816" spans="1:13">
      <c r="A816" s="40"/>
      <c r="J816" s="40"/>
      <c r="K816" s="40"/>
      <c r="L816" s="40"/>
      <c r="M816" s="40"/>
    </row>
    <row r="817" spans="1:13">
      <c r="A817" s="40"/>
      <c r="J817" s="40"/>
      <c r="K817" s="40"/>
      <c r="L817" s="40"/>
      <c r="M817" s="40"/>
    </row>
    <row r="818" spans="1:13">
      <c r="A818" s="40"/>
      <c r="J818" s="40"/>
      <c r="K818" s="40"/>
      <c r="L818" s="40"/>
      <c r="M818" s="40"/>
    </row>
    <row r="819" spans="1:13">
      <c r="A819" s="40"/>
      <c r="J819" s="40"/>
      <c r="K819" s="40"/>
      <c r="L819" s="40"/>
      <c r="M819" s="40"/>
    </row>
    <row r="820" spans="1:13">
      <c r="A820" s="40"/>
      <c r="J820" s="40"/>
      <c r="K820" s="40"/>
      <c r="L820" s="40"/>
      <c r="M820" s="40"/>
    </row>
    <row r="821" spans="1:13">
      <c r="A821" s="40"/>
      <c r="J821" s="40"/>
      <c r="K821" s="40"/>
      <c r="L821" s="40"/>
      <c r="M821" s="40"/>
    </row>
    <row r="822" spans="1:13">
      <c r="A822" s="40"/>
      <c r="J822" s="40"/>
      <c r="K822" s="40"/>
      <c r="L822" s="40"/>
      <c r="M822" s="40"/>
    </row>
    <row r="823" spans="1:13">
      <c r="A823" s="40"/>
      <c r="J823" s="40"/>
      <c r="K823" s="40"/>
      <c r="L823" s="40"/>
      <c r="M823" s="40"/>
    </row>
    <row r="824" spans="1:13">
      <c r="A824" s="40"/>
      <c r="J824" s="40"/>
      <c r="K824" s="40"/>
      <c r="L824" s="40"/>
      <c r="M824" s="40"/>
    </row>
    <row r="825" spans="1:13">
      <c r="A825" s="40"/>
      <c r="J825" s="40"/>
      <c r="K825" s="40"/>
      <c r="L825" s="40"/>
      <c r="M825" s="40"/>
    </row>
    <row r="826" spans="1:13">
      <c r="A826" s="40"/>
      <c r="J826" s="40"/>
      <c r="K826" s="40"/>
      <c r="L826" s="40"/>
      <c r="M826" s="40"/>
    </row>
    <row r="827" spans="1:13">
      <c r="A827" s="40"/>
      <c r="J827" s="40"/>
      <c r="K827" s="40"/>
      <c r="L827" s="40"/>
      <c r="M827" s="40"/>
    </row>
    <row r="828" spans="1:13">
      <c r="A828" s="40"/>
      <c r="J828" s="40"/>
      <c r="K828" s="40"/>
      <c r="L828" s="40"/>
      <c r="M828" s="40"/>
    </row>
    <row r="829" spans="1:13">
      <c r="A829" s="40"/>
      <c r="J829" s="40"/>
      <c r="K829" s="40"/>
      <c r="L829" s="40"/>
      <c r="M829" s="40"/>
    </row>
    <row r="830" spans="1:13">
      <c r="A830" s="40"/>
      <c r="J830" s="40"/>
      <c r="K830" s="40"/>
      <c r="L830" s="40"/>
      <c r="M830" s="40"/>
    </row>
    <row r="831" spans="1:13">
      <c r="A831" s="40"/>
      <c r="J831" s="40"/>
      <c r="K831" s="40"/>
      <c r="L831" s="40"/>
      <c r="M831" s="40"/>
    </row>
    <row r="832" spans="1:13">
      <c r="A832" s="40"/>
      <c r="J832" s="40"/>
      <c r="K832" s="40"/>
      <c r="L832" s="40"/>
      <c r="M832" s="40"/>
    </row>
    <row r="833" spans="1:13">
      <c r="A833" s="40"/>
      <c r="J833" s="40"/>
      <c r="K833" s="40"/>
      <c r="L833" s="40"/>
      <c r="M833" s="40"/>
    </row>
    <row r="834" spans="1:13">
      <c r="A834" s="40"/>
      <c r="J834" s="40"/>
      <c r="K834" s="40"/>
      <c r="L834" s="40"/>
      <c r="M834" s="40"/>
    </row>
    <row r="835" spans="1:13">
      <c r="A835" s="40"/>
      <c r="J835" s="40"/>
      <c r="K835" s="40"/>
      <c r="L835" s="40"/>
      <c r="M835" s="40"/>
    </row>
    <row r="836" spans="1:13">
      <c r="A836" s="40"/>
      <c r="J836" s="40"/>
      <c r="K836" s="40"/>
      <c r="L836" s="40"/>
      <c r="M836" s="40"/>
    </row>
    <row r="837" spans="1:13">
      <c r="A837" s="40"/>
      <c r="J837" s="40"/>
      <c r="K837" s="40"/>
      <c r="L837" s="40"/>
      <c r="M837" s="40"/>
    </row>
    <row r="838" spans="1:13">
      <c r="A838" s="40"/>
      <c r="J838" s="40"/>
      <c r="K838" s="40"/>
      <c r="L838" s="40"/>
      <c r="M838" s="40"/>
    </row>
    <row r="839" spans="1:13">
      <c r="A839" s="40"/>
      <c r="J839" s="40"/>
      <c r="K839" s="40"/>
      <c r="L839" s="40"/>
      <c r="M839" s="40"/>
    </row>
    <row r="840" spans="1:13">
      <c r="A840" s="40"/>
      <c r="J840" s="40"/>
      <c r="K840" s="40"/>
      <c r="L840" s="40"/>
      <c r="M840" s="40"/>
    </row>
    <row r="841" spans="1:13">
      <c r="A841" s="40"/>
      <c r="J841" s="40"/>
      <c r="K841" s="40"/>
      <c r="L841" s="40"/>
      <c r="M841" s="40"/>
    </row>
    <row r="842" spans="1:13">
      <c r="A842" s="40"/>
      <c r="J842" s="40"/>
      <c r="K842" s="40"/>
      <c r="L842" s="40"/>
      <c r="M842" s="40"/>
    </row>
    <row r="843" spans="1:13">
      <c r="A843" s="40"/>
      <c r="J843" s="40"/>
      <c r="K843" s="40"/>
      <c r="L843" s="40"/>
      <c r="M843" s="40"/>
    </row>
    <row r="844" spans="1:13">
      <c r="A844" s="40"/>
      <c r="J844" s="40"/>
      <c r="K844" s="40"/>
      <c r="L844" s="40"/>
      <c r="M844" s="40"/>
    </row>
    <row r="845" spans="1:13">
      <c r="A845" s="40"/>
      <c r="J845" s="40"/>
      <c r="K845" s="40"/>
      <c r="L845" s="40"/>
      <c r="M845" s="40"/>
    </row>
    <row r="846" spans="1:13">
      <c r="A846" s="40"/>
      <c r="J846" s="40"/>
      <c r="K846" s="40"/>
      <c r="L846" s="40"/>
      <c r="M846" s="40"/>
    </row>
    <row r="847" spans="1:13">
      <c r="A847" s="40"/>
      <c r="J847" s="40"/>
      <c r="K847" s="40"/>
      <c r="L847" s="40"/>
      <c r="M847" s="40"/>
    </row>
    <row r="848" spans="1:13">
      <c r="A848" s="40"/>
      <c r="J848" s="40"/>
      <c r="K848" s="40"/>
      <c r="L848" s="40"/>
      <c r="M848" s="40"/>
    </row>
    <row r="849" spans="1:13">
      <c r="A849" s="40"/>
      <c r="J849" s="40"/>
      <c r="K849" s="40"/>
      <c r="L849" s="40"/>
      <c r="M849" s="40"/>
    </row>
    <row r="850" spans="1:13">
      <c r="A850" s="40"/>
      <c r="J850" s="40"/>
      <c r="K850" s="40"/>
      <c r="L850" s="40"/>
      <c r="M850" s="40"/>
    </row>
    <row r="851" spans="1:13">
      <c r="A851" s="40"/>
      <c r="J851" s="40"/>
      <c r="K851" s="40"/>
      <c r="L851" s="40"/>
      <c r="M851" s="40"/>
    </row>
    <row r="852" spans="1:13">
      <c r="A852" s="40"/>
      <c r="J852" s="40"/>
      <c r="K852" s="40"/>
      <c r="L852" s="40"/>
      <c r="M852" s="40"/>
    </row>
    <row r="853" spans="1:13">
      <c r="A853" s="40"/>
      <c r="J853" s="40"/>
      <c r="K853" s="40"/>
      <c r="L853" s="40"/>
      <c r="M853" s="40"/>
    </row>
    <row r="854" spans="1:13">
      <c r="A854" s="40"/>
      <c r="J854" s="40"/>
      <c r="K854" s="40"/>
      <c r="L854" s="40"/>
      <c r="M854" s="40"/>
    </row>
    <row r="855" spans="1:13">
      <c r="A855" s="40"/>
      <c r="J855" s="40"/>
      <c r="K855" s="40"/>
      <c r="L855" s="40"/>
      <c r="M855" s="40"/>
    </row>
    <row r="856" spans="1:13">
      <c r="A856" s="40"/>
      <c r="J856" s="40"/>
      <c r="K856" s="40"/>
      <c r="L856" s="40"/>
      <c r="M856" s="40"/>
    </row>
    <row r="857" spans="1:13">
      <c r="A857" s="40"/>
      <c r="J857" s="40"/>
      <c r="K857" s="40"/>
      <c r="L857" s="40"/>
      <c r="M857" s="40"/>
    </row>
    <row r="858" spans="1:13">
      <c r="A858" s="40"/>
      <c r="J858" s="40"/>
      <c r="K858" s="40"/>
      <c r="L858" s="40"/>
      <c r="M858" s="40"/>
    </row>
    <row r="859" spans="1:13">
      <c r="A859" s="40"/>
      <c r="J859" s="40"/>
      <c r="K859" s="40"/>
      <c r="L859" s="40"/>
      <c r="M859" s="40"/>
    </row>
    <row r="860" spans="1:13">
      <c r="A860" s="40"/>
      <c r="J860" s="40"/>
      <c r="K860" s="40"/>
      <c r="L860" s="40"/>
      <c r="M860" s="40"/>
    </row>
    <row r="861" spans="1:13">
      <c r="A861" s="40"/>
      <c r="J861" s="40"/>
      <c r="K861" s="40"/>
      <c r="L861" s="40"/>
      <c r="M861" s="40"/>
    </row>
    <row r="862" spans="1:13">
      <c r="A862" s="40"/>
      <c r="J862" s="40"/>
      <c r="K862" s="40"/>
      <c r="L862" s="40"/>
      <c r="M862" s="40"/>
    </row>
    <row r="863" spans="1:13">
      <c r="A863" s="40"/>
      <c r="J863" s="40"/>
      <c r="K863" s="40"/>
      <c r="L863" s="40"/>
      <c r="M863" s="40"/>
    </row>
    <row r="864" spans="1:13">
      <c r="A864" s="40"/>
      <c r="J864" s="40"/>
      <c r="K864" s="40"/>
      <c r="L864" s="40"/>
      <c r="M864" s="40"/>
    </row>
    <row r="865" spans="1:13">
      <c r="A865" s="40"/>
      <c r="J865" s="40"/>
      <c r="K865" s="40"/>
      <c r="L865" s="40"/>
      <c r="M865" s="40"/>
    </row>
    <row r="866" spans="1:13">
      <c r="A866" s="40"/>
      <c r="J866" s="40"/>
      <c r="K866" s="40"/>
      <c r="L866" s="40"/>
      <c r="M866" s="40"/>
    </row>
    <row r="867" spans="1:13">
      <c r="A867" s="40"/>
      <c r="J867" s="40"/>
      <c r="K867" s="40"/>
      <c r="L867" s="40"/>
      <c r="M867" s="40"/>
    </row>
    <row r="868" spans="1:13">
      <c r="A868" s="40"/>
      <c r="J868" s="40"/>
      <c r="K868" s="40"/>
      <c r="L868" s="40"/>
      <c r="M868" s="40"/>
    </row>
    <row r="869" spans="1:13">
      <c r="A869" s="40"/>
      <c r="J869" s="40"/>
      <c r="K869" s="40"/>
      <c r="L869" s="40"/>
      <c r="M869" s="40"/>
    </row>
    <row r="870" spans="1:13">
      <c r="A870" s="40"/>
      <c r="J870" s="40"/>
      <c r="K870" s="40"/>
      <c r="L870" s="40"/>
      <c r="M870" s="40"/>
    </row>
    <row r="871" spans="1:13">
      <c r="A871" s="40"/>
      <c r="J871" s="40"/>
      <c r="K871" s="40"/>
      <c r="L871" s="40"/>
      <c r="M871" s="40"/>
    </row>
    <row r="872" spans="1:13">
      <c r="A872" s="40"/>
      <c r="J872" s="40"/>
      <c r="K872" s="40"/>
      <c r="L872" s="40"/>
      <c r="M872" s="40"/>
    </row>
    <row r="873" spans="1:13">
      <c r="A873" s="40"/>
      <c r="J873" s="40"/>
      <c r="K873" s="40"/>
      <c r="L873" s="40"/>
      <c r="M873" s="40"/>
    </row>
    <row r="874" spans="1:13">
      <c r="A874" s="40"/>
      <c r="J874" s="40"/>
      <c r="K874" s="40"/>
      <c r="L874" s="40"/>
      <c r="M874" s="40"/>
    </row>
    <row r="875" spans="1:13">
      <c r="A875" s="40"/>
      <c r="J875" s="40"/>
      <c r="K875" s="40"/>
      <c r="L875" s="40"/>
      <c r="M875" s="40"/>
    </row>
    <row r="876" spans="1:13">
      <c r="A876" s="40"/>
      <c r="J876" s="40"/>
      <c r="K876" s="40"/>
      <c r="L876" s="40"/>
      <c r="M876" s="40"/>
    </row>
    <row r="877" spans="1:13">
      <c r="A877" s="40"/>
      <c r="J877" s="40"/>
      <c r="K877" s="40"/>
      <c r="L877" s="40"/>
      <c r="M877" s="40"/>
    </row>
    <row r="878" spans="1:13">
      <c r="A878" s="40"/>
      <c r="J878" s="40"/>
      <c r="K878" s="40"/>
      <c r="L878" s="40"/>
      <c r="M878" s="40"/>
    </row>
    <row r="879" spans="1:13">
      <c r="A879" s="40"/>
      <c r="J879" s="40"/>
      <c r="K879" s="40"/>
      <c r="L879" s="40"/>
      <c r="M879" s="40"/>
    </row>
    <row r="880" spans="1:13">
      <c r="A880" s="40"/>
      <c r="J880" s="40"/>
      <c r="K880" s="40"/>
      <c r="L880" s="40"/>
      <c r="M880" s="40"/>
    </row>
    <row r="881" spans="1:13">
      <c r="A881" s="40"/>
      <c r="J881" s="40"/>
      <c r="K881" s="40"/>
      <c r="L881" s="40"/>
      <c r="M881" s="40"/>
    </row>
    <row r="882" spans="1:13">
      <c r="A882" s="40"/>
      <c r="J882" s="40"/>
      <c r="K882" s="40"/>
      <c r="L882" s="40"/>
      <c r="M882" s="40"/>
    </row>
    <row r="883" spans="1:13">
      <c r="A883" s="40"/>
      <c r="J883" s="40"/>
      <c r="K883" s="40"/>
      <c r="L883" s="40"/>
      <c r="M883" s="40"/>
    </row>
    <row r="884" spans="1:13">
      <c r="A884" s="40"/>
      <c r="J884" s="40"/>
      <c r="K884" s="40"/>
      <c r="L884" s="40"/>
      <c r="M884" s="40"/>
    </row>
    <row r="885" spans="1:13">
      <c r="A885" s="40"/>
      <c r="J885" s="40"/>
      <c r="K885" s="40"/>
      <c r="L885" s="40"/>
      <c r="M885" s="40"/>
    </row>
    <row r="886" spans="1:13">
      <c r="A886" s="40"/>
      <c r="J886" s="40"/>
      <c r="K886" s="40"/>
      <c r="L886" s="40"/>
      <c r="M886" s="40"/>
    </row>
    <row r="887" spans="1:13">
      <c r="A887" s="40"/>
      <c r="J887" s="40"/>
      <c r="K887" s="40"/>
      <c r="L887" s="40"/>
      <c r="M887" s="40"/>
    </row>
    <row r="888" spans="1:13">
      <c r="A888" s="40"/>
      <c r="J888" s="40"/>
      <c r="K888" s="40"/>
      <c r="L888" s="40"/>
      <c r="M888" s="40"/>
    </row>
    <row r="889" spans="1:13">
      <c r="A889" s="40"/>
      <c r="J889" s="40"/>
      <c r="K889" s="40"/>
      <c r="L889" s="40"/>
      <c r="M889" s="40"/>
    </row>
    <row r="890" spans="1:13">
      <c r="A890" s="40"/>
      <c r="J890" s="40"/>
      <c r="K890" s="40"/>
      <c r="L890" s="40"/>
      <c r="M890" s="40"/>
    </row>
    <row r="891" spans="1:13">
      <c r="A891" s="40"/>
      <c r="J891" s="40"/>
      <c r="K891" s="40"/>
      <c r="L891" s="40"/>
      <c r="M891" s="40"/>
    </row>
    <row r="892" spans="1:13">
      <c r="A892" s="40"/>
      <c r="J892" s="40"/>
      <c r="K892" s="40"/>
      <c r="L892" s="40"/>
      <c r="M892" s="40"/>
    </row>
    <row r="893" spans="1:13">
      <c r="A893" s="40"/>
      <c r="J893" s="40"/>
      <c r="K893" s="40"/>
      <c r="L893" s="40"/>
      <c r="M893" s="40"/>
    </row>
    <row r="894" spans="1:13">
      <c r="A894" s="40"/>
      <c r="J894" s="40"/>
      <c r="K894" s="40"/>
      <c r="L894" s="40"/>
      <c r="M894" s="40"/>
    </row>
    <row r="895" spans="1:13">
      <c r="A895" s="40"/>
      <c r="J895" s="40"/>
      <c r="K895" s="40"/>
      <c r="L895" s="40"/>
      <c r="M895" s="40"/>
    </row>
    <row r="896" spans="1:13">
      <c r="A896" s="40"/>
      <c r="J896" s="40"/>
      <c r="K896" s="40"/>
      <c r="L896" s="40"/>
      <c r="M896" s="40"/>
    </row>
    <row r="897" spans="1:13">
      <c r="A897" s="40"/>
      <c r="J897" s="40"/>
      <c r="K897" s="40"/>
      <c r="L897" s="40"/>
      <c r="M897" s="40"/>
    </row>
    <row r="898" spans="1:13">
      <c r="A898" s="40"/>
      <c r="J898" s="40"/>
      <c r="K898" s="40"/>
      <c r="L898" s="40"/>
      <c r="M898" s="40"/>
    </row>
    <row r="899" spans="1:13">
      <c r="A899" s="40"/>
      <c r="J899" s="40"/>
      <c r="K899" s="40"/>
      <c r="L899" s="40"/>
      <c r="M899" s="40"/>
    </row>
    <row r="900" spans="1:13">
      <c r="A900" s="40"/>
      <c r="J900" s="40"/>
      <c r="K900" s="40"/>
      <c r="L900" s="40"/>
      <c r="M900" s="40"/>
    </row>
    <row r="901" spans="1:13">
      <c r="A901" s="40"/>
      <c r="J901" s="40"/>
      <c r="K901" s="40"/>
      <c r="L901" s="40"/>
      <c r="M901" s="40"/>
    </row>
    <row r="902" spans="1:13">
      <c r="A902" s="40"/>
      <c r="J902" s="40"/>
      <c r="K902" s="40"/>
      <c r="L902" s="40"/>
      <c r="M902" s="40"/>
    </row>
    <row r="903" spans="1:13">
      <c r="A903" s="40"/>
      <c r="J903" s="40"/>
      <c r="K903" s="40"/>
      <c r="L903" s="40"/>
      <c r="M903" s="40"/>
    </row>
    <row r="904" spans="1:13">
      <c r="A904" s="40"/>
      <c r="J904" s="40"/>
      <c r="K904" s="40"/>
      <c r="L904" s="40"/>
      <c r="M904" s="40"/>
    </row>
    <row r="905" spans="1:13">
      <c r="A905" s="40"/>
      <c r="J905" s="40"/>
      <c r="K905" s="40"/>
      <c r="L905" s="40"/>
      <c r="M905" s="40"/>
    </row>
    <row r="906" spans="1:13">
      <c r="A906" s="40"/>
      <c r="J906" s="40"/>
      <c r="K906" s="40"/>
      <c r="L906" s="40"/>
      <c r="M906" s="40"/>
    </row>
    <row r="907" spans="1:13">
      <c r="A907" s="40"/>
      <c r="J907" s="40"/>
      <c r="K907" s="40"/>
      <c r="L907" s="40"/>
      <c r="M907" s="40"/>
    </row>
    <row r="908" spans="1:13">
      <c r="A908" s="40"/>
      <c r="J908" s="40"/>
      <c r="K908" s="40"/>
      <c r="L908" s="40"/>
      <c r="M908" s="40"/>
    </row>
    <row r="909" spans="1:13">
      <c r="A909" s="40"/>
      <c r="J909" s="40"/>
      <c r="K909" s="40"/>
      <c r="L909" s="40"/>
      <c r="M909" s="40"/>
    </row>
    <row r="910" spans="1:13">
      <c r="A910" s="40"/>
      <c r="J910" s="40"/>
      <c r="K910" s="40"/>
      <c r="L910" s="40"/>
      <c r="M910" s="40"/>
    </row>
    <row r="911" spans="1:13">
      <c r="A911" s="40"/>
      <c r="J911" s="40"/>
      <c r="K911" s="40"/>
      <c r="L911" s="40"/>
      <c r="M911" s="40"/>
    </row>
    <row r="912" spans="1:13">
      <c r="A912" s="40"/>
      <c r="J912" s="40"/>
      <c r="K912" s="40"/>
      <c r="L912" s="40"/>
      <c r="M912" s="40"/>
    </row>
    <row r="913" spans="1:13">
      <c r="A913" s="40"/>
      <c r="J913" s="40"/>
      <c r="K913" s="40"/>
      <c r="L913" s="40"/>
      <c r="M913" s="40"/>
    </row>
    <row r="914" spans="1:13">
      <c r="A914" s="40"/>
      <c r="J914" s="40"/>
      <c r="K914" s="40"/>
      <c r="L914" s="40"/>
      <c r="M914" s="40"/>
    </row>
    <row r="915" spans="1:13">
      <c r="A915" s="40"/>
      <c r="J915" s="40"/>
      <c r="K915" s="40"/>
      <c r="L915" s="40"/>
      <c r="M915" s="40"/>
    </row>
    <row r="916" spans="1:13">
      <c r="A916" s="40"/>
      <c r="J916" s="40"/>
      <c r="K916" s="40"/>
      <c r="L916" s="40"/>
      <c r="M916" s="40"/>
    </row>
    <row r="917" spans="1:13">
      <c r="A917" s="40"/>
      <c r="J917" s="40"/>
      <c r="K917" s="40"/>
      <c r="L917" s="40"/>
      <c r="M917" s="40"/>
    </row>
    <row r="918" spans="1:13">
      <c r="A918" s="40"/>
      <c r="J918" s="40"/>
      <c r="K918" s="40"/>
      <c r="L918" s="40"/>
      <c r="M918" s="40"/>
    </row>
    <row r="919" spans="1:13">
      <c r="A919" s="40"/>
      <c r="J919" s="40"/>
      <c r="K919" s="40"/>
      <c r="L919" s="40"/>
      <c r="M919" s="40"/>
    </row>
    <row r="920" spans="1:13">
      <c r="A920" s="40"/>
      <c r="J920" s="40"/>
      <c r="K920" s="40"/>
      <c r="L920" s="40"/>
      <c r="M920" s="40"/>
    </row>
    <row r="921" spans="1:13">
      <c r="A921" s="40"/>
      <c r="J921" s="40"/>
      <c r="K921" s="40"/>
      <c r="L921" s="40"/>
      <c r="M921" s="40"/>
    </row>
    <row r="922" spans="1:13">
      <c r="A922" s="40"/>
      <c r="J922" s="40"/>
      <c r="K922" s="40"/>
      <c r="L922" s="40"/>
      <c r="M922" s="40"/>
    </row>
    <row r="923" spans="1:13">
      <c r="A923" s="40"/>
      <c r="J923" s="40"/>
      <c r="K923" s="40"/>
      <c r="L923" s="40"/>
      <c r="M923" s="40"/>
    </row>
    <row r="924" spans="1:13">
      <c r="A924" s="40"/>
      <c r="J924" s="40"/>
      <c r="K924" s="40"/>
      <c r="L924" s="40"/>
      <c r="M924" s="40"/>
    </row>
    <row r="925" spans="1:13">
      <c r="A925" s="40"/>
      <c r="J925" s="40"/>
      <c r="K925" s="40"/>
      <c r="L925" s="40"/>
      <c r="M925" s="40"/>
    </row>
    <row r="926" spans="1:13">
      <c r="A926" s="40"/>
      <c r="J926" s="40"/>
      <c r="K926" s="40"/>
      <c r="L926" s="40"/>
      <c r="M926" s="40"/>
    </row>
    <row r="927" spans="1:13">
      <c r="A927" s="40"/>
      <c r="J927" s="40"/>
      <c r="K927" s="40"/>
      <c r="L927" s="40"/>
      <c r="M927" s="40"/>
    </row>
    <row r="928" spans="1:13">
      <c r="A928" s="40"/>
      <c r="J928" s="40"/>
      <c r="K928" s="40"/>
      <c r="L928" s="40"/>
      <c r="M928" s="40"/>
    </row>
    <row r="929" spans="1:13">
      <c r="A929" s="40"/>
      <c r="J929" s="40"/>
      <c r="K929" s="40"/>
      <c r="L929" s="40"/>
      <c r="M929" s="40"/>
    </row>
    <row r="930" spans="1:13">
      <c r="A930" s="40"/>
      <c r="J930" s="40"/>
      <c r="K930" s="40"/>
      <c r="L930" s="40"/>
      <c r="M930" s="40"/>
    </row>
    <row r="931" spans="1:13">
      <c r="A931" s="40"/>
      <c r="J931" s="40"/>
      <c r="K931" s="40"/>
      <c r="L931" s="40"/>
      <c r="M931" s="40"/>
    </row>
    <row r="932" spans="1:13">
      <c r="A932" s="40"/>
      <c r="J932" s="40"/>
      <c r="K932" s="40"/>
      <c r="L932" s="40"/>
      <c r="M932" s="40"/>
    </row>
    <row r="933" spans="1:13">
      <c r="A933" s="40"/>
      <c r="J933" s="40"/>
      <c r="K933" s="40"/>
      <c r="L933" s="40"/>
      <c r="M933" s="40"/>
    </row>
    <row r="934" spans="1:13">
      <c r="A934" s="40"/>
      <c r="J934" s="40"/>
      <c r="K934" s="40"/>
      <c r="L934" s="40"/>
      <c r="M934" s="40"/>
    </row>
    <row r="935" spans="1:13">
      <c r="A935" s="40"/>
      <c r="J935" s="40"/>
      <c r="K935" s="40"/>
      <c r="L935" s="40"/>
      <c r="M935" s="40"/>
    </row>
    <row r="936" spans="1:13">
      <c r="A936" s="40"/>
      <c r="J936" s="40"/>
      <c r="K936" s="40"/>
      <c r="L936" s="40"/>
      <c r="M936" s="40"/>
    </row>
    <row r="937" spans="1:13">
      <c r="A937" s="40"/>
      <c r="J937" s="40"/>
      <c r="K937" s="40"/>
      <c r="L937" s="40"/>
      <c r="M937" s="40"/>
    </row>
    <row r="938" spans="1:13">
      <c r="A938" s="40"/>
      <c r="J938" s="40"/>
      <c r="K938" s="40"/>
      <c r="L938" s="40"/>
      <c r="M938" s="40"/>
    </row>
    <row r="939" spans="1:13">
      <c r="A939" s="40"/>
      <c r="J939" s="40"/>
      <c r="K939" s="40"/>
      <c r="L939" s="40"/>
      <c r="M939" s="40"/>
    </row>
    <row r="940" spans="1:13">
      <c r="A940" s="40"/>
      <c r="J940" s="40"/>
      <c r="K940" s="40"/>
      <c r="L940" s="40"/>
      <c r="M940" s="40"/>
    </row>
    <row r="941" spans="1:13">
      <c r="A941" s="40"/>
      <c r="J941" s="40"/>
      <c r="K941" s="40"/>
      <c r="L941" s="40"/>
      <c r="M941" s="40"/>
    </row>
    <row r="942" spans="1:13">
      <c r="A942" s="40"/>
      <c r="J942" s="40"/>
      <c r="K942" s="40"/>
      <c r="L942" s="40"/>
      <c r="M942" s="40"/>
    </row>
    <row r="943" spans="1:13">
      <c r="A943" s="40"/>
      <c r="J943" s="40"/>
      <c r="K943" s="40"/>
      <c r="L943" s="40"/>
      <c r="M943" s="40"/>
    </row>
    <row r="944" spans="1:13">
      <c r="A944" s="40"/>
      <c r="J944" s="40"/>
      <c r="K944" s="40"/>
      <c r="L944" s="40"/>
      <c r="M944" s="40"/>
    </row>
    <row r="945" spans="1:13">
      <c r="A945" s="40"/>
      <c r="J945" s="40"/>
      <c r="K945" s="40"/>
      <c r="L945" s="40"/>
      <c r="M945" s="40"/>
    </row>
    <row r="946" spans="1:13">
      <c r="A946" s="40"/>
      <c r="J946" s="40"/>
      <c r="K946" s="40"/>
      <c r="L946" s="40"/>
      <c r="M946" s="40"/>
    </row>
    <row r="947" spans="1:13">
      <c r="A947" s="40"/>
      <c r="J947" s="40"/>
      <c r="K947" s="40"/>
      <c r="L947" s="40"/>
      <c r="M947" s="40"/>
    </row>
    <row r="948" spans="1:13">
      <c r="A948" s="40"/>
      <c r="J948" s="40"/>
      <c r="K948" s="40"/>
      <c r="L948" s="40"/>
      <c r="M948" s="40"/>
    </row>
    <row r="949" spans="1:13">
      <c r="A949" s="40"/>
      <c r="J949" s="40"/>
      <c r="K949" s="40"/>
      <c r="L949" s="40"/>
      <c r="M949" s="40"/>
    </row>
    <row r="950" spans="1:13">
      <c r="A950" s="40"/>
      <c r="J950" s="40"/>
      <c r="K950" s="40"/>
      <c r="L950" s="40"/>
      <c r="M950" s="40"/>
    </row>
    <row r="951" spans="1:13">
      <c r="A951" s="40"/>
      <c r="J951" s="40"/>
      <c r="K951" s="40"/>
      <c r="L951" s="40"/>
      <c r="M951" s="40"/>
    </row>
    <row r="952" spans="1:13">
      <c r="A952" s="40"/>
      <c r="J952" s="40"/>
      <c r="K952" s="40"/>
      <c r="L952" s="40"/>
      <c r="M952" s="40"/>
    </row>
    <row r="953" spans="1:13">
      <c r="A953" s="40"/>
      <c r="J953" s="40"/>
      <c r="K953" s="40"/>
      <c r="L953" s="40"/>
      <c r="M953" s="40"/>
    </row>
    <row r="954" spans="1:13">
      <c r="A954" s="40"/>
      <c r="J954" s="40"/>
      <c r="K954" s="40"/>
      <c r="L954" s="40"/>
      <c r="M954" s="40"/>
    </row>
    <row r="955" spans="1:13">
      <c r="A955" s="40"/>
      <c r="J955" s="40"/>
      <c r="K955" s="40"/>
      <c r="L955" s="40"/>
      <c r="M955" s="40"/>
    </row>
    <row r="956" spans="1:13">
      <c r="A956" s="40"/>
      <c r="J956" s="40"/>
      <c r="K956" s="40"/>
      <c r="L956" s="40"/>
      <c r="M956" s="40"/>
    </row>
    <row r="957" spans="1:13">
      <c r="A957" s="40"/>
      <c r="J957" s="40"/>
      <c r="K957" s="40"/>
      <c r="L957" s="40"/>
      <c r="M957" s="40"/>
    </row>
    <row r="958" spans="1:13">
      <c r="A958" s="40"/>
      <c r="J958" s="40"/>
      <c r="K958" s="40"/>
      <c r="L958" s="40"/>
      <c r="M958" s="40"/>
    </row>
    <row r="959" spans="1:13">
      <c r="A959" s="40"/>
      <c r="J959" s="40"/>
      <c r="K959" s="40"/>
      <c r="L959" s="40"/>
      <c r="M959" s="40"/>
    </row>
    <row r="960" spans="1:13">
      <c r="A960" s="40"/>
      <c r="J960" s="40"/>
      <c r="K960" s="40"/>
      <c r="L960" s="40"/>
      <c r="M960" s="40"/>
    </row>
    <row r="961" spans="1:13">
      <c r="A961" s="40"/>
      <c r="J961" s="40"/>
      <c r="K961" s="40"/>
      <c r="L961" s="40"/>
      <c r="M961" s="40"/>
    </row>
    <row r="962" spans="1:13">
      <c r="A962" s="40"/>
      <c r="J962" s="40"/>
      <c r="K962" s="40"/>
      <c r="L962" s="40"/>
      <c r="M962" s="40"/>
    </row>
    <row r="963" spans="1:13">
      <c r="A963" s="40"/>
      <c r="J963" s="40"/>
      <c r="K963" s="40"/>
      <c r="L963" s="40"/>
      <c r="M963" s="40"/>
    </row>
    <row r="964" spans="1:13">
      <c r="A964" s="40"/>
      <c r="J964" s="40"/>
      <c r="K964" s="40"/>
      <c r="L964" s="40"/>
      <c r="M964" s="40"/>
    </row>
    <row r="965" spans="1:13">
      <c r="A965" s="40"/>
      <c r="J965" s="40"/>
      <c r="K965" s="40"/>
      <c r="L965" s="40"/>
      <c r="M965" s="40"/>
    </row>
    <row r="966" spans="1:13">
      <c r="A966" s="40"/>
      <c r="J966" s="40"/>
      <c r="K966" s="40"/>
      <c r="L966" s="40"/>
      <c r="M966" s="40"/>
    </row>
    <row r="967" spans="1:13">
      <c r="A967" s="40"/>
      <c r="J967" s="40"/>
      <c r="K967" s="40"/>
      <c r="L967" s="40"/>
      <c r="M967" s="40"/>
    </row>
    <row r="968" spans="1:13">
      <c r="A968" s="40"/>
      <c r="J968" s="40"/>
      <c r="K968" s="40"/>
      <c r="L968" s="40"/>
      <c r="M968" s="40"/>
    </row>
    <row r="969" spans="1:13">
      <c r="A969" s="40"/>
      <c r="J969" s="40"/>
      <c r="K969" s="40"/>
      <c r="L969" s="40"/>
      <c r="M969" s="40"/>
    </row>
    <row r="970" spans="1:13">
      <c r="A970" s="40"/>
      <c r="J970" s="40"/>
      <c r="K970" s="40"/>
      <c r="L970" s="40"/>
      <c r="M970" s="40"/>
    </row>
    <row r="971" spans="1:13">
      <c r="A971" s="40"/>
      <c r="J971" s="40"/>
      <c r="K971" s="40"/>
      <c r="L971" s="40"/>
      <c r="M971" s="40"/>
    </row>
    <row r="972" spans="1:13">
      <c r="A972" s="40"/>
      <c r="J972" s="40"/>
      <c r="K972" s="40"/>
      <c r="L972" s="40"/>
      <c r="M972" s="40"/>
    </row>
    <row r="973" spans="1:13">
      <c r="A973" s="40"/>
      <c r="J973" s="40"/>
      <c r="K973" s="40"/>
      <c r="L973" s="40"/>
      <c r="M973" s="40"/>
    </row>
    <row r="974" spans="1:13">
      <c r="A974" s="40"/>
      <c r="J974" s="40"/>
      <c r="K974" s="40"/>
      <c r="L974" s="40"/>
      <c r="M974" s="40"/>
    </row>
    <row r="975" spans="1:13">
      <c r="A975" s="40"/>
      <c r="J975" s="40"/>
      <c r="K975" s="40"/>
      <c r="L975" s="40"/>
      <c r="M975" s="40"/>
    </row>
    <row r="976" spans="1:13">
      <c r="A976" s="40"/>
      <c r="J976" s="40"/>
      <c r="K976" s="40"/>
      <c r="L976" s="40"/>
      <c r="M976" s="40"/>
    </row>
    <row r="977" spans="1:13">
      <c r="A977" s="40"/>
      <c r="J977" s="40"/>
      <c r="K977" s="40"/>
      <c r="L977" s="40"/>
      <c r="M977" s="40"/>
    </row>
    <row r="978" spans="1:13">
      <c r="A978" s="40"/>
      <c r="J978" s="40"/>
      <c r="K978" s="40"/>
      <c r="L978" s="40"/>
      <c r="M978" s="40"/>
    </row>
    <row r="979" spans="1:13">
      <c r="A979" s="40"/>
      <c r="J979" s="40"/>
      <c r="K979" s="40"/>
      <c r="L979" s="40"/>
      <c r="M979" s="40"/>
    </row>
    <row r="980" spans="1:13">
      <c r="A980" s="40"/>
      <c r="J980" s="40"/>
      <c r="K980" s="40"/>
      <c r="L980" s="40"/>
      <c r="M980" s="40"/>
    </row>
    <row r="981" spans="1:13">
      <c r="A981" s="40"/>
      <c r="J981" s="40"/>
      <c r="K981" s="40"/>
      <c r="L981" s="40"/>
      <c r="M981" s="40"/>
    </row>
    <row r="982" spans="1:13">
      <c r="A982" s="40"/>
      <c r="J982" s="40"/>
      <c r="K982" s="40"/>
      <c r="L982" s="40"/>
      <c r="M982" s="40"/>
    </row>
    <row r="983" spans="1:13">
      <c r="A983" s="40"/>
      <c r="J983" s="40"/>
      <c r="K983" s="40"/>
      <c r="L983" s="40"/>
      <c r="M983" s="40"/>
    </row>
    <row r="984" spans="1:13">
      <c r="A984" s="40"/>
      <c r="J984" s="40"/>
      <c r="K984" s="40"/>
      <c r="L984" s="40"/>
      <c r="M984" s="40"/>
    </row>
    <row r="985" spans="1:13">
      <c r="A985" s="40"/>
      <c r="J985" s="40"/>
      <c r="K985" s="40"/>
      <c r="L985" s="40"/>
      <c r="M985" s="40"/>
    </row>
    <row r="986" spans="1:13">
      <c r="A986" s="40"/>
      <c r="J986" s="40"/>
      <c r="K986" s="40"/>
      <c r="L986" s="40"/>
      <c r="M986" s="40"/>
    </row>
    <row r="987" spans="1:13">
      <c r="A987" s="40"/>
      <c r="J987" s="40"/>
      <c r="K987" s="40"/>
      <c r="L987" s="40"/>
      <c r="M987" s="40"/>
    </row>
    <row r="988" spans="1:13">
      <c r="A988" s="40"/>
      <c r="J988" s="40"/>
      <c r="K988" s="40"/>
      <c r="L988" s="40"/>
      <c r="M988" s="40"/>
    </row>
    <row r="989" spans="1:13">
      <c r="A989" s="40"/>
      <c r="J989" s="40"/>
      <c r="K989" s="40"/>
      <c r="L989" s="40"/>
      <c r="M989" s="40"/>
    </row>
    <row r="990" spans="1:13">
      <c r="A990" s="40"/>
      <c r="J990" s="40"/>
      <c r="K990" s="40"/>
      <c r="L990" s="40"/>
      <c r="M990" s="40"/>
    </row>
    <row r="991" spans="1:13">
      <c r="A991" s="40"/>
      <c r="J991" s="40"/>
      <c r="K991" s="40"/>
      <c r="L991" s="40"/>
      <c r="M991" s="40"/>
    </row>
    <row r="992" spans="1:13">
      <c r="A992" s="40"/>
      <c r="J992" s="40"/>
      <c r="K992" s="40"/>
      <c r="L992" s="40"/>
      <c r="M992" s="40"/>
    </row>
    <row r="993" spans="1:13">
      <c r="A993" s="40"/>
      <c r="J993" s="40"/>
      <c r="K993" s="40"/>
      <c r="L993" s="40"/>
      <c r="M993" s="40"/>
    </row>
    <row r="994" spans="1:13">
      <c r="A994" s="40"/>
    </row>
    <row r="995" spans="1:13">
      <c r="A995" s="40"/>
    </row>
    <row r="996" spans="1:13">
      <c r="A996" s="40"/>
    </row>
    <row r="997" spans="1:13">
      <c r="A997" s="40"/>
    </row>
    <row r="998" spans="1:13">
      <c r="A998" s="40"/>
    </row>
    <row r="999" spans="1:13">
      <c r="A999" s="40"/>
    </row>
    <row r="1000" spans="1:13">
      <c r="A1000" s="40"/>
    </row>
    <row r="1001" spans="1:13">
      <c r="A1001" s="40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703125" defaultRowHeight="15.75" customHeight="1"/>
  <cols>
    <col min="1" max="1" width="10.85546875" customWidth="1"/>
    <col min="2" max="2" width="16.85546875" customWidth="1"/>
  </cols>
  <sheetData>
    <row r="1" spans="1:17">
      <c r="A1" s="21"/>
      <c r="B1" s="22"/>
      <c r="C1" s="22"/>
      <c r="D1" s="22"/>
      <c r="E1" s="22"/>
      <c r="F1" s="23" t="s">
        <v>49</v>
      </c>
      <c r="G1" s="23"/>
      <c r="H1" s="23"/>
      <c r="I1" s="24" t="s">
        <v>53</v>
      </c>
      <c r="J1" s="24" t="s">
        <v>54</v>
      </c>
      <c r="K1" s="24" t="s">
        <v>55</v>
      </c>
      <c r="L1" s="24" t="s">
        <v>56</v>
      </c>
      <c r="M1" s="24" t="s">
        <v>57</v>
      </c>
      <c r="N1" s="24" t="s">
        <v>58</v>
      </c>
      <c r="O1" s="24" t="s">
        <v>59</v>
      </c>
      <c r="P1" t="s">
        <v>603</v>
      </c>
      <c r="Q1" t="s">
        <v>604</v>
      </c>
    </row>
    <row r="2" spans="1:17">
      <c r="A2" s="21"/>
      <c r="B2" s="22"/>
      <c r="C2" s="22"/>
      <c r="D2" s="22"/>
      <c r="E2" s="22"/>
      <c r="F2" s="23" t="s">
        <v>96</v>
      </c>
      <c r="G2" s="23"/>
      <c r="H2" s="23"/>
      <c r="I2" s="24" t="s">
        <v>98</v>
      </c>
      <c r="J2" s="24" t="s">
        <v>98</v>
      </c>
      <c r="K2" s="24" t="s">
        <v>98</v>
      </c>
      <c r="L2" s="24" t="s">
        <v>98</v>
      </c>
      <c r="M2" s="24" t="s">
        <v>98</v>
      </c>
      <c r="N2" s="24" t="s">
        <v>98</v>
      </c>
      <c r="O2" s="24" t="s">
        <v>98</v>
      </c>
      <c r="P2" t="s">
        <v>99</v>
      </c>
      <c r="Q2" t="s">
        <v>100</v>
      </c>
    </row>
    <row r="3" spans="1:17">
      <c r="A3" s="26"/>
      <c r="B3" s="26"/>
      <c r="C3" s="27"/>
      <c r="D3" s="27"/>
      <c r="E3" s="27"/>
      <c r="F3" s="28">
        <f ca="1">DATEDIF(F4,NOW(),"M")</f>
        <v>1</v>
      </c>
      <c r="G3" s="28"/>
      <c r="H3" s="28"/>
      <c r="I3" s="29">
        <f t="shared" ref="I3:O3" ca="1" si="0">DATEDIF(I4,NOW(),"M")</f>
        <v>7</v>
      </c>
      <c r="J3" s="29">
        <f t="shared" ca="1" si="0"/>
        <v>7</v>
      </c>
      <c r="K3" s="29">
        <f t="shared" ca="1" si="0"/>
        <v>5</v>
      </c>
      <c r="L3" s="29">
        <f t="shared" ca="1" si="0"/>
        <v>5</v>
      </c>
      <c r="M3" s="29">
        <f t="shared" ca="1" si="0"/>
        <v>4</v>
      </c>
      <c r="N3" s="29">
        <f t="shared" ca="1" si="0"/>
        <v>2</v>
      </c>
      <c r="O3" s="29">
        <f t="shared" ca="1" si="0"/>
        <v>1</v>
      </c>
    </row>
    <row r="4" spans="1:17">
      <c r="A4" s="26"/>
      <c r="B4" s="26"/>
      <c r="C4" s="60" t="s">
        <v>101</v>
      </c>
      <c r="D4" s="61"/>
      <c r="E4" s="62"/>
      <c r="F4" s="31">
        <v>45870</v>
      </c>
      <c r="G4" s="31"/>
      <c r="H4" s="31"/>
      <c r="I4" s="32">
        <v>45689</v>
      </c>
      <c r="J4" s="32">
        <v>45689</v>
      </c>
      <c r="K4" s="32">
        <v>45748</v>
      </c>
      <c r="L4" s="32">
        <v>45748</v>
      </c>
      <c r="M4" s="32">
        <v>45778</v>
      </c>
      <c r="N4" s="32">
        <v>45839</v>
      </c>
      <c r="O4" s="32">
        <v>45870</v>
      </c>
    </row>
    <row r="5" spans="1:17">
      <c r="A5" s="26"/>
      <c r="B5" s="26"/>
      <c r="C5" s="63"/>
      <c r="D5" s="64"/>
      <c r="E5" s="65"/>
      <c r="F5" s="34">
        <v>2025</v>
      </c>
      <c r="G5" s="34"/>
      <c r="H5" s="34"/>
      <c r="I5" s="29">
        <v>2025</v>
      </c>
      <c r="J5" s="29">
        <v>2025</v>
      </c>
      <c r="K5" s="29">
        <v>2025</v>
      </c>
      <c r="L5" s="29">
        <v>2025</v>
      </c>
      <c r="M5" s="29">
        <v>2025</v>
      </c>
      <c r="N5" s="29">
        <v>2025</v>
      </c>
      <c r="O5" s="29">
        <v>2025</v>
      </c>
    </row>
    <row r="6" spans="1:17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 t="s">
        <v>18</v>
      </c>
      <c r="G6" s="28"/>
      <c r="H6" s="28"/>
      <c r="I6" s="37" t="s">
        <v>15</v>
      </c>
      <c r="J6" s="37" t="s">
        <v>15</v>
      </c>
      <c r="K6" s="37" t="s">
        <v>15</v>
      </c>
      <c r="L6" s="37" t="s">
        <v>16</v>
      </c>
      <c r="M6" s="37" t="s">
        <v>107</v>
      </c>
      <c r="N6" s="37" t="s">
        <v>15</v>
      </c>
      <c r="O6" s="37" t="s">
        <v>107</v>
      </c>
      <c r="P6" t="s">
        <v>18</v>
      </c>
      <c r="Q6" t="s">
        <v>18</v>
      </c>
    </row>
    <row r="7" spans="1:17">
      <c r="A7" s="38">
        <v>1</v>
      </c>
      <c r="B7" s="39" t="s">
        <v>22</v>
      </c>
      <c r="C7" s="38">
        <f ca="1">COUNTIFS(F7:O7,"&gt;0",$F$3:O$3,"&lt;13")</f>
        <v>4</v>
      </c>
      <c r="D7" s="38">
        <f ca="1">SUMIF($F$3:O$3,"&lt;13",F7:O7)</f>
        <v>465</v>
      </c>
      <c r="E7" s="38">
        <f ca="1">IFERROR(__xludf.DUMMYFUNCTION("ARRAY_CONSTRAIN(ARRAYFORMULA(SUMPRODUCT(LARGE(FILTER(F7:O7, F$3:O$3 &lt; 13),{1,2,3,4,5,6,7}))), 1, 1)"),465)</f>
        <v>465</v>
      </c>
      <c r="F7" s="38">
        <v>0</v>
      </c>
      <c r="G7" s="43">
        <v>0</v>
      </c>
      <c r="H7" s="43">
        <v>0</v>
      </c>
      <c r="I7" s="40">
        <v>120</v>
      </c>
      <c r="J7" s="40">
        <v>0</v>
      </c>
      <c r="K7" s="40">
        <v>120</v>
      </c>
      <c r="L7" s="40">
        <v>125</v>
      </c>
      <c r="M7" s="40">
        <v>100</v>
      </c>
      <c r="N7" s="40">
        <v>0</v>
      </c>
      <c r="O7" s="40">
        <v>0</v>
      </c>
      <c r="P7">
        <v>100</v>
      </c>
      <c r="Q7">
        <v>0</v>
      </c>
    </row>
    <row r="8" spans="1:17">
      <c r="A8" s="38">
        <v>2</v>
      </c>
      <c r="B8" s="41" t="s">
        <v>120</v>
      </c>
      <c r="C8" s="38">
        <f ca="1">COUNTIFS(F8:O8,"&gt;0",$F$3:O$3,"&lt;13")</f>
        <v>3</v>
      </c>
      <c r="D8" s="38">
        <f ca="1">SUMIF($F$3:O$3,"&lt;13",F8:O8)</f>
        <v>300</v>
      </c>
      <c r="E8" s="38">
        <f ca="1">IFERROR(__xludf.DUMMYFUNCTION("ARRAY_CONSTRAIN(ARRAYFORMULA(SUMPRODUCT(LARGE(FILTER(F8:O8, F$3:O$3 &lt; 13),{1,2,3,4,5,6,7}))), 1, 1)"),300)</f>
        <v>300</v>
      </c>
      <c r="F8" s="38">
        <v>60</v>
      </c>
      <c r="G8" s="43">
        <v>0</v>
      </c>
      <c r="H8" s="43">
        <v>0</v>
      </c>
      <c r="I8" s="40">
        <v>0</v>
      </c>
      <c r="J8" s="40">
        <v>180</v>
      </c>
      <c r="K8" s="40">
        <v>0</v>
      </c>
      <c r="L8" s="40">
        <v>0</v>
      </c>
      <c r="M8" s="40">
        <v>0</v>
      </c>
      <c r="N8" s="40">
        <v>0</v>
      </c>
      <c r="O8" s="40">
        <v>60</v>
      </c>
      <c r="P8">
        <v>0</v>
      </c>
      <c r="Q8">
        <v>0</v>
      </c>
    </row>
    <row r="9" spans="1:17">
      <c r="A9" s="38">
        <v>3</v>
      </c>
      <c r="B9" s="39" t="s">
        <v>112</v>
      </c>
      <c r="C9" s="38">
        <f ca="1">COUNTIFS(F9:O9,"&gt;0",$F$3:O$3,"&lt;13")</f>
        <v>2</v>
      </c>
      <c r="D9" s="38">
        <f ca="1">SUMIF($F$3:O$3,"&lt;13",F9:O9)</f>
        <v>240</v>
      </c>
      <c r="E9" s="38">
        <f ca="1">IFERROR(__xludf.DUMMYFUNCTION("ARRAY_CONSTRAIN(ARRAYFORMULA(SUMPRODUCT(LARGE(FILTER(F9:O9, F$3:O$3 &lt; 13),{1,2,3,4,5,6,7}))), 1, 1)"),240)</f>
        <v>240</v>
      </c>
      <c r="F9" s="38">
        <v>90</v>
      </c>
      <c r="G9" s="43">
        <v>0</v>
      </c>
      <c r="H9" s="43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150</v>
      </c>
      <c r="O9" s="40">
        <v>0</v>
      </c>
      <c r="P9">
        <v>0</v>
      </c>
      <c r="Q9">
        <v>0</v>
      </c>
    </row>
    <row r="10" spans="1:17">
      <c r="A10" s="38">
        <v>4</v>
      </c>
      <c r="B10" s="39" t="s">
        <v>115</v>
      </c>
      <c r="C10" s="38">
        <f ca="1">COUNTIFS(F10:O10,"&gt;0",$F$3:O$3,"&lt;13")</f>
        <v>1</v>
      </c>
      <c r="D10" s="38">
        <f ca="1">SUMIF($F$3:O$3,"&lt;13",F10:O10)</f>
        <v>120</v>
      </c>
      <c r="E10" s="38">
        <f ca="1">IFERROR(__xludf.DUMMYFUNCTION("ARRAY_CONSTRAIN(ARRAYFORMULA(SUMPRODUCT(LARGE(FILTER(F10:O10, F$3:O$3 &lt; 13),{1,2,3,4,5,6,7}))), 1, 1)"),120)</f>
        <v>120</v>
      </c>
      <c r="F10" s="38">
        <v>0</v>
      </c>
      <c r="G10" s="43">
        <v>0</v>
      </c>
      <c r="H10" s="43">
        <v>0</v>
      </c>
      <c r="I10" s="40">
        <v>0</v>
      </c>
      <c r="J10" s="40">
        <v>120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>
        <v>0</v>
      </c>
      <c r="Q10">
        <v>0</v>
      </c>
    </row>
    <row r="11" spans="1:17">
      <c r="A11" s="38">
        <v>5</v>
      </c>
      <c r="B11" s="39" t="s">
        <v>26</v>
      </c>
      <c r="C11" s="38">
        <f ca="1">COUNTIFS(F11:O11,"&gt;0",$F$3:O$3,"&lt;13")</f>
        <v>1</v>
      </c>
      <c r="D11" s="38">
        <f ca="1">SUMIF($F$3:O$3,"&lt;13",F11:O11)</f>
        <v>120</v>
      </c>
      <c r="E11" s="38">
        <f ca="1">IFERROR(__xludf.DUMMYFUNCTION("ARRAY_CONSTRAIN(ARRAYFORMULA(SUMPRODUCT(LARGE(FILTER(F11:O11, F$3:O$3 &lt; 13),{1,2,3,4,5,6,7}))), 1, 1)"),120)</f>
        <v>120</v>
      </c>
      <c r="F11" s="38">
        <v>0</v>
      </c>
      <c r="G11" s="43">
        <v>0</v>
      </c>
      <c r="H11" s="43">
        <v>0</v>
      </c>
      <c r="I11" s="40">
        <v>0</v>
      </c>
      <c r="J11" s="40">
        <v>120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>
        <v>60</v>
      </c>
      <c r="Q11">
        <v>0</v>
      </c>
    </row>
    <row r="12" spans="1:17">
      <c r="A12" s="38">
        <v>6</v>
      </c>
      <c r="B12" s="39" t="s">
        <v>108</v>
      </c>
      <c r="C12" s="38">
        <f ca="1">COUNTIFS(F12:O12,"&gt;0",$F$3:O$3,"&lt;13")</f>
        <v>2</v>
      </c>
      <c r="D12" s="38">
        <f ca="1">SUMIF($F$3:O$3,"&lt;13",F12:O12)</f>
        <v>120</v>
      </c>
      <c r="E12" s="38">
        <f ca="1">IFERROR(__xludf.DUMMYFUNCTION("ARRAY_CONSTRAIN(ARRAYFORMULA(SUMPRODUCT(LARGE(FILTER(F12:O12, F$3:O$3 &lt; 13),{1,2,3,4,5,6,7}))), 1, 1)"),120)</f>
        <v>120</v>
      </c>
      <c r="F12" s="38">
        <v>60</v>
      </c>
      <c r="G12" s="43">
        <v>0</v>
      </c>
      <c r="H12" s="43">
        <v>0</v>
      </c>
      <c r="I12" s="40">
        <v>0</v>
      </c>
      <c r="J12" s="40">
        <v>0</v>
      </c>
      <c r="K12" s="40">
        <v>0</v>
      </c>
      <c r="L12" s="40">
        <v>0</v>
      </c>
      <c r="M12" s="40">
        <v>60</v>
      </c>
      <c r="N12" s="40">
        <v>0</v>
      </c>
      <c r="O12" s="40">
        <v>0</v>
      </c>
      <c r="P12">
        <v>50</v>
      </c>
      <c r="Q12">
        <v>0</v>
      </c>
    </row>
    <row r="13" spans="1:17">
      <c r="A13" s="38">
        <v>7</v>
      </c>
      <c r="B13" s="41" t="s">
        <v>171</v>
      </c>
      <c r="C13" s="38">
        <f ca="1">COUNTIFS(F13:O13,"&gt;0",$F$3:O$3,"&lt;13")</f>
        <v>2</v>
      </c>
      <c r="D13" s="38">
        <f ca="1">SUMIF($F$3:O$3,"&lt;13",F13:O13)</f>
        <v>160</v>
      </c>
      <c r="E13" s="38">
        <f ca="1">IFERROR(__xludf.DUMMYFUNCTION("ARRAY_CONSTRAIN(ARRAYFORMULA(SUMPRODUCT(LARGE(FILTER(F13:O13, F$3:O$3 &lt; 13),{1,2,3,4,5,6,7}))), 1, 1)"),160)</f>
        <v>160</v>
      </c>
      <c r="F13" s="38">
        <v>100</v>
      </c>
      <c r="G13" s="43">
        <v>0</v>
      </c>
      <c r="H13" s="43">
        <v>0</v>
      </c>
      <c r="I13" s="40">
        <v>0</v>
      </c>
      <c r="J13" s="40">
        <v>0</v>
      </c>
      <c r="K13" s="40">
        <v>0</v>
      </c>
      <c r="L13" s="40">
        <v>0</v>
      </c>
      <c r="M13" s="40">
        <v>60</v>
      </c>
      <c r="N13" s="40">
        <v>0</v>
      </c>
      <c r="O13" s="40">
        <v>0</v>
      </c>
      <c r="P13">
        <v>0</v>
      </c>
      <c r="Q13">
        <v>0</v>
      </c>
    </row>
    <row r="14" spans="1:17">
      <c r="A14" s="38">
        <v>8</v>
      </c>
      <c r="B14" s="41" t="s">
        <v>127</v>
      </c>
      <c r="C14" s="38">
        <f ca="1">COUNTIFS(F14:O14,"&gt;0",$F$3:O$3,"&lt;13")</f>
        <v>1</v>
      </c>
      <c r="D14" s="38">
        <f ca="1">SUMIF($F$3:O$3,"&lt;13",F14:O14)</f>
        <v>80</v>
      </c>
      <c r="E14" s="38">
        <f ca="1">IFERROR(__xludf.DUMMYFUNCTION("ARRAY_CONSTRAIN(ARRAYFORMULA(SUMPRODUCT(LARGE(FILTER(F14:O14, F$3:O$3 &lt; 13),{1,2,3,4,5,6,7}))), 1, 1)"),80)</f>
        <v>80</v>
      </c>
      <c r="F14" s="38">
        <v>80</v>
      </c>
      <c r="G14" s="43">
        <v>0</v>
      </c>
      <c r="H14" s="43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>
        <v>0</v>
      </c>
      <c r="Q14">
        <v>0</v>
      </c>
    </row>
    <row r="15" spans="1:17">
      <c r="A15" s="38">
        <v>9</v>
      </c>
      <c r="B15" s="39" t="s">
        <v>488</v>
      </c>
      <c r="C15" s="38">
        <f>COUNTIFS(F15:O15,"&gt;0",$F$3:O$3,"&lt;13")</f>
        <v>0</v>
      </c>
      <c r="D15" s="38">
        <f ca="1">SUMIF($F$3:O$3,"&lt;13",F15:O15)</f>
        <v>0</v>
      </c>
      <c r="E15" s="38">
        <f ca="1">IFERROR(__xludf.DUMMYFUNCTION("ARRAY_CONSTRAIN(ARRAYFORMULA(SUMPRODUCT(LARGE(FILTER(F15:O15, F$3:O$3 &lt; 13),{1,2,3,4,5,6,7}))), 1, 1)"),0)</f>
        <v>0</v>
      </c>
      <c r="F15" s="38">
        <v>0</v>
      </c>
      <c r="G15" s="43">
        <v>0</v>
      </c>
      <c r="H15" s="43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>
        <v>50</v>
      </c>
      <c r="Q15">
        <v>0</v>
      </c>
    </row>
    <row r="16" spans="1:17">
      <c r="A16" s="38">
        <v>10</v>
      </c>
      <c r="B16" s="41" t="s">
        <v>180</v>
      </c>
      <c r="C16" s="38">
        <f ca="1">COUNTIFS(F16:O16,"&gt;0",$F$3:O$3,"&lt;13")</f>
        <v>1</v>
      </c>
      <c r="D16" s="38">
        <f ca="1">SUMIF($F$3:O$3,"&lt;13",F16:O16)</f>
        <v>60</v>
      </c>
      <c r="E16" s="38">
        <f ca="1">IFERROR(__xludf.DUMMYFUNCTION("ARRAY_CONSTRAIN(ARRAYFORMULA(SUMPRODUCT(LARGE(FILTER(F16:O16, F$3:O$3 &lt; 13),{1,2,3,4,5,6,7}))), 1, 1)"),60)</f>
        <v>60</v>
      </c>
      <c r="F16" s="38">
        <v>60</v>
      </c>
      <c r="G16" s="43">
        <v>0</v>
      </c>
      <c r="H16" s="43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>
        <v>0</v>
      </c>
      <c r="Q16">
        <v>0</v>
      </c>
    </row>
    <row r="17" spans="1:17">
      <c r="A17" s="38">
        <v>11</v>
      </c>
      <c r="B17" s="41" t="s">
        <v>605</v>
      </c>
      <c r="C17" s="38">
        <f ca="1">COUNTIFS(F17:O17,"&gt;0",$F$3:O$3,"&lt;13")</f>
        <v>1</v>
      </c>
      <c r="D17" s="38">
        <f ca="1">SUMIF($F$3:O$3,"&lt;13",F17:O17)</f>
        <v>60</v>
      </c>
      <c r="E17" s="38">
        <f ca="1">IFERROR(__xludf.DUMMYFUNCTION("ARRAY_CONSTRAIN(ARRAYFORMULA(SUMPRODUCT(LARGE(FILTER(F17:O17, F$3:O$3 &lt; 13),{1,2,3,4,5,6,7}))), 1, 1)"),60)</f>
        <v>60</v>
      </c>
      <c r="F17" s="38">
        <v>60</v>
      </c>
      <c r="G17" s="43">
        <v>0</v>
      </c>
      <c r="H17" s="43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>
        <v>0</v>
      </c>
      <c r="Q17">
        <v>0</v>
      </c>
    </row>
    <row r="18" spans="1:17">
      <c r="A18" s="38">
        <v>12</v>
      </c>
      <c r="B18" s="41" t="s">
        <v>606</v>
      </c>
      <c r="C18" s="38">
        <f ca="1">COUNTIFS(F18:O18,"&gt;0",$F$3:O$3,"&lt;13")</f>
        <v>1</v>
      </c>
      <c r="D18" s="38">
        <f ca="1">SUMIF($F$3:O$3,"&lt;13",F18:O18)</f>
        <v>60</v>
      </c>
      <c r="E18" s="38">
        <f ca="1">IFERROR(__xludf.DUMMYFUNCTION("ARRAY_CONSTRAIN(ARRAYFORMULA(SUMPRODUCT(LARGE(FILTER(F18:O18, F$3:O$3 &lt; 13),{1,2,3,4,5,6,7}))), 1, 1)"),60)</f>
        <v>60</v>
      </c>
      <c r="F18" s="40">
        <v>60</v>
      </c>
      <c r="G18" s="43">
        <v>0</v>
      </c>
      <c r="H18" s="43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>
        <v>0</v>
      </c>
      <c r="Q18">
        <v>0</v>
      </c>
    </row>
    <row r="19" spans="1:17">
      <c r="A19" s="38">
        <v>13</v>
      </c>
      <c r="B19" s="41" t="s">
        <v>243</v>
      </c>
      <c r="C19" s="38">
        <f ca="1">COUNTIFS(F19:O19,"&gt;0",$F$3:O$3,"&lt;13")</f>
        <v>1</v>
      </c>
      <c r="D19" s="38">
        <f ca="1">SUMIF($F$3:O$3,"&lt;13",F19:O19)</f>
        <v>50</v>
      </c>
      <c r="E19" s="38">
        <f ca="1">IFERROR(__xludf.DUMMYFUNCTION("ARRAY_CONSTRAIN(ARRAYFORMULA(SUMPRODUCT(LARGE(FILTER(F19:O19, F$3:O$3 &lt; 13),{1,2,3,4,5,6,7}))), 1, 1)"),50)</f>
        <v>50</v>
      </c>
      <c r="F19" s="40">
        <v>50</v>
      </c>
      <c r="G19" s="43">
        <v>0</v>
      </c>
      <c r="H19" s="43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>
        <v>0</v>
      </c>
      <c r="Q19">
        <v>0</v>
      </c>
    </row>
    <row r="20" spans="1:17">
      <c r="A20" s="38">
        <v>14</v>
      </c>
      <c r="B20" s="39" t="s">
        <v>23</v>
      </c>
      <c r="C20" s="38">
        <f>COUNTIFS(F20:O20,"&gt;0",$F$3:O$3,"&lt;13")</f>
        <v>0</v>
      </c>
      <c r="D20" s="38">
        <f ca="1">SUMIF($F$3:O$3,"&lt;13",F20:O20)</f>
        <v>0</v>
      </c>
      <c r="E20" s="38">
        <f ca="1">IFERROR(__xludf.DUMMYFUNCTION("ARRAY_CONSTRAIN(ARRAYFORMULA(SUMPRODUCT(LARGE(FILTER(F20:O20, F$3:O$3 &lt; 13),{1,2,3,4,5,6,7}))), 1, 1)"),0)</f>
        <v>0</v>
      </c>
      <c r="F20" s="38">
        <v>0</v>
      </c>
      <c r="G20" s="43">
        <v>0</v>
      </c>
      <c r="H20" s="43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>
        <v>90</v>
      </c>
      <c r="Q20">
        <v>0</v>
      </c>
    </row>
    <row r="21" spans="1:17">
      <c r="A21" s="38">
        <v>15</v>
      </c>
      <c r="B21" s="39" t="s">
        <v>168</v>
      </c>
      <c r="C21" s="38">
        <f>COUNTIFS(F21:O21,"&gt;0",$F$3:O$3,"&lt;13")</f>
        <v>0</v>
      </c>
      <c r="D21" s="38">
        <f ca="1">SUMIF($F$3:O$3,"&lt;13",F21:O21)</f>
        <v>0</v>
      </c>
      <c r="E21" s="38">
        <f ca="1">IFERROR(__xludf.DUMMYFUNCTION("ARRAY_CONSTRAIN(ARRAYFORMULA(SUMPRODUCT(LARGE(FILTER(F21:O21, F$3:O$3 &lt; 13),{1,2,3,4,5,6,7}))), 1, 1)"),0)</f>
        <v>0</v>
      </c>
      <c r="F21" s="38">
        <v>0</v>
      </c>
      <c r="G21" s="43">
        <v>0</v>
      </c>
      <c r="H21" s="43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>
        <v>0</v>
      </c>
      <c r="Q21">
        <v>0</v>
      </c>
    </row>
    <row r="22" spans="1:17">
      <c r="A22" s="38">
        <v>16</v>
      </c>
      <c r="B22" s="41" t="s">
        <v>174</v>
      </c>
      <c r="C22" s="38">
        <f>COUNTIFS(F22:O22,"&gt;0",$F$3:O$3,"&lt;13")</f>
        <v>0</v>
      </c>
      <c r="D22" s="38">
        <f ca="1">SUMIF($F$3:O$3,"&lt;13",F22:O22)</f>
        <v>0</v>
      </c>
      <c r="E22" s="38">
        <f ca="1">IFERROR(__xludf.DUMMYFUNCTION("ARRAY_CONSTRAIN(ARRAYFORMULA(SUMPRODUCT(LARGE(FILTER(F22:O22, F$3:O$3 &lt; 13),{1,2,3,4,5,6,7}))), 1, 1)"),0)</f>
        <v>0</v>
      </c>
      <c r="F22" s="38">
        <v>0</v>
      </c>
      <c r="G22" s="43">
        <v>0</v>
      </c>
      <c r="H22" s="43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>
        <v>0</v>
      </c>
      <c r="Q22">
        <v>0</v>
      </c>
    </row>
    <row r="23" spans="1:17">
      <c r="A23" s="38">
        <v>17</v>
      </c>
      <c r="B23" s="39" t="s">
        <v>121</v>
      </c>
      <c r="C23" s="38">
        <f>COUNTIFS(F23:O23,"&gt;0",$F$3:O$3,"&lt;13")</f>
        <v>0</v>
      </c>
      <c r="D23" s="38">
        <f ca="1">SUMIF($F$3:O$3,"&lt;13",F23:O23)</f>
        <v>0</v>
      </c>
      <c r="E23" s="38">
        <f ca="1">IFERROR(__xludf.DUMMYFUNCTION("ARRAY_CONSTRAIN(ARRAYFORMULA(SUMPRODUCT(LARGE(FILTER(F23:O23, F$3:O$3 &lt; 13),{1,2,3,4,5,6,7}))), 1, 1)"),0)</f>
        <v>0</v>
      </c>
      <c r="F23" s="38">
        <v>0</v>
      </c>
      <c r="G23" s="43">
        <v>0</v>
      </c>
      <c r="H23" s="43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>
        <v>80</v>
      </c>
      <c r="Q23">
        <v>0</v>
      </c>
    </row>
    <row r="24" spans="1:17">
      <c r="A24" s="38">
        <v>18</v>
      </c>
      <c r="B24" s="39" t="s">
        <v>111</v>
      </c>
      <c r="C24" s="38">
        <f>COUNTIFS(F24:O24,"&gt;0",$F$3:O$3,"&lt;13")</f>
        <v>0</v>
      </c>
      <c r="D24" s="38">
        <f ca="1">SUMIF($F$3:O$3,"&lt;13",F24:O24)</f>
        <v>0</v>
      </c>
      <c r="E24" s="38">
        <f ca="1">IFERROR(__xludf.DUMMYFUNCTION("ARRAY_CONSTRAIN(ARRAYFORMULA(SUMPRODUCT(LARGE(FILTER(F24:O24, F$3:O$3 &lt; 13),{1,2,3,4,5,6,7}))), 1, 1)"),0)</f>
        <v>0</v>
      </c>
      <c r="F24" s="38">
        <v>0</v>
      </c>
      <c r="G24" s="43">
        <v>0</v>
      </c>
      <c r="H24" s="43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>
        <v>60</v>
      </c>
      <c r="Q24">
        <v>0</v>
      </c>
    </row>
    <row r="25" spans="1:17">
      <c r="A25" s="38">
        <v>19</v>
      </c>
      <c r="B25" s="39" t="s">
        <v>113</v>
      </c>
      <c r="C25" s="38">
        <f>COUNTIFS(F25:O25,"&gt;0",$F$3:O$3,"&lt;13")</f>
        <v>0</v>
      </c>
      <c r="D25" s="38">
        <f ca="1">SUMIF($F$3:O$3,"&lt;13",F25:O25)</f>
        <v>0</v>
      </c>
      <c r="E25" s="38">
        <f ca="1">IFERROR(__xludf.DUMMYFUNCTION("ARRAY_CONSTRAIN(ARRAYFORMULA(SUMPRODUCT(LARGE(FILTER(F25:O25, F$3:O$3 &lt; 13),{1,2,3,4,5,6,7}))), 1, 1)"),0)</f>
        <v>0</v>
      </c>
      <c r="F25" s="38">
        <v>0</v>
      </c>
      <c r="G25" s="43">
        <v>0</v>
      </c>
      <c r="H25" s="43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>
        <v>60</v>
      </c>
      <c r="Q25">
        <v>0</v>
      </c>
    </row>
    <row r="26" spans="1:17">
      <c r="A26" s="38">
        <v>20</v>
      </c>
      <c r="B26" s="39" t="s">
        <v>607</v>
      </c>
      <c r="C26" s="38">
        <f>COUNTIFS(F26:O26,"&gt;0",$F$3:O$3,"&lt;13")</f>
        <v>0</v>
      </c>
      <c r="D26" s="38">
        <f ca="1">SUMIF($F$3:O$3,"&lt;13",F26:O26)</f>
        <v>0</v>
      </c>
      <c r="E26" s="38">
        <f ca="1">IFERROR(__xludf.DUMMYFUNCTION("ARRAY_CONSTRAIN(ARRAYFORMULA(SUMPRODUCT(LARGE(FILTER(F26:O26, F$3:O$3 &lt; 13),{1,2,3,4,5,6,7}))), 1, 1)"),0)</f>
        <v>0</v>
      </c>
      <c r="F26" s="38">
        <v>0</v>
      </c>
      <c r="G26" s="43">
        <v>0</v>
      </c>
      <c r="H26" s="43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>
        <v>0</v>
      </c>
      <c r="Q26">
        <v>0</v>
      </c>
    </row>
    <row r="27" spans="1:17">
      <c r="A27" s="38">
        <v>21</v>
      </c>
      <c r="B27" s="41" t="s">
        <v>129</v>
      </c>
      <c r="C27" s="38">
        <f>COUNTIFS(F27:O27,"&gt;0",$F$3:O$3,"&lt;13")</f>
        <v>0</v>
      </c>
      <c r="D27" s="38">
        <f ca="1">SUMIF($F$3:O$3,"&lt;13",F27:O27)</f>
        <v>0</v>
      </c>
      <c r="E27" s="38">
        <f ca="1">IFERROR(__xludf.DUMMYFUNCTION("ARRAY_CONSTRAIN(ARRAYFORMULA(SUMPRODUCT(LARGE(FILTER(F27:O27, F$3:O$3 &lt; 13),{1,2,3,4,5,6,7}))), 1, 1)"),0)</f>
        <v>0</v>
      </c>
      <c r="F27" s="38">
        <v>0</v>
      </c>
      <c r="G27" s="43">
        <v>0</v>
      </c>
      <c r="H27" s="43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>
        <v>50</v>
      </c>
      <c r="Q27">
        <v>0</v>
      </c>
    </row>
    <row r="28" spans="1:17">
      <c r="A28" s="38">
        <v>22</v>
      </c>
      <c r="B28" s="39" t="s">
        <v>124</v>
      </c>
      <c r="C28" s="38">
        <f>COUNTIFS(F28:O28,"&gt;0",$F$3:O$3,"&lt;13")</f>
        <v>0</v>
      </c>
      <c r="D28" s="38">
        <f ca="1">SUMIF($F$3:O$3,"&lt;13",F28:O28)</f>
        <v>0</v>
      </c>
      <c r="E28" s="38">
        <f ca="1">IFERROR(__xludf.DUMMYFUNCTION("ARRAY_CONSTRAIN(ARRAYFORMULA(SUMPRODUCT(LARGE(FILTER(F28:O28, F$3:O$3 &lt; 13),{1,2,3,4,5,6,7}))), 1, 1)"),0)</f>
        <v>0</v>
      </c>
      <c r="F28" s="38">
        <v>0</v>
      </c>
      <c r="G28" s="43">
        <v>0</v>
      </c>
      <c r="H28" s="43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>
        <v>0</v>
      </c>
      <c r="Q28">
        <v>0</v>
      </c>
    </row>
    <row r="29" spans="1:17">
      <c r="A29" s="38">
        <v>23</v>
      </c>
      <c r="B29" s="41" t="s">
        <v>176</v>
      </c>
      <c r="C29" s="38">
        <f>COUNTIFS(F29:O29,"&gt;0",$F$3:O$3,"&lt;13")</f>
        <v>0</v>
      </c>
      <c r="D29" s="38">
        <f ca="1">SUMIF($F$3:O$3,"&lt;13",F29:O29)</f>
        <v>0</v>
      </c>
      <c r="E29" s="38">
        <f ca="1">IFERROR(__xludf.DUMMYFUNCTION("ARRAY_CONSTRAIN(ARRAYFORMULA(SUMPRODUCT(LARGE(FILTER(F29:O29, F$3:O$3 &lt; 13),{1,2,3,4,5,6,7}))), 1, 1)"),0)</f>
        <v>0</v>
      </c>
      <c r="F29" s="38">
        <v>0</v>
      </c>
      <c r="G29" s="43">
        <v>0</v>
      </c>
      <c r="H29" s="43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>
        <v>0</v>
      </c>
      <c r="Q29">
        <v>0</v>
      </c>
    </row>
    <row r="30" spans="1:17">
      <c r="A30" s="38">
        <v>24</v>
      </c>
      <c r="B30" s="41" t="s">
        <v>170</v>
      </c>
      <c r="C30" s="38">
        <f>COUNTIFS(F30:O30,"&gt;0",$F$3:O$3,"&lt;13")</f>
        <v>0</v>
      </c>
      <c r="D30" s="38">
        <f ca="1">SUMIF($F$3:O$3,"&lt;13",F30:O30)</f>
        <v>0</v>
      </c>
      <c r="E30" s="38">
        <f ca="1">IFERROR(__xludf.DUMMYFUNCTION("ARRAY_CONSTRAIN(ARRAYFORMULA(SUMPRODUCT(LARGE(FILTER(F30:O30, F$3:O$3 &lt; 13),{1,2,3,4,5,6,7}))), 1, 1)"),0)</f>
        <v>0</v>
      </c>
      <c r="F30" s="38">
        <v>0</v>
      </c>
      <c r="G30" s="43">
        <v>0</v>
      </c>
      <c r="H30" s="43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>
        <v>0</v>
      </c>
      <c r="Q30">
        <v>0</v>
      </c>
    </row>
    <row r="31" spans="1:17">
      <c r="A31" s="38">
        <v>25</v>
      </c>
      <c r="B31" s="41" t="s">
        <v>185</v>
      </c>
      <c r="C31" s="38">
        <f>COUNTIFS(F31:O31,"&gt;0",$F$3:O$3,"&lt;13")</f>
        <v>0</v>
      </c>
      <c r="D31" s="38">
        <f ca="1">SUMIF($F$3:O$3,"&lt;13",F31:O31)</f>
        <v>0</v>
      </c>
      <c r="E31" s="38">
        <f ca="1">IFERROR(__xludf.DUMMYFUNCTION("ARRAY_CONSTRAIN(ARRAYFORMULA(SUMPRODUCT(LARGE(FILTER(F31:O31, F$3:O$3 &lt; 13),{1,2,3,4,5,6,7}))), 1, 1)"),0)</f>
        <v>0</v>
      </c>
      <c r="F31" s="38">
        <v>0</v>
      </c>
      <c r="G31" s="43">
        <v>0</v>
      </c>
      <c r="H31" s="43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>
        <v>0</v>
      </c>
      <c r="Q31">
        <v>100</v>
      </c>
    </row>
    <row r="32" spans="1:17">
      <c r="A32" s="38">
        <v>26</v>
      </c>
      <c r="B32" s="39" t="s">
        <v>24</v>
      </c>
      <c r="C32" s="38">
        <f>COUNTIFS(F32:O32,"&gt;0",$F$3:O$3,"&lt;13")</f>
        <v>0</v>
      </c>
      <c r="D32" s="38">
        <f ca="1">SUMIF($F$3:O$3,"&lt;13",F32:O32)</f>
        <v>0</v>
      </c>
      <c r="E32" s="38">
        <f ca="1">IFERROR(__xludf.DUMMYFUNCTION("ARRAY_CONSTRAIN(ARRAYFORMULA(SUMPRODUCT(LARGE(FILTER(F32:O32, F$3:O$3 &lt; 13),{1,2,3,4,5,6,7}))), 1, 1)"),0)</f>
        <v>0</v>
      </c>
      <c r="F32" s="38">
        <v>0</v>
      </c>
      <c r="G32" s="43">
        <v>0</v>
      </c>
      <c r="H32" s="43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>
        <v>0</v>
      </c>
      <c r="Q32">
        <v>0</v>
      </c>
    </row>
    <row r="33" spans="1:17">
      <c r="A33" s="38">
        <v>27</v>
      </c>
      <c r="B33" s="41" t="s">
        <v>198</v>
      </c>
      <c r="C33" s="38">
        <f>COUNTIFS(F33:O33,"&gt;0",$F$3:O$3,"&lt;13")</f>
        <v>0</v>
      </c>
      <c r="D33" s="38">
        <f ca="1">SUMIF($F$3:O$3,"&lt;13",F33:O33)</f>
        <v>0</v>
      </c>
      <c r="E33" s="38">
        <f ca="1">IFERROR(__xludf.DUMMYFUNCTION("ARRAY_CONSTRAIN(ARRAYFORMULA(SUMPRODUCT(LARGE(FILTER(F33:O33, F$3:O$3 &lt; 13),{1,2,3,4,5,6,7}))), 1, 1)"),0)</f>
        <v>0</v>
      </c>
      <c r="F33" s="38">
        <v>0</v>
      </c>
      <c r="G33" s="43">
        <v>0</v>
      </c>
      <c r="H33" s="43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>
        <v>0</v>
      </c>
      <c r="Q33">
        <v>0</v>
      </c>
    </row>
    <row r="34" spans="1:17">
      <c r="A34" s="38">
        <v>28</v>
      </c>
      <c r="B34" s="41" t="s">
        <v>154</v>
      </c>
      <c r="C34" s="38">
        <f>COUNTIFS(F34:O34,"&gt;0",$F$3:O$3,"&lt;13")</f>
        <v>0</v>
      </c>
      <c r="D34" s="38">
        <f ca="1">SUMIF($F$3:O$3,"&lt;13",F34:O34)</f>
        <v>0</v>
      </c>
      <c r="E34" s="38">
        <f ca="1">IFERROR(__xludf.DUMMYFUNCTION("ARRAY_CONSTRAIN(ARRAYFORMULA(SUMPRODUCT(LARGE(FILTER(F34:O34, F$3:O$3 &lt; 13),{1,2,3,4,5,6,7}))), 1, 1)"),0)</f>
        <v>0</v>
      </c>
      <c r="F34" s="38">
        <v>0</v>
      </c>
      <c r="G34" s="43">
        <v>0</v>
      </c>
      <c r="H34" s="43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>
        <v>0</v>
      </c>
      <c r="Q34">
        <v>0</v>
      </c>
    </row>
    <row r="35" spans="1:17">
      <c r="A35" s="38">
        <v>29</v>
      </c>
      <c r="B35" s="41" t="s">
        <v>491</v>
      </c>
      <c r="C35" s="38">
        <f>COUNTIFS(F35:O35,"&gt;0",$F$3:O$3,"&lt;13")</f>
        <v>0</v>
      </c>
      <c r="D35" s="38">
        <f ca="1">SUMIF($F$3:O$3,"&lt;13",F35:O35)</f>
        <v>0</v>
      </c>
      <c r="E35" s="38">
        <f ca="1">IFERROR(__xludf.DUMMYFUNCTION("ARRAY_CONSTRAIN(ARRAYFORMULA(SUMPRODUCT(LARGE(FILTER(F35:O35, F$3:O$3 &lt; 13),{1,2,3,4,5,6,7}))), 1, 1)"),0)</f>
        <v>0</v>
      </c>
      <c r="F35" s="38">
        <v>0</v>
      </c>
      <c r="G35" s="43">
        <v>0</v>
      </c>
      <c r="H35" s="43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>
        <v>0</v>
      </c>
      <c r="Q35">
        <v>0</v>
      </c>
    </row>
    <row r="36" spans="1:17">
      <c r="A36" s="38">
        <v>30</v>
      </c>
      <c r="B36" s="41" t="s">
        <v>197</v>
      </c>
      <c r="C36" s="38">
        <f>COUNTIFS(F36:O36,"&gt;0",$F$3:O$3,"&lt;13")</f>
        <v>0</v>
      </c>
      <c r="D36" s="38">
        <f ca="1">SUMIF($F$3:O$3,"&lt;13",F36:O36)</f>
        <v>0</v>
      </c>
      <c r="E36" s="38">
        <f ca="1">IFERROR(__xludf.DUMMYFUNCTION("ARRAY_CONSTRAIN(ARRAYFORMULA(SUMPRODUCT(LARGE(FILTER(F36:O36, F$3:O$3 &lt; 13),{1,2,3,4,5,6,7}))), 1, 1)"),0)</f>
        <v>0</v>
      </c>
      <c r="F36" s="38">
        <v>0</v>
      </c>
      <c r="G36" s="43">
        <v>0</v>
      </c>
      <c r="H36" s="43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>
        <v>0</v>
      </c>
      <c r="Q36">
        <v>0</v>
      </c>
    </row>
    <row r="37" spans="1:17">
      <c r="A37" s="38">
        <v>31</v>
      </c>
      <c r="B37" s="39" t="s">
        <v>192</v>
      </c>
      <c r="C37" s="38">
        <f>COUNTIFS(F37:O37,"&gt;0",$F$3:O$3,"&lt;13")</f>
        <v>0</v>
      </c>
      <c r="D37" s="38">
        <f ca="1">SUMIF($F$3:O$3,"&lt;13",F37:O37)</f>
        <v>0</v>
      </c>
      <c r="E37" s="38">
        <f ca="1">IFERROR(__xludf.DUMMYFUNCTION("ARRAY_CONSTRAIN(ARRAYFORMULA(SUMPRODUCT(LARGE(FILTER(F37:O37, F$3:O$3 &lt; 13),{1,2,3,4,5,6,7}))), 1, 1)"),0)</f>
        <v>0</v>
      </c>
      <c r="F37" s="38">
        <v>0</v>
      </c>
      <c r="G37" s="43">
        <v>0</v>
      </c>
      <c r="H37" s="43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>
        <v>0</v>
      </c>
      <c r="Q37">
        <v>0</v>
      </c>
    </row>
    <row r="38" spans="1:17">
      <c r="A38" s="38">
        <v>32</v>
      </c>
      <c r="B38" s="39" t="s">
        <v>489</v>
      </c>
      <c r="C38" s="38">
        <f>COUNTIFS(F38:O38,"&gt;0",$F$3:O$3,"&lt;13")</f>
        <v>0</v>
      </c>
      <c r="D38" s="38">
        <f ca="1">SUMIF($F$3:O$3,"&lt;13",F38:O38)</f>
        <v>0</v>
      </c>
      <c r="E38" s="38">
        <f ca="1">IFERROR(__xludf.DUMMYFUNCTION("ARRAY_CONSTRAIN(ARRAYFORMULA(SUMPRODUCT(LARGE(FILTER(F38:O38, F$3:O$3 &lt; 13),{1,2,3,4,5,6,7}))), 1, 1)"),0)</f>
        <v>0</v>
      </c>
      <c r="F38" s="38">
        <v>0</v>
      </c>
      <c r="G38" s="43">
        <v>0</v>
      </c>
      <c r="H38" s="43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>
        <v>0</v>
      </c>
      <c r="Q38">
        <v>0</v>
      </c>
    </row>
    <row r="39" spans="1:17">
      <c r="A39" s="38">
        <v>33</v>
      </c>
      <c r="B39" s="41" t="s">
        <v>190</v>
      </c>
      <c r="C39" s="38">
        <f>COUNTIFS(F39:O39,"&gt;0",$F$3:O$3,"&lt;13")</f>
        <v>0</v>
      </c>
      <c r="D39" s="38">
        <f ca="1">SUMIF($F$3:O$3,"&lt;13",F39:O39)</f>
        <v>0</v>
      </c>
      <c r="E39" s="38">
        <f ca="1">IFERROR(__xludf.DUMMYFUNCTION("ARRAY_CONSTRAIN(ARRAYFORMULA(SUMPRODUCT(LARGE(FILTER(F39:O39, F$3:O$3 &lt; 13),{1,2,3,4,5,6,7}))), 1, 1)"),0)</f>
        <v>0</v>
      </c>
      <c r="F39" s="38">
        <v>0</v>
      </c>
      <c r="G39" s="43">
        <v>0</v>
      </c>
      <c r="H39" s="43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>
        <v>0</v>
      </c>
      <c r="Q39">
        <v>0</v>
      </c>
    </row>
    <row r="40" spans="1:17">
      <c r="A40" s="38">
        <v>34</v>
      </c>
      <c r="B40" s="41" t="s">
        <v>608</v>
      </c>
      <c r="C40" s="38">
        <f>COUNTIFS(F40:O40,"&gt;0",$F$3:O$3,"&lt;13")</f>
        <v>0</v>
      </c>
      <c r="D40" s="38">
        <f ca="1">SUMIF($F$3:O$3,"&lt;13",F40:O40)</f>
        <v>0</v>
      </c>
      <c r="E40" s="38">
        <f ca="1">IFERROR(__xludf.DUMMYFUNCTION("ARRAY_CONSTRAIN(ARRAYFORMULA(SUMPRODUCT(LARGE(FILTER(F40:O40, F$3:O$3 &lt; 13),{1,2,3,4,5,6,7}))), 1, 1)"),0)</f>
        <v>0</v>
      </c>
      <c r="F40" s="38">
        <v>0</v>
      </c>
      <c r="G40" s="43">
        <v>0</v>
      </c>
      <c r="H40" s="43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>
        <v>0</v>
      </c>
      <c r="Q40">
        <v>0</v>
      </c>
    </row>
    <row r="41" spans="1:17">
      <c r="A41" s="38">
        <v>35</v>
      </c>
      <c r="B41" s="41" t="s">
        <v>172</v>
      </c>
      <c r="C41" s="38">
        <f>COUNTIFS(F41:O41,"&gt;0",$F$3:O$3,"&lt;13")</f>
        <v>0</v>
      </c>
      <c r="D41" s="38">
        <f ca="1">SUMIF($F$3:O$3,"&lt;13",F41:O41)</f>
        <v>0</v>
      </c>
      <c r="E41" s="38">
        <f ca="1">IFERROR(__xludf.DUMMYFUNCTION("ARRAY_CONSTRAIN(ARRAYFORMULA(SUMPRODUCT(LARGE(FILTER(F41:O41, F$3:O$3 &lt; 13),{1,2,3,4,5,6,7}))), 1, 1)"),0)</f>
        <v>0</v>
      </c>
      <c r="F41" s="38">
        <v>0</v>
      </c>
      <c r="G41" s="43">
        <v>0</v>
      </c>
      <c r="H41" s="43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>
        <v>50</v>
      </c>
      <c r="Q41">
        <v>0</v>
      </c>
    </row>
    <row r="42" spans="1:17">
      <c r="A42" s="38">
        <v>36</v>
      </c>
      <c r="B42" s="39" t="s">
        <v>137</v>
      </c>
      <c r="C42" s="38">
        <f>COUNTIFS(F42:O42,"&gt;0",$F$3:O$3,"&lt;13")</f>
        <v>0</v>
      </c>
      <c r="D42" s="38">
        <f ca="1">SUMIF($F$3:O$3,"&lt;13",F42:O42)</f>
        <v>0</v>
      </c>
      <c r="E42" s="38">
        <f ca="1">IFERROR(__xludf.DUMMYFUNCTION("ARRAY_CONSTRAIN(ARRAYFORMULA(SUMPRODUCT(LARGE(FILTER(F42:O42, F$3:O$3 &lt; 13),{1,2,3,4,5,6,7}))), 1, 1)"),0)</f>
        <v>0</v>
      </c>
      <c r="F42" s="38">
        <v>0</v>
      </c>
      <c r="G42" s="43">
        <v>0</v>
      </c>
      <c r="H42" s="43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>
        <v>0</v>
      </c>
      <c r="Q42">
        <v>0</v>
      </c>
    </row>
    <row r="43" spans="1:17">
      <c r="A43" s="38">
        <v>37</v>
      </c>
      <c r="B43" s="41" t="s">
        <v>609</v>
      </c>
      <c r="C43" s="38">
        <f>COUNTIFS(F43:O43,"&gt;0",$F$3:O$3,"&lt;13")</f>
        <v>0</v>
      </c>
      <c r="D43" s="38">
        <f ca="1">SUMIF($F$3:O$3,"&lt;13",F43:O43)</f>
        <v>0</v>
      </c>
      <c r="E43" s="38">
        <f ca="1">IFERROR(__xludf.DUMMYFUNCTION("ARRAY_CONSTRAIN(ARRAYFORMULA(SUMPRODUCT(LARGE(FILTER(F43:O43, F$3:O$3 &lt; 13),{1,2,3,4,5,6,7}))), 1, 1)"),0)</f>
        <v>0</v>
      </c>
      <c r="F43" s="38">
        <v>0</v>
      </c>
      <c r="G43" s="43">
        <v>0</v>
      </c>
      <c r="H43" s="43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>
        <v>0</v>
      </c>
      <c r="Q43">
        <v>0</v>
      </c>
    </row>
    <row r="44" spans="1:17">
      <c r="A44" s="38">
        <v>38</v>
      </c>
      <c r="B44" s="39" t="s">
        <v>208</v>
      </c>
      <c r="C44" s="38">
        <f>COUNTIFS(F44:O44,"&gt;0",$F$3:O$3,"&lt;13")</f>
        <v>0</v>
      </c>
      <c r="D44" s="38">
        <f ca="1">SUMIF($F$3:O$3,"&lt;13",F44:O44)</f>
        <v>0</v>
      </c>
      <c r="E44" s="38">
        <f ca="1">IFERROR(__xludf.DUMMYFUNCTION("ARRAY_CONSTRAIN(ARRAYFORMULA(SUMPRODUCT(LARGE(FILTER(F44:O44, F$3:O$3 &lt; 13),{1,2,3,4,5,6,7}))), 1, 1)"),0)</f>
        <v>0</v>
      </c>
      <c r="F44" s="38">
        <v>0</v>
      </c>
      <c r="G44" s="43">
        <v>0</v>
      </c>
      <c r="H44" s="43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>
        <v>0</v>
      </c>
      <c r="Q44">
        <v>40</v>
      </c>
    </row>
    <row r="45" spans="1:17">
      <c r="A45" s="38">
        <v>39</v>
      </c>
      <c r="B45" s="41" t="s">
        <v>610</v>
      </c>
      <c r="C45" s="38">
        <f>COUNTIFS(F45:O45,"&gt;0",$F$3:O$3,"&lt;13")</f>
        <v>0</v>
      </c>
      <c r="D45" s="38">
        <f ca="1">SUMIF($F$3:O$3,"&lt;13",F45:O45)</f>
        <v>0</v>
      </c>
      <c r="E45" s="38">
        <f ca="1">IFERROR(__xludf.DUMMYFUNCTION("ARRAY_CONSTRAIN(ARRAYFORMULA(SUMPRODUCT(LARGE(FILTER(F45:O45, F$3:O$3 &lt; 13),{1,2,3,4,5,6,7}))), 1, 1)"),0)</f>
        <v>0</v>
      </c>
      <c r="F45" s="38">
        <v>0</v>
      </c>
      <c r="G45" s="43">
        <v>0</v>
      </c>
      <c r="H45" s="43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>
        <v>0</v>
      </c>
      <c r="Q45">
        <v>0</v>
      </c>
    </row>
    <row r="46" spans="1:17">
      <c r="A46" s="38">
        <v>40</v>
      </c>
      <c r="B46" s="41" t="s">
        <v>611</v>
      </c>
      <c r="C46" s="38">
        <f>COUNTIFS(F46:O46,"&gt;0",$F$3:O$3,"&lt;13")</f>
        <v>0</v>
      </c>
      <c r="D46" s="38">
        <f ca="1">SUMIF($F$3:O$3,"&lt;13",F46:O46)</f>
        <v>0</v>
      </c>
      <c r="E46" s="38">
        <f ca="1">IFERROR(__xludf.DUMMYFUNCTION("ARRAY_CONSTRAIN(ARRAYFORMULA(SUMPRODUCT(LARGE(FILTER(F46:O46, F$3:O$3 &lt; 13),{1,2,3,4,5,6,7}))), 1, 1)"),0)</f>
        <v>0</v>
      </c>
      <c r="F46" s="38">
        <v>0</v>
      </c>
      <c r="G46" s="43">
        <v>0</v>
      </c>
      <c r="H46" s="43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>
        <v>0</v>
      </c>
      <c r="Q46">
        <v>80</v>
      </c>
    </row>
    <row r="47" spans="1:17">
      <c r="A47" s="38">
        <v>41</v>
      </c>
      <c r="B47" s="41" t="s">
        <v>177</v>
      </c>
      <c r="C47" s="38">
        <f>COUNTIFS(F47:O47,"&gt;0",$F$3:O$3,"&lt;13")</f>
        <v>0</v>
      </c>
      <c r="D47" s="38">
        <f ca="1">SUMIF($F$3:O$3,"&lt;13",F47:O47)</f>
        <v>0</v>
      </c>
      <c r="E47" s="38">
        <f ca="1">IFERROR(__xludf.DUMMYFUNCTION("ARRAY_CONSTRAIN(ARRAYFORMULA(SUMPRODUCT(LARGE(FILTER(F47:O47, F$3:O$3 &lt; 13),{1,2,3,4,5,6,7}))), 1, 1)"),0)</f>
        <v>0</v>
      </c>
      <c r="F47" s="38">
        <v>0</v>
      </c>
      <c r="G47" s="43">
        <v>0</v>
      </c>
      <c r="H47" s="43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>
        <v>0</v>
      </c>
      <c r="Q47">
        <v>0</v>
      </c>
    </row>
    <row r="48" spans="1:17">
      <c r="A48" s="38">
        <v>42</v>
      </c>
      <c r="B48" s="41" t="s">
        <v>209</v>
      </c>
      <c r="C48" s="38">
        <f>COUNTIFS(F48:O48,"&gt;0",$F$3:O$3,"&lt;13")</f>
        <v>0</v>
      </c>
      <c r="D48" s="38">
        <f ca="1">SUMIF($F$3:O$3,"&lt;13",F48:O48)</f>
        <v>0</v>
      </c>
      <c r="E48" s="38">
        <f ca="1">IFERROR(__xludf.DUMMYFUNCTION("ARRAY_CONSTRAIN(ARRAYFORMULA(SUMPRODUCT(LARGE(FILTER(F48:O48, F$3:O$3 &lt; 13),{1,2,3,4,5,6,7}))), 1, 1)"),0)</f>
        <v>0</v>
      </c>
      <c r="F48" s="38">
        <v>0</v>
      </c>
      <c r="G48" s="43">
        <v>0</v>
      </c>
      <c r="H48" s="43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>
        <v>0</v>
      </c>
      <c r="Q48">
        <v>60</v>
      </c>
    </row>
    <row r="49" spans="1:17">
      <c r="A49" s="38">
        <v>43</v>
      </c>
      <c r="B49" s="41" t="s">
        <v>612</v>
      </c>
      <c r="C49" s="38">
        <f>COUNTIFS(F49:O49,"&gt;0",$F$3:O$3,"&lt;13")</f>
        <v>0</v>
      </c>
      <c r="D49" s="38">
        <f ca="1">SUMIF($F$3:O$3,"&lt;13",F49:O49)</f>
        <v>0</v>
      </c>
      <c r="E49" s="38">
        <f ca="1">IFERROR(__xludf.DUMMYFUNCTION("ARRAY_CONSTRAIN(ARRAYFORMULA(SUMPRODUCT(LARGE(FILTER(F49:O49, F$3:O$3 &lt; 13),{1,2,3,4,5,6,7}))), 1, 1)"),0)</f>
        <v>0</v>
      </c>
      <c r="F49" s="38">
        <v>0</v>
      </c>
      <c r="G49" s="43">
        <v>0</v>
      </c>
      <c r="H49" s="43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>
        <v>0</v>
      </c>
      <c r="Q49">
        <v>0</v>
      </c>
    </row>
    <row r="50" spans="1:17">
      <c r="A50" s="38">
        <v>44</v>
      </c>
      <c r="B50" s="41" t="s">
        <v>257</v>
      </c>
      <c r="C50" s="38">
        <f>COUNTIFS(F50:O50,"&gt;0",$F$3:O$3,"&lt;13")</f>
        <v>0</v>
      </c>
      <c r="D50" s="38">
        <f ca="1">SUMIF($F$3:O$3,"&lt;13",F50:O50)</f>
        <v>0</v>
      </c>
      <c r="E50" s="38">
        <f ca="1">IFERROR(__xludf.DUMMYFUNCTION("ARRAY_CONSTRAIN(ARRAYFORMULA(SUMPRODUCT(LARGE(FILTER(F50:O50, F$3:O$3 &lt; 13),{1,2,3,4,5,6,7}))), 1, 1)"),0)</f>
        <v>0</v>
      </c>
      <c r="F50" s="38">
        <v>0</v>
      </c>
      <c r="G50" s="43">
        <v>0</v>
      </c>
      <c r="H50" s="43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>
        <v>0</v>
      </c>
      <c r="Q50">
        <v>0</v>
      </c>
    </row>
    <row r="51" spans="1:17">
      <c r="A51" s="38">
        <v>45</v>
      </c>
      <c r="B51" s="41" t="s">
        <v>283</v>
      </c>
      <c r="C51" s="38">
        <f>COUNTIFS(F51:O51,"&gt;0",$F$3:O$3,"&lt;13")</f>
        <v>0</v>
      </c>
      <c r="D51" s="38">
        <f ca="1">SUMIF($F$3:O$3,"&lt;13",F51:O51)</f>
        <v>0</v>
      </c>
      <c r="E51" s="38">
        <f ca="1">IFERROR(__xludf.DUMMYFUNCTION("ARRAY_CONSTRAIN(ARRAYFORMULA(SUMPRODUCT(LARGE(FILTER(F51:O51, F$3:O$3 &lt; 13),{1,2,3,4,5,6,7}))), 1, 1)"),0)</f>
        <v>0</v>
      </c>
      <c r="F51" s="38">
        <v>0</v>
      </c>
      <c r="G51" s="43">
        <v>0</v>
      </c>
      <c r="H51" s="43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>
        <v>0</v>
      </c>
      <c r="Q51">
        <v>0</v>
      </c>
    </row>
    <row r="52" spans="1:17">
      <c r="A52" s="38">
        <v>46</v>
      </c>
      <c r="B52" s="41" t="s">
        <v>251</v>
      </c>
      <c r="C52" s="38">
        <f>COUNTIFS(F52:O52,"&gt;0",$F$3:O$3,"&lt;13")</f>
        <v>0</v>
      </c>
      <c r="D52" s="38">
        <f ca="1">SUMIF($F$3:O$3,"&lt;13",F52:O52)</f>
        <v>0</v>
      </c>
      <c r="E52" s="38">
        <f ca="1">IFERROR(__xludf.DUMMYFUNCTION("ARRAY_CONSTRAIN(ARRAYFORMULA(SUMPRODUCT(LARGE(FILTER(F52:O52, F$3:O$3 &lt; 13),{1,2,3,4,5,6,7}))), 1, 1)"),0)</f>
        <v>0</v>
      </c>
      <c r="F52" s="38">
        <v>0</v>
      </c>
      <c r="G52" s="43">
        <v>0</v>
      </c>
      <c r="H52" s="43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>
        <v>0</v>
      </c>
      <c r="Q52">
        <v>90</v>
      </c>
    </row>
    <row r="53" spans="1:17">
      <c r="A53" s="38">
        <v>47</v>
      </c>
      <c r="B53" s="41" t="s">
        <v>263</v>
      </c>
      <c r="C53" s="38">
        <f>COUNTIFS(F53:O53,"&gt;0",$F$3:O$3,"&lt;13")</f>
        <v>0</v>
      </c>
      <c r="D53" s="38">
        <f ca="1">SUMIF($F$3:O$3,"&lt;13",F53:O53)</f>
        <v>0</v>
      </c>
      <c r="E53" s="38">
        <f ca="1">IFERROR(__xludf.DUMMYFUNCTION("ARRAY_CONSTRAIN(ARRAYFORMULA(SUMPRODUCT(LARGE(FILTER(F53:O53, F$3:O$3 &lt; 13),{1,2,3,4,5,6,7}))), 1, 1)"),0)</f>
        <v>0</v>
      </c>
      <c r="F53" s="38">
        <v>0</v>
      </c>
      <c r="G53" s="43">
        <v>0</v>
      </c>
      <c r="H53" s="43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>
        <v>0</v>
      </c>
      <c r="Q53">
        <v>0</v>
      </c>
    </row>
    <row r="54" spans="1:17">
      <c r="A54" s="38">
        <v>48</v>
      </c>
      <c r="B54" s="41" t="s">
        <v>190</v>
      </c>
      <c r="C54" s="38">
        <f>COUNTIFS(F54:O54,"&gt;0",$F$3:O$3,"&lt;13")</f>
        <v>0</v>
      </c>
      <c r="D54" s="38">
        <f ca="1">SUMIF($F$3:O$3,"&lt;13",F54:O54)</f>
        <v>0</v>
      </c>
      <c r="E54" s="38">
        <f ca="1">IFERROR(__xludf.DUMMYFUNCTION("ARRAY_CONSTRAIN(ARRAYFORMULA(SUMPRODUCT(LARGE(FILTER(F54:O54, F$3:O$3 &lt; 13),{1,2,3,4,5,6,7}))), 1, 1)"),0)</f>
        <v>0</v>
      </c>
      <c r="F54" s="38">
        <v>0</v>
      </c>
      <c r="G54" s="43">
        <v>0</v>
      </c>
      <c r="H54" s="43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>
        <v>0</v>
      </c>
      <c r="Q54">
        <v>0</v>
      </c>
    </row>
    <row r="55" spans="1:17">
      <c r="A55" s="38">
        <v>49</v>
      </c>
      <c r="B55" s="41" t="s">
        <v>471</v>
      </c>
      <c r="C55" s="38">
        <f>COUNTIFS(F55:O55,"&gt;0",$F$3:O$3,"&lt;13")</f>
        <v>0</v>
      </c>
      <c r="D55" s="38">
        <f ca="1">SUMIF($F$3:O$3,"&lt;13",F55:O55)</f>
        <v>0</v>
      </c>
      <c r="E55" s="38">
        <f ca="1">IFERROR(__xludf.DUMMYFUNCTION("ARRAY_CONSTRAIN(ARRAYFORMULA(SUMPRODUCT(LARGE(FILTER(F55:O55, F$3:O$3 &lt; 13),{1,2,3,4,5,6,7}))), 1, 1)"),0)</f>
        <v>0</v>
      </c>
      <c r="F55" s="38">
        <v>0</v>
      </c>
      <c r="G55" s="43">
        <v>0</v>
      </c>
      <c r="H55" s="43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>
        <v>0</v>
      </c>
      <c r="Q55">
        <v>0</v>
      </c>
    </row>
    <row r="56" spans="1:17">
      <c r="A56" s="38">
        <v>50</v>
      </c>
      <c r="B56" s="41" t="s">
        <v>184</v>
      </c>
      <c r="C56" s="38">
        <f>COUNTIFS(F56:O56,"&gt;0",$F$3:O$3,"&lt;13")</f>
        <v>0</v>
      </c>
      <c r="D56" s="38">
        <f ca="1">SUMIF($F$3:O$3,"&lt;13",F56:O56)</f>
        <v>0</v>
      </c>
      <c r="E56" s="38">
        <f ca="1">IFERROR(__xludf.DUMMYFUNCTION("ARRAY_CONSTRAIN(ARRAYFORMULA(SUMPRODUCT(LARGE(FILTER(F56:O56, F$3:O$3 &lt; 13),{1,2,3,4,5,6,7}))), 1, 1)"),0)</f>
        <v>0</v>
      </c>
      <c r="F56" s="38">
        <v>0</v>
      </c>
      <c r="G56" s="43">
        <v>0</v>
      </c>
      <c r="H56" s="43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>
        <v>0</v>
      </c>
      <c r="Q56">
        <v>0</v>
      </c>
    </row>
    <row r="57" spans="1:17">
      <c r="A57" s="38">
        <v>51</v>
      </c>
      <c r="B57" s="41" t="s">
        <v>613</v>
      </c>
      <c r="C57" s="38">
        <f>COUNTIFS(F57:O57,"&gt;0",$F$3:O$3,"&lt;13")</f>
        <v>0</v>
      </c>
      <c r="D57" s="38">
        <f ca="1">SUMIF($F$3:O$3,"&lt;13",F57:O57)</f>
        <v>0</v>
      </c>
      <c r="E57" s="38">
        <f ca="1">IFERROR(__xludf.DUMMYFUNCTION("ARRAY_CONSTRAIN(ARRAYFORMULA(SUMPRODUCT(LARGE(FILTER(F57:O57, F$3:O$3 &lt; 13),{1,2,3,4,5,6,7}))), 1, 1)"),0)</f>
        <v>0</v>
      </c>
      <c r="F57" s="38">
        <v>0</v>
      </c>
      <c r="G57" s="43">
        <v>0</v>
      </c>
      <c r="H57" s="43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>
        <v>0</v>
      </c>
      <c r="Q57">
        <v>0</v>
      </c>
    </row>
    <row r="58" spans="1:17">
      <c r="A58" s="38">
        <v>52</v>
      </c>
      <c r="B58" s="41" t="s">
        <v>614</v>
      </c>
      <c r="C58" s="38">
        <f>COUNTIFS(F58:O58,"&gt;0",$F$3:O$3,"&lt;13")</f>
        <v>0</v>
      </c>
      <c r="D58" s="38">
        <f ca="1">SUMIF($F$3:O$3,"&lt;13",F58:O58)</f>
        <v>0</v>
      </c>
      <c r="E58" s="38">
        <f ca="1">IFERROR(__xludf.DUMMYFUNCTION("ARRAY_CONSTRAIN(ARRAYFORMULA(SUMPRODUCT(LARGE(FILTER(F58:O58, F$3:O$3 &lt; 13),{1,2,3,4,5,6,7}))), 1, 1)"),0)</f>
        <v>0</v>
      </c>
      <c r="F58" s="38">
        <v>0</v>
      </c>
      <c r="G58" s="43">
        <v>0</v>
      </c>
      <c r="H58" s="43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>
        <v>0</v>
      </c>
      <c r="Q58">
        <v>0</v>
      </c>
    </row>
    <row r="59" spans="1:17">
      <c r="A59" s="38">
        <v>53</v>
      </c>
      <c r="B59" s="39" t="s">
        <v>298</v>
      </c>
      <c r="C59" s="38">
        <f>COUNTIFS(F59:O59,"&gt;0",$F$3:O$3,"&lt;13")</f>
        <v>0</v>
      </c>
      <c r="D59" s="38">
        <f ca="1">SUMIF($F$3:O$3,"&lt;13",F59:O59)</f>
        <v>0</v>
      </c>
      <c r="E59" s="38">
        <f ca="1">IFERROR(__xludf.DUMMYFUNCTION("ARRAY_CONSTRAIN(ARRAYFORMULA(SUMPRODUCT(LARGE(FILTER(F59:O59, F$3:O$3 &lt; 13),{1,2,3,4,5,6,7}))), 1, 1)"),0)</f>
        <v>0</v>
      </c>
      <c r="F59" s="38">
        <v>0</v>
      </c>
      <c r="G59" s="43">
        <v>0</v>
      </c>
      <c r="H59" s="43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>
        <v>70</v>
      </c>
      <c r="Q59">
        <v>0</v>
      </c>
    </row>
    <row r="60" spans="1:17">
      <c r="A60" s="38">
        <v>54</v>
      </c>
      <c r="B60" s="39" t="s">
        <v>189</v>
      </c>
      <c r="C60" s="38">
        <f>COUNTIFS(F60:O60,"&gt;0",$F$3:O$3,"&lt;13")</f>
        <v>0</v>
      </c>
      <c r="D60" s="38">
        <f ca="1">SUMIF($F$3:O$3,"&lt;13",F60:O60)</f>
        <v>0</v>
      </c>
      <c r="E60" s="38">
        <f ca="1">IFERROR(__xludf.DUMMYFUNCTION("ARRAY_CONSTRAIN(ARRAYFORMULA(SUMPRODUCT(LARGE(FILTER(F60:O60, F$3:O$3 &lt; 13),{1,2,3,4,5,6,7}))), 1, 1)"),0)</f>
        <v>0</v>
      </c>
      <c r="F60" s="38">
        <v>0</v>
      </c>
      <c r="G60" s="43">
        <v>0</v>
      </c>
      <c r="H60" s="43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>
        <v>0</v>
      </c>
      <c r="Q60">
        <v>0</v>
      </c>
    </row>
    <row r="61" spans="1:17">
      <c r="A61" s="38">
        <v>55</v>
      </c>
      <c r="B61" s="41" t="s">
        <v>182</v>
      </c>
      <c r="C61" s="38">
        <f>COUNTIFS(F61:O61,"&gt;0",$F$3:O$3,"&lt;13")</f>
        <v>0</v>
      </c>
      <c r="D61" s="38">
        <f ca="1">SUMIF($F$3:O$3,"&lt;13",F61:O61)</f>
        <v>0</v>
      </c>
      <c r="E61" s="38">
        <f ca="1">IFERROR(__xludf.DUMMYFUNCTION("ARRAY_CONSTRAIN(ARRAYFORMULA(SUMPRODUCT(LARGE(FILTER(F61:O61, F$3:O$3 &lt; 13),{1,2,3,4,5,6,7}))), 1, 1)"),0)</f>
        <v>0</v>
      </c>
      <c r="F61" s="38">
        <v>0</v>
      </c>
      <c r="G61" s="43">
        <v>0</v>
      </c>
      <c r="H61" s="43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>
        <v>0</v>
      </c>
      <c r="Q61">
        <v>0</v>
      </c>
    </row>
    <row r="62" spans="1:17">
      <c r="A62" s="38">
        <v>56</v>
      </c>
      <c r="B62" s="41" t="s">
        <v>123</v>
      </c>
      <c r="C62" s="38">
        <f>COUNTIFS(F62:O62,"&gt;0",$F$3:O$3,"&lt;13")</f>
        <v>0</v>
      </c>
      <c r="D62" s="38">
        <f ca="1">SUMIF($F$3:O$3,"&lt;13",F62:O62)</f>
        <v>0</v>
      </c>
      <c r="E62" s="38">
        <f ca="1">IFERROR(__xludf.DUMMYFUNCTION("ARRAY_CONSTRAIN(ARRAYFORMULA(SUMPRODUCT(LARGE(FILTER(F62:O62, F$3:O$3 &lt; 13),{1,2,3,4,5,6,7}))), 1, 1)"),0)</f>
        <v>0</v>
      </c>
      <c r="F62" s="38">
        <v>0</v>
      </c>
      <c r="G62" s="43">
        <v>0</v>
      </c>
      <c r="H62" s="43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>
        <v>40</v>
      </c>
      <c r="Q62">
        <v>0</v>
      </c>
    </row>
    <row r="63" spans="1:17">
      <c r="A63" s="38">
        <v>57</v>
      </c>
      <c r="B63" s="41" t="s">
        <v>178</v>
      </c>
      <c r="C63" s="38">
        <f>COUNTIFS(F63:O63,"&gt;0",$F$3:O$3,"&lt;13")</f>
        <v>0</v>
      </c>
      <c r="D63" s="38">
        <f ca="1">SUMIF($F$3:O$3,"&lt;13",F63:O63)</f>
        <v>0</v>
      </c>
      <c r="E63" s="38">
        <f ca="1">IFERROR(__xludf.DUMMYFUNCTION("ARRAY_CONSTRAIN(ARRAYFORMULA(SUMPRODUCT(LARGE(FILTER(F63:O63, F$3:O$3 &lt; 13),{1,2,3,4,5,6,7}))), 1, 1)"),0)</f>
        <v>0</v>
      </c>
      <c r="F63" s="38">
        <v>0</v>
      </c>
      <c r="G63" s="43">
        <v>0</v>
      </c>
      <c r="H63" s="43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>
        <v>0</v>
      </c>
      <c r="Q63">
        <v>0</v>
      </c>
    </row>
    <row r="64" spans="1:17">
      <c r="A64" s="38">
        <v>58</v>
      </c>
      <c r="B64" s="41" t="s">
        <v>187</v>
      </c>
      <c r="C64" s="38">
        <f>COUNTIFS(F64:O64,"&gt;0",$F$3:O$3,"&lt;13")</f>
        <v>0</v>
      </c>
      <c r="D64" s="38">
        <f ca="1">SUMIF($F$3:O$3,"&lt;13",F64:O64)</f>
        <v>0</v>
      </c>
      <c r="E64" s="38">
        <f ca="1">IFERROR(__xludf.DUMMYFUNCTION("ARRAY_CONSTRAIN(ARRAYFORMULA(SUMPRODUCT(LARGE(FILTER(F64:O64, F$3:O$3 &lt; 13),{1,2,3,4,5,6,7}))), 1, 1)"),0)</f>
        <v>0</v>
      </c>
      <c r="F64" s="38">
        <v>0</v>
      </c>
      <c r="G64" s="43">
        <v>0</v>
      </c>
      <c r="H64" s="43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>
        <v>0</v>
      </c>
      <c r="Q64">
        <v>0</v>
      </c>
    </row>
    <row r="65" spans="1:17">
      <c r="A65" s="38">
        <v>59</v>
      </c>
      <c r="B65" s="41" t="s">
        <v>162</v>
      </c>
      <c r="C65" s="38">
        <f>COUNTIFS(F65:O65,"&gt;0",$F$3:O$3,"&lt;13")</f>
        <v>0</v>
      </c>
      <c r="D65" s="38">
        <f ca="1">SUMIF($F$3:O$3,"&lt;13",F65:O65)</f>
        <v>0</v>
      </c>
      <c r="E65" s="38">
        <f ca="1">IFERROR(__xludf.DUMMYFUNCTION("ARRAY_CONSTRAIN(ARRAYFORMULA(SUMPRODUCT(LARGE(FILTER(F65:O65, F$3:O$3 &lt; 13),{1,2,3,4,5,6,7}))), 1, 1)"),0)</f>
        <v>0</v>
      </c>
      <c r="F65" s="38">
        <v>0</v>
      </c>
      <c r="G65" s="43">
        <v>0</v>
      </c>
      <c r="H65" s="43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>
        <v>50</v>
      </c>
      <c r="Q65">
        <v>0</v>
      </c>
    </row>
    <row r="66" spans="1:17">
      <c r="A66" s="38">
        <v>60</v>
      </c>
      <c r="B66" s="41" t="s">
        <v>155</v>
      </c>
      <c r="C66" s="38">
        <f>COUNTIFS(F66:O66,"&gt;0",$F$3:O$3,"&lt;13")</f>
        <v>0</v>
      </c>
      <c r="D66" s="38">
        <f ca="1">SUMIF($F$3:O$3,"&lt;13",F66:O66)</f>
        <v>0</v>
      </c>
      <c r="E66" s="38">
        <f ca="1">IFERROR(__xludf.DUMMYFUNCTION("ARRAY_CONSTRAIN(ARRAYFORMULA(SUMPRODUCT(LARGE(FILTER(F66:O66, F$3:O$3 &lt; 13),{1,2,3,4,5,6,7}))), 1, 1)"),0)</f>
        <v>0</v>
      </c>
      <c r="F66" s="38">
        <v>0</v>
      </c>
      <c r="G66" s="43">
        <v>0</v>
      </c>
      <c r="H66" s="43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>
        <v>0</v>
      </c>
      <c r="Q66">
        <v>0</v>
      </c>
    </row>
    <row r="67" spans="1:17">
      <c r="A67" s="38">
        <v>61</v>
      </c>
      <c r="B67" s="41" t="s">
        <v>302</v>
      </c>
      <c r="C67" s="38">
        <f>COUNTIFS(F67:O67,"&gt;0",$F$3:O$3,"&lt;13")</f>
        <v>0</v>
      </c>
      <c r="D67" s="38">
        <f ca="1">SUMIF($F$3:O$3,"&lt;13",F67:O67)</f>
        <v>0</v>
      </c>
      <c r="E67" s="38">
        <f ca="1">IFERROR(__xludf.DUMMYFUNCTION("ARRAY_CONSTRAIN(ARRAYFORMULA(SUMPRODUCT(LARGE(FILTER(F67:O67, F$3:O$3 &lt; 13),{1,2,3,4,5,6,7}))), 1, 1)"),0)</f>
        <v>0</v>
      </c>
      <c r="F67" s="38">
        <v>0</v>
      </c>
      <c r="G67" s="43">
        <v>0</v>
      </c>
      <c r="H67" s="43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>
        <v>0</v>
      </c>
      <c r="Q67">
        <v>0</v>
      </c>
    </row>
    <row r="68" spans="1:17">
      <c r="A68" s="38">
        <v>62</v>
      </c>
      <c r="B68" s="41" t="s">
        <v>350</v>
      </c>
      <c r="C68" s="38">
        <f>COUNTIFS(F68:O68,"&gt;0",$F$3:O$3,"&lt;13")</f>
        <v>0</v>
      </c>
      <c r="D68" s="38">
        <f ca="1">SUMIF($F$3:O$3,"&lt;13",F68:O68)</f>
        <v>0</v>
      </c>
      <c r="E68" s="38">
        <f ca="1">IFERROR(__xludf.DUMMYFUNCTION("ARRAY_CONSTRAIN(ARRAYFORMULA(SUMPRODUCT(LARGE(FILTER(F68:O68, F$3:O$3 &lt; 13),{1,2,3,4,5,6,7}))), 1, 1)"),0)</f>
        <v>0</v>
      </c>
      <c r="F68" s="38">
        <v>0</v>
      </c>
      <c r="G68" s="43">
        <v>0</v>
      </c>
      <c r="H68" s="43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>
        <v>0</v>
      </c>
      <c r="Q68">
        <v>0</v>
      </c>
    </row>
    <row r="69" spans="1:17">
      <c r="A69" s="38">
        <v>63</v>
      </c>
      <c r="B69" s="41" t="s">
        <v>306</v>
      </c>
      <c r="C69" s="38">
        <f>COUNTIFS(F69:O69,"&gt;0",$F$3:O$3,"&lt;13")</f>
        <v>0</v>
      </c>
      <c r="D69" s="38">
        <f ca="1">SUMIF($F$3:O$3,"&lt;13",F69:O69)</f>
        <v>0</v>
      </c>
      <c r="E69" s="38">
        <f ca="1">IFERROR(__xludf.DUMMYFUNCTION("ARRAY_CONSTRAIN(ARRAYFORMULA(SUMPRODUCT(LARGE(FILTER(F69:O69, F$3:O$3 &lt; 13),{1,2,3,4,5,6,7}))), 1, 1)"),0)</f>
        <v>0</v>
      </c>
      <c r="F69" s="38">
        <v>0</v>
      </c>
      <c r="G69" s="43">
        <v>0</v>
      </c>
      <c r="H69" s="43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>
        <v>0</v>
      </c>
      <c r="Q69">
        <v>0</v>
      </c>
    </row>
    <row r="70" spans="1:17">
      <c r="A70" s="38">
        <v>64</v>
      </c>
      <c r="B70" s="39" t="s">
        <v>218</v>
      </c>
      <c r="C70" s="38">
        <f>COUNTIFS(F70:O70,"&gt;0",$F$3:O$3,"&lt;13")</f>
        <v>0</v>
      </c>
      <c r="D70" s="38">
        <f ca="1">SUMIF($F$3:O$3,"&lt;13",F70:O70)</f>
        <v>0</v>
      </c>
      <c r="E70" s="38">
        <f ca="1">IFERROR(__xludf.DUMMYFUNCTION("ARRAY_CONSTRAIN(ARRAYFORMULA(SUMPRODUCT(LARGE(FILTER(F70:O70, F$3:O$3 &lt; 13),{1,2,3,4,5,6,7}))), 1, 1)"),0)</f>
        <v>0</v>
      </c>
      <c r="F70" s="38">
        <v>0</v>
      </c>
      <c r="G70" s="43">
        <v>0</v>
      </c>
      <c r="H70" s="43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>
        <v>0</v>
      </c>
      <c r="Q70">
        <v>0</v>
      </c>
    </row>
    <row r="71" spans="1:17">
      <c r="A71" s="38">
        <v>65</v>
      </c>
      <c r="B71" s="41" t="s">
        <v>299</v>
      </c>
      <c r="C71" s="38">
        <f>COUNTIFS(F71:O71,"&gt;0",$F$3:O$3,"&lt;13")</f>
        <v>0</v>
      </c>
      <c r="D71" s="38">
        <f ca="1">SUMIF($F$3:O$3,"&lt;13",F71:O71)</f>
        <v>0</v>
      </c>
      <c r="E71" s="38">
        <f ca="1">IFERROR(__xludf.DUMMYFUNCTION("ARRAY_CONSTRAIN(ARRAYFORMULA(SUMPRODUCT(LARGE(FILTER(F71:O71, F$3:O$3 &lt; 13),{1,2,3,4,5,6,7}))), 1, 1)"),0)</f>
        <v>0</v>
      </c>
      <c r="F71" s="38">
        <v>0</v>
      </c>
      <c r="G71" s="43">
        <v>0</v>
      </c>
      <c r="H71" s="43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>
        <v>0</v>
      </c>
      <c r="Q71">
        <v>0</v>
      </c>
    </row>
    <row r="72" spans="1:17">
      <c r="A72" s="38">
        <v>66</v>
      </c>
      <c r="B72" s="39" t="s">
        <v>303</v>
      </c>
      <c r="C72" s="38">
        <f>COUNTIFS(F72:O72,"&gt;0",$F$3:O$3,"&lt;13")</f>
        <v>0</v>
      </c>
      <c r="D72" s="38">
        <f ca="1">SUMIF($F$3:O$3,"&lt;13",F72:O72)</f>
        <v>0</v>
      </c>
      <c r="E72" s="38">
        <f ca="1">IFERROR(__xludf.DUMMYFUNCTION("ARRAY_CONSTRAIN(ARRAYFORMULA(SUMPRODUCT(LARGE(FILTER(F72:O72, F$3:O$3 &lt; 13),{1,2,3,4,5,6,7}))), 1, 1)"),0)</f>
        <v>0</v>
      </c>
      <c r="F72" s="38">
        <v>0</v>
      </c>
      <c r="G72" s="43">
        <v>0</v>
      </c>
      <c r="H72" s="43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>
        <v>0</v>
      </c>
      <c r="Q72">
        <v>0</v>
      </c>
    </row>
    <row r="73" spans="1:17">
      <c r="A73" s="38">
        <v>67</v>
      </c>
      <c r="B73" s="39" t="s">
        <v>193</v>
      </c>
      <c r="C73" s="38">
        <f>COUNTIFS(F73:O73,"&gt;0",$F$3:O$3,"&lt;13")</f>
        <v>0</v>
      </c>
      <c r="D73" s="38">
        <f ca="1">SUMIF($F$3:O$3,"&lt;13",F73:O73)</f>
        <v>0</v>
      </c>
      <c r="E73" s="38">
        <f ca="1">IFERROR(__xludf.DUMMYFUNCTION("ARRAY_CONSTRAIN(ARRAYFORMULA(SUMPRODUCT(LARGE(FILTER(F73:O73, F$3:O$3 &lt; 13),{1,2,3,4,5,6,7}))), 1, 1)"),0)</f>
        <v>0</v>
      </c>
      <c r="F73" s="38">
        <v>0</v>
      </c>
      <c r="G73" s="43">
        <v>0</v>
      </c>
      <c r="H73" s="43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>
        <v>0</v>
      </c>
      <c r="Q73">
        <v>0</v>
      </c>
    </row>
    <row r="74" spans="1:17">
      <c r="A74" s="38">
        <v>68</v>
      </c>
      <c r="B74" s="41" t="s">
        <v>615</v>
      </c>
      <c r="C74" s="38">
        <f>COUNTIFS(F74:O74,"&gt;0",$F$3:O$3,"&lt;13")</f>
        <v>0</v>
      </c>
      <c r="D74" s="38">
        <f ca="1">SUMIF($F$3:O$3,"&lt;13",F74:O74)</f>
        <v>0</v>
      </c>
      <c r="E74" s="38">
        <f ca="1">IFERROR(__xludf.DUMMYFUNCTION("ARRAY_CONSTRAIN(ARRAYFORMULA(SUMPRODUCT(LARGE(FILTER(F74:O74, F$3:O$3 &lt; 13),{1,2,3,4,5,6,7}))), 1, 1)"),0)</f>
        <v>0</v>
      </c>
      <c r="F74" s="38">
        <v>0</v>
      </c>
      <c r="G74" s="43">
        <v>0</v>
      </c>
      <c r="H74" s="43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>
        <v>0</v>
      </c>
      <c r="Q74">
        <v>0</v>
      </c>
    </row>
    <row r="75" spans="1:17">
      <c r="A75" s="38">
        <v>69</v>
      </c>
      <c r="B75" s="39" t="s">
        <v>324</v>
      </c>
      <c r="C75" s="38">
        <f>COUNTIFS(F75:O75,"&gt;0",$F$3:O$3,"&lt;13")</f>
        <v>0</v>
      </c>
      <c r="D75" s="38">
        <f ca="1">SUMIF($F$3:O$3,"&lt;13",F75:O75)</f>
        <v>0</v>
      </c>
      <c r="E75" s="38">
        <f ca="1">IFERROR(__xludf.DUMMYFUNCTION("ARRAY_CONSTRAIN(ARRAYFORMULA(SUMPRODUCT(LARGE(FILTER(F75:O75, F$3:O$3 &lt; 13),{1,2,3,4,5,6,7}))), 1, 1)"),0)</f>
        <v>0</v>
      </c>
      <c r="F75" s="38">
        <v>0</v>
      </c>
      <c r="G75" s="43">
        <v>0</v>
      </c>
      <c r="H75" s="43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>
        <v>0</v>
      </c>
      <c r="Q75">
        <v>0</v>
      </c>
    </row>
    <row r="76" spans="1:17">
      <c r="A76" s="38">
        <v>70</v>
      </c>
      <c r="B76" s="39" t="s">
        <v>305</v>
      </c>
      <c r="C76" s="38">
        <f>COUNTIFS(F76:O76,"&gt;0",$F$3:O$3,"&lt;13")</f>
        <v>0</v>
      </c>
      <c r="D76" s="38">
        <f ca="1">SUMIF($F$3:O$3,"&lt;13",F76:O76)</f>
        <v>0</v>
      </c>
      <c r="E76" s="38">
        <f ca="1">IFERROR(__xludf.DUMMYFUNCTION("ARRAY_CONSTRAIN(ARRAYFORMULA(SUMPRODUCT(LARGE(FILTER(F76:O76, F$3:O$3 &lt; 13),{1,2,3,4,5,6,7}))), 1, 1)"),0)</f>
        <v>0</v>
      </c>
      <c r="F76" s="38">
        <v>0</v>
      </c>
      <c r="G76" s="43">
        <v>0</v>
      </c>
      <c r="H76" s="43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>
        <v>0</v>
      </c>
      <c r="Q76">
        <v>0</v>
      </c>
    </row>
    <row r="77" spans="1:17">
      <c r="A77" s="38">
        <v>71</v>
      </c>
      <c r="B77" s="39" t="s">
        <v>374</v>
      </c>
      <c r="C77" s="38">
        <f>COUNTIFS(F77:O77,"&gt;0",$F$3:O$3,"&lt;13")</f>
        <v>0</v>
      </c>
      <c r="D77" s="38">
        <f ca="1">SUMIF($F$3:O$3,"&lt;13",F77:O77)</f>
        <v>0</v>
      </c>
      <c r="E77" s="38">
        <f ca="1">IFERROR(__xludf.DUMMYFUNCTION("ARRAY_CONSTRAIN(ARRAYFORMULA(SUMPRODUCT(LARGE(FILTER(F77:O77, F$3:O$3 &lt; 13),{1,2,3,4,5,6,7}))), 1, 1)"),0)</f>
        <v>0</v>
      </c>
      <c r="F77" s="38">
        <v>0</v>
      </c>
      <c r="G77" s="43">
        <v>0</v>
      </c>
      <c r="H77" s="43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  <c r="P77">
        <v>0</v>
      </c>
      <c r="Q77">
        <v>0</v>
      </c>
    </row>
    <row r="78" spans="1:17">
      <c r="A78" s="38">
        <v>72</v>
      </c>
      <c r="B78" s="39" t="s">
        <v>117</v>
      </c>
      <c r="C78" s="38">
        <f>COUNTIFS(F78:O78,"&gt;0",$F$3:O$3,"&lt;13")</f>
        <v>0</v>
      </c>
      <c r="D78" s="38">
        <f ca="1">SUMIF($F$3:O$3,"&lt;13",F78:O78)</f>
        <v>0</v>
      </c>
      <c r="E78" s="38">
        <f ca="1">IFERROR(__xludf.DUMMYFUNCTION("ARRAY_CONSTRAIN(ARRAYFORMULA(SUMPRODUCT(LARGE(FILTER(F78:O78, F$3:O$3 &lt; 13),{1,2,3,4,5,6,7}))), 1, 1)"),0)</f>
        <v>0</v>
      </c>
      <c r="F78" s="38">
        <v>0</v>
      </c>
      <c r="G78" s="43">
        <v>0</v>
      </c>
      <c r="H78" s="43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>
        <v>40</v>
      </c>
      <c r="Q78">
        <v>0</v>
      </c>
    </row>
    <row r="79" spans="1:17">
      <c r="A79" s="38">
        <v>73</v>
      </c>
      <c r="B79" s="39" t="s">
        <v>158</v>
      </c>
      <c r="C79" s="38">
        <f>COUNTIFS(F79:O79,"&gt;0",$F$3:O$3,"&lt;13")</f>
        <v>0</v>
      </c>
      <c r="D79" s="38">
        <f ca="1">SUMIF($F$3:O$3,"&lt;13",F79:O79)</f>
        <v>0</v>
      </c>
      <c r="E79" s="38">
        <f ca="1">IFERROR(__xludf.DUMMYFUNCTION("ARRAY_CONSTRAIN(ARRAYFORMULA(SUMPRODUCT(LARGE(FILTER(F79:O79, F$3:O$3 &lt; 13),{1,2,3,4,5,6,7}))), 1, 1)"),0)</f>
        <v>0</v>
      </c>
      <c r="F79" s="38">
        <v>0</v>
      </c>
      <c r="G79" s="43">
        <v>0</v>
      </c>
      <c r="H79" s="43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>
        <v>0</v>
      </c>
      <c r="Q79">
        <v>0</v>
      </c>
    </row>
    <row r="80" spans="1:17">
      <c r="A80" s="38">
        <v>74</v>
      </c>
      <c r="B80" s="39" t="s">
        <v>335</v>
      </c>
      <c r="C80" s="38">
        <f>COUNTIFS(F80:O80,"&gt;0",$F$3:O$3,"&lt;13")</f>
        <v>0</v>
      </c>
      <c r="D80" s="38">
        <f ca="1">SUMIF($F$3:O$3,"&lt;13",F80:O80)</f>
        <v>0</v>
      </c>
      <c r="E80" s="38">
        <f ca="1">IFERROR(__xludf.DUMMYFUNCTION("ARRAY_CONSTRAIN(ARRAYFORMULA(SUMPRODUCT(LARGE(FILTER(F80:O80, F$3:O$3 &lt; 13),{1,2,3,4,5,6,7}))), 1, 1)"),0)</f>
        <v>0</v>
      </c>
      <c r="F80" s="38">
        <v>0</v>
      </c>
      <c r="G80" s="43">
        <v>0</v>
      </c>
      <c r="H80" s="43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>
        <v>0</v>
      </c>
      <c r="Q80">
        <v>0</v>
      </c>
    </row>
    <row r="81" spans="1:17">
      <c r="A81" s="38">
        <v>75</v>
      </c>
      <c r="B81" s="39" t="s">
        <v>210</v>
      </c>
      <c r="C81" s="38">
        <f>COUNTIFS(F81:O81,"&gt;0",$F$3:O$3,"&lt;13")</f>
        <v>0</v>
      </c>
      <c r="D81" s="38">
        <f ca="1">SUMIF($F$3:O$3,"&lt;13",F81:O81)</f>
        <v>0</v>
      </c>
      <c r="E81" s="38">
        <f ca="1">IFERROR(__xludf.DUMMYFUNCTION("ARRAY_CONSTRAIN(ARRAYFORMULA(SUMPRODUCT(LARGE(FILTER(F81:O81, F$3:O$3 &lt; 13),{1,2,3,4,5,6,7}))), 1, 1)"),0)</f>
        <v>0</v>
      </c>
      <c r="F81" s="38">
        <v>0</v>
      </c>
      <c r="G81" s="43">
        <v>0</v>
      </c>
      <c r="H81" s="43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>
        <v>0</v>
      </c>
      <c r="Q81">
        <v>0</v>
      </c>
    </row>
    <row r="82" spans="1:17">
      <c r="A82" s="38">
        <v>76</v>
      </c>
      <c r="B82" s="39" t="s">
        <v>135</v>
      </c>
      <c r="C82" s="38">
        <f>COUNTIFS(F82:O82,"&gt;0",$F$3:O$3,"&lt;13")</f>
        <v>0</v>
      </c>
      <c r="D82" s="38">
        <f ca="1">SUMIF($F$3:O$3,"&lt;13",F82:O82)</f>
        <v>0</v>
      </c>
      <c r="E82" s="38">
        <f ca="1">IFERROR(__xludf.DUMMYFUNCTION("ARRAY_CONSTRAIN(ARRAYFORMULA(SUMPRODUCT(LARGE(FILTER(F82:O82, F$3:O$3 &lt; 13),{1,2,3,4,5,6,7}))), 1, 1)"),0)</f>
        <v>0</v>
      </c>
      <c r="F82" s="38">
        <v>0</v>
      </c>
      <c r="G82" s="43">
        <v>0</v>
      </c>
      <c r="H82" s="43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>
        <v>0</v>
      </c>
      <c r="Q82">
        <v>0</v>
      </c>
    </row>
    <row r="83" spans="1:17">
      <c r="A83" s="40">
        <v>77</v>
      </c>
      <c r="B83" s="39" t="s">
        <v>297</v>
      </c>
      <c r="C83" s="38">
        <f>COUNTIFS(F83:O83,"&gt;0",$F$3:O$3,"&lt;13")</f>
        <v>0</v>
      </c>
      <c r="D83" s="38">
        <f ca="1">SUMIF($F$3:O$3,"&lt;13",F83:O83)</f>
        <v>0</v>
      </c>
      <c r="E83" s="38">
        <f ca="1">IFERROR(__xludf.DUMMYFUNCTION("ARRAY_CONSTRAIN(ARRAYFORMULA(SUMPRODUCT(LARGE(FILTER(F83:O83, F$3:O$3 &lt; 13),{1,2,3,4,5,6,7}))), 1, 1)"),0)</f>
        <v>0</v>
      </c>
      <c r="F83" s="38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>
        <v>0</v>
      </c>
      <c r="Q83">
        <v>0</v>
      </c>
    </row>
    <row r="84" spans="1:17">
      <c r="A84" s="40">
        <v>78</v>
      </c>
      <c r="B84" s="39" t="s">
        <v>326</v>
      </c>
      <c r="C84" s="38">
        <f>COUNTIFS(F84:O84,"&gt;0",$F$3:O$3,"&lt;13")</f>
        <v>0</v>
      </c>
      <c r="D84" s="38">
        <f ca="1">SUMIF($F$3:O$3,"&lt;13",F84:O84)</f>
        <v>0</v>
      </c>
      <c r="E84" s="38">
        <f ca="1">IFERROR(__xludf.DUMMYFUNCTION("ARRAY_CONSTRAIN(ARRAYFORMULA(SUMPRODUCT(LARGE(FILTER(F84:O84, F$3:O$3 &lt; 13),{1,2,3,4,5,6,7}))), 1, 1)"),0)</f>
        <v>0</v>
      </c>
      <c r="F84" s="38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>
        <v>0</v>
      </c>
      <c r="Q84">
        <v>0</v>
      </c>
    </row>
    <row r="85" spans="1:17">
      <c r="A85" s="40">
        <v>80</v>
      </c>
      <c r="B85" t="s">
        <v>473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>
        <v>60</v>
      </c>
      <c r="Q85">
        <v>0</v>
      </c>
    </row>
    <row r="86" spans="1:17">
      <c r="A86" s="40">
        <v>81</v>
      </c>
      <c r="B86" t="s">
        <v>169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50</v>
      </c>
      <c r="Q86">
        <v>0</v>
      </c>
    </row>
    <row r="87" spans="1:17">
      <c r="A87" s="40">
        <v>82</v>
      </c>
      <c r="B87" t="s">
        <v>616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50</v>
      </c>
      <c r="Q87">
        <v>0</v>
      </c>
    </row>
    <row r="88" spans="1:17">
      <c r="A88" s="40">
        <v>83</v>
      </c>
      <c r="B88" t="s">
        <v>116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>
        <v>50</v>
      </c>
      <c r="Q88">
        <v>0</v>
      </c>
    </row>
    <row r="89" spans="1:17">
      <c r="A89" s="40">
        <v>84</v>
      </c>
      <c r="B89" t="s">
        <v>156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>
        <v>40</v>
      </c>
      <c r="Q89">
        <v>0</v>
      </c>
    </row>
    <row r="90" spans="1:17">
      <c r="A90" s="40">
        <v>85</v>
      </c>
      <c r="B90" t="s">
        <v>495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>
        <v>40</v>
      </c>
      <c r="Q90">
        <v>0</v>
      </c>
    </row>
    <row r="91" spans="1:17">
      <c r="A91" s="40">
        <v>86</v>
      </c>
      <c r="B91" t="s">
        <v>494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>
        <v>40</v>
      </c>
      <c r="Q91">
        <v>0</v>
      </c>
    </row>
    <row r="92" spans="1:17">
      <c r="A92" s="40">
        <v>87</v>
      </c>
      <c r="B92" t="s">
        <v>282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>
        <v>40</v>
      </c>
      <c r="Q92">
        <v>0</v>
      </c>
    </row>
    <row r="93" spans="1:17">
      <c r="A93" s="40">
        <v>88</v>
      </c>
      <c r="B93" t="s">
        <v>617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  <c r="P93">
        <v>40</v>
      </c>
      <c r="Q93">
        <v>0</v>
      </c>
    </row>
    <row r="94" spans="1:17">
      <c r="A94" s="40">
        <v>89</v>
      </c>
      <c r="B94" t="s">
        <v>618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>
        <v>0</v>
      </c>
      <c r="Q94">
        <v>60</v>
      </c>
    </row>
    <row r="95" spans="1:17">
      <c r="A95" s="40">
        <v>90</v>
      </c>
      <c r="B95" t="s">
        <v>261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>
        <v>0</v>
      </c>
      <c r="Q95">
        <v>50</v>
      </c>
    </row>
    <row r="96" spans="1:17">
      <c r="A96" s="40">
        <v>91</v>
      </c>
      <c r="B96" t="s">
        <v>484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>
        <v>0</v>
      </c>
      <c r="Q96">
        <v>50</v>
      </c>
    </row>
    <row r="97" spans="1:17">
      <c r="A97" s="40">
        <v>92</v>
      </c>
      <c r="B97" t="s">
        <v>485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>
        <v>0</v>
      </c>
      <c r="Q97">
        <v>40</v>
      </c>
    </row>
    <row r="98" spans="1:17">
      <c r="A98" s="40"/>
      <c r="I98" s="40"/>
      <c r="J98" s="40"/>
      <c r="K98" s="40"/>
      <c r="L98" s="40"/>
      <c r="M98" s="40"/>
      <c r="N98" s="40"/>
      <c r="O98" s="40"/>
    </row>
    <row r="99" spans="1:17">
      <c r="A99" s="40"/>
      <c r="I99" s="40"/>
      <c r="J99" s="40"/>
      <c r="K99" s="40"/>
      <c r="L99" s="40"/>
      <c r="M99" s="40"/>
      <c r="N99" s="40"/>
      <c r="O99" s="40"/>
    </row>
    <row r="100" spans="1:17">
      <c r="A100" s="40"/>
      <c r="I100" s="40"/>
      <c r="J100" s="40"/>
      <c r="K100" s="40"/>
      <c r="L100" s="40"/>
      <c r="M100" s="40"/>
      <c r="N100" s="40"/>
      <c r="O100" s="40"/>
    </row>
    <row r="101" spans="1:17">
      <c r="A101" s="40"/>
      <c r="I101" s="40"/>
      <c r="J101" s="40"/>
      <c r="K101" s="40"/>
      <c r="L101" s="40"/>
      <c r="M101" s="40"/>
      <c r="N101" s="40"/>
      <c r="O101" s="40"/>
    </row>
    <row r="102" spans="1:17">
      <c r="A102" s="40"/>
      <c r="I102" s="40"/>
      <c r="J102" s="40"/>
      <c r="K102" s="40"/>
      <c r="L102" s="40"/>
      <c r="M102" s="40"/>
      <c r="N102" s="40"/>
      <c r="O102" s="40"/>
    </row>
    <row r="103" spans="1:17">
      <c r="A103" s="40"/>
      <c r="I103" s="40"/>
      <c r="J103" s="40"/>
      <c r="K103" s="40"/>
      <c r="L103" s="40"/>
      <c r="M103" s="40"/>
      <c r="N103" s="40"/>
      <c r="O103" s="40"/>
    </row>
    <row r="104" spans="1:17">
      <c r="A104" s="40"/>
      <c r="I104" s="40"/>
      <c r="J104" s="40"/>
      <c r="K104" s="40"/>
      <c r="L104" s="40"/>
      <c r="M104" s="40"/>
      <c r="N104" s="40"/>
      <c r="O104" s="40"/>
    </row>
    <row r="105" spans="1:17">
      <c r="A105" s="40"/>
      <c r="I105" s="40"/>
      <c r="J105" s="40"/>
      <c r="K105" s="40"/>
      <c r="L105" s="40"/>
      <c r="M105" s="40"/>
      <c r="N105" s="40"/>
      <c r="O105" s="40"/>
    </row>
    <row r="106" spans="1:17">
      <c r="A106" s="40"/>
      <c r="I106" s="40"/>
      <c r="J106" s="40"/>
      <c r="K106" s="40"/>
      <c r="L106" s="40"/>
      <c r="M106" s="40"/>
      <c r="N106" s="40"/>
      <c r="O106" s="40"/>
    </row>
    <row r="107" spans="1:17">
      <c r="A107" s="40"/>
      <c r="I107" s="40"/>
      <c r="J107" s="40"/>
      <c r="K107" s="40"/>
      <c r="L107" s="40"/>
      <c r="M107" s="40"/>
      <c r="N107" s="40"/>
      <c r="O107" s="40"/>
    </row>
    <row r="108" spans="1:17">
      <c r="A108" s="40"/>
      <c r="I108" s="40"/>
      <c r="J108" s="40"/>
      <c r="K108" s="40"/>
      <c r="L108" s="40"/>
      <c r="M108" s="40"/>
      <c r="N108" s="40"/>
      <c r="O108" s="40"/>
    </row>
    <row r="109" spans="1:17">
      <c r="A109" s="40"/>
      <c r="I109" s="40"/>
      <c r="J109" s="40"/>
      <c r="K109" s="40"/>
      <c r="L109" s="40"/>
      <c r="M109" s="40"/>
      <c r="N109" s="40"/>
      <c r="O109" s="40"/>
    </row>
    <row r="110" spans="1:17">
      <c r="A110" s="40"/>
      <c r="I110" s="40"/>
      <c r="J110" s="40"/>
      <c r="K110" s="40"/>
      <c r="L110" s="40"/>
      <c r="M110" s="40"/>
      <c r="N110" s="40"/>
      <c r="O110" s="40"/>
    </row>
    <row r="111" spans="1:17">
      <c r="A111" s="40"/>
      <c r="I111" s="40"/>
      <c r="J111" s="40"/>
      <c r="K111" s="40"/>
      <c r="L111" s="40"/>
      <c r="M111" s="40"/>
      <c r="N111" s="40"/>
      <c r="O111" s="40"/>
    </row>
    <row r="112" spans="1:17">
      <c r="A112" s="40"/>
      <c r="I112" s="40"/>
      <c r="J112" s="40"/>
      <c r="K112" s="40"/>
      <c r="L112" s="40"/>
      <c r="M112" s="40"/>
      <c r="N112" s="40"/>
      <c r="O112" s="40"/>
    </row>
    <row r="113" spans="1:15">
      <c r="A113" s="40"/>
      <c r="I113" s="40"/>
      <c r="J113" s="40"/>
      <c r="K113" s="40"/>
      <c r="L113" s="40"/>
      <c r="M113" s="40"/>
      <c r="N113" s="40"/>
      <c r="O113" s="40"/>
    </row>
    <row r="114" spans="1:15">
      <c r="A114" s="40"/>
      <c r="I114" s="40"/>
      <c r="J114" s="40"/>
      <c r="K114" s="40"/>
      <c r="L114" s="40"/>
      <c r="M114" s="40"/>
      <c r="N114" s="40"/>
      <c r="O114" s="40"/>
    </row>
    <row r="115" spans="1:15">
      <c r="A115" s="40"/>
      <c r="I115" s="40"/>
      <c r="J115" s="40"/>
      <c r="K115" s="40"/>
      <c r="L115" s="40"/>
      <c r="M115" s="40"/>
      <c r="N115" s="40"/>
      <c r="O115" s="40"/>
    </row>
    <row r="116" spans="1:15">
      <c r="A116" s="40"/>
      <c r="I116" s="40"/>
      <c r="J116" s="40"/>
      <c r="K116" s="40"/>
      <c r="L116" s="40"/>
      <c r="M116" s="40"/>
      <c r="N116" s="40"/>
      <c r="O116" s="40"/>
    </row>
    <row r="117" spans="1:15">
      <c r="A117" s="40"/>
      <c r="I117" s="40"/>
      <c r="J117" s="40"/>
      <c r="K117" s="40"/>
      <c r="L117" s="40"/>
      <c r="M117" s="40"/>
      <c r="N117" s="40"/>
      <c r="O117" s="40"/>
    </row>
    <row r="118" spans="1:15">
      <c r="A118" s="40"/>
      <c r="I118" s="40"/>
      <c r="J118" s="40"/>
      <c r="K118" s="40"/>
      <c r="L118" s="40"/>
      <c r="M118" s="40"/>
      <c r="N118" s="40"/>
      <c r="O118" s="40"/>
    </row>
    <row r="119" spans="1:15">
      <c r="A119" s="40"/>
      <c r="I119" s="40"/>
      <c r="J119" s="40"/>
      <c r="K119" s="40"/>
      <c r="L119" s="40"/>
      <c r="M119" s="40"/>
      <c r="N119" s="40"/>
      <c r="O119" s="40"/>
    </row>
    <row r="120" spans="1:15">
      <c r="A120" s="40"/>
      <c r="I120" s="40"/>
      <c r="J120" s="40"/>
      <c r="K120" s="40"/>
      <c r="L120" s="40"/>
      <c r="M120" s="40"/>
      <c r="N120" s="40"/>
      <c r="O120" s="40"/>
    </row>
    <row r="121" spans="1:15">
      <c r="A121" s="40"/>
      <c r="I121" s="40"/>
      <c r="J121" s="40"/>
      <c r="K121" s="40"/>
      <c r="L121" s="40"/>
      <c r="M121" s="40"/>
      <c r="N121" s="40"/>
      <c r="O121" s="40"/>
    </row>
    <row r="122" spans="1:15">
      <c r="A122" s="40"/>
      <c r="I122" s="40"/>
      <c r="J122" s="40"/>
      <c r="K122" s="40"/>
      <c r="L122" s="40"/>
      <c r="M122" s="40"/>
      <c r="N122" s="40"/>
      <c r="O122" s="40"/>
    </row>
    <row r="123" spans="1:15">
      <c r="A123" s="40"/>
      <c r="I123" s="40"/>
      <c r="J123" s="40"/>
      <c r="K123" s="40"/>
      <c r="L123" s="40"/>
      <c r="M123" s="40"/>
      <c r="N123" s="40"/>
      <c r="O123" s="40"/>
    </row>
    <row r="124" spans="1:15">
      <c r="A124" s="40"/>
      <c r="I124" s="40"/>
      <c r="J124" s="40"/>
      <c r="K124" s="40"/>
      <c r="L124" s="40"/>
      <c r="M124" s="40"/>
      <c r="N124" s="40"/>
      <c r="O124" s="40"/>
    </row>
    <row r="125" spans="1:15">
      <c r="A125" s="40"/>
      <c r="I125" s="40"/>
      <c r="J125" s="40"/>
      <c r="K125" s="40"/>
      <c r="L125" s="40"/>
      <c r="M125" s="40"/>
      <c r="N125" s="40"/>
      <c r="O125" s="40"/>
    </row>
    <row r="126" spans="1:15">
      <c r="A126" s="40"/>
      <c r="I126" s="40"/>
      <c r="J126" s="40"/>
      <c r="K126" s="40"/>
      <c r="L126" s="40"/>
      <c r="M126" s="40"/>
      <c r="N126" s="40"/>
      <c r="O126" s="40"/>
    </row>
    <row r="127" spans="1:15">
      <c r="A127" s="40"/>
      <c r="I127" s="40"/>
      <c r="J127" s="40"/>
      <c r="K127" s="40"/>
      <c r="L127" s="40"/>
      <c r="M127" s="40"/>
      <c r="N127" s="40"/>
      <c r="O127" s="40"/>
    </row>
    <row r="128" spans="1:15">
      <c r="A128" s="40"/>
      <c r="I128" s="40"/>
      <c r="J128" s="40"/>
      <c r="K128" s="40"/>
      <c r="L128" s="40"/>
      <c r="M128" s="40"/>
      <c r="N128" s="40"/>
      <c r="O128" s="40"/>
    </row>
    <row r="129" spans="1:15">
      <c r="A129" s="40"/>
      <c r="I129" s="40"/>
      <c r="J129" s="40"/>
      <c r="K129" s="40"/>
      <c r="L129" s="40"/>
      <c r="M129" s="40"/>
      <c r="N129" s="40"/>
      <c r="O129" s="40"/>
    </row>
    <row r="130" spans="1:15">
      <c r="A130" s="40"/>
      <c r="I130" s="40"/>
      <c r="J130" s="40"/>
      <c r="K130" s="40"/>
      <c r="L130" s="40"/>
      <c r="M130" s="40"/>
      <c r="N130" s="40"/>
      <c r="O130" s="40"/>
    </row>
    <row r="131" spans="1:15">
      <c r="A131" s="40"/>
      <c r="I131" s="40"/>
      <c r="J131" s="40"/>
      <c r="K131" s="40"/>
      <c r="L131" s="40"/>
      <c r="M131" s="40"/>
      <c r="N131" s="40"/>
      <c r="O131" s="40"/>
    </row>
    <row r="132" spans="1:15">
      <c r="A132" s="40"/>
      <c r="I132" s="40"/>
      <c r="J132" s="40"/>
      <c r="K132" s="40"/>
      <c r="L132" s="40"/>
      <c r="M132" s="40"/>
      <c r="N132" s="40"/>
      <c r="O132" s="40"/>
    </row>
    <row r="133" spans="1:15">
      <c r="A133" s="40"/>
      <c r="I133" s="40"/>
      <c r="J133" s="40"/>
      <c r="K133" s="40"/>
      <c r="L133" s="40"/>
      <c r="M133" s="40"/>
      <c r="N133" s="40"/>
      <c r="O133" s="40"/>
    </row>
    <row r="134" spans="1:15">
      <c r="A134" s="40"/>
      <c r="I134" s="40"/>
      <c r="J134" s="40"/>
      <c r="K134" s="40"/>
      <c r="L134" s="40"/>
      <c r="M134" s="40"/>
      <c r="N134" s="40"/>
      <c r="O134" s="40"/>
    </row>
    <row r="135" spans="1:15">
      <c r="A135" s="40"/>
      <c r="I135" s="40"/>
      <c r="J135" s="40"/>
      <c r="K135" s="40"/>
      <c r="L135" s="40"/>
      <c r="M135" s="40"/>
      <c r="N135" s="40"/>
      <c r="O135" s="40"/>
    </row>
    <row r="136" spans="1:15">
      <c r="A136" s="40"/>
      <c r="I136" s="40"/>
      <c r="J136" s="40"/>
      <c r="K136" s="40"/>
      <c r="L136" s="40"/>
      <c r="M136" s="40"/>
      <c r="N136" s="40"/>
      <c r="O136" s="40"/>
    </row>
    <row r="137" spans="1:15">
      <c r="A137" s="40"/>
      <c r="I137" s="40"/>
      <c r="J137" s="40"/>
      <c r="K137" s="40"/>
      <c r="L137" s="40"/>
      <c r="M137" s="40"/>
      <c r="N137" s="40"/>
      <c r="O137" s="40"/>
    </row>
    <row r="138" spans="1:15">
      <c r="A138" s="40"/>
      <c r="I138" s="40"/>
      <c r="J138" s="40"/>
      <c r="K138" s="40"/>
      <c r="L138" s="40"/>
      <c r="M138" s="40"/>
      <c r="N138" s="40"/>
      <c r="O138" s="40"/>
    </row>
    <row r="139" spans="1:15">
      <c r="A139" s="40"/>
      <c r="I139" s="40"/>
      <c r="J139" s="40"/>
      <c r="K139" s="40"/>
      <c r="L139" s="40"/>
      <c r="M139" s="40"/>
      <c r="N139" s="40"/>
      <c r="O139" s="40"/>
    </row>
    <row r="140" spans="1:15">
      <c r="A140" s="40"/>
      <c r="I140" s="40"/>
      <c r="J140" s="40"/>
      <c r="K140" s="40"/>
      <c r="L140" s="40"/>
      <c r="M140" s="40"/>
      <c r="N140" s="40"/>
      <c r="O140" s="40"/>
    </row>
    <row r="141" spans="1:15">
      <c r="A141" s="40"/>
      <c r="I141" s="40"/>
      <c r="J141" s="40"/>
      <c r="K141" s="40"/>
      <c r="L141" s="40"/>
      <c r="M141" s="40"/>
      <c r="N141" s="40"/>
      <c r="O141" s="40"/>
    </row>
    <row r="142" spans="1:15">
      <c r="A142" s="40"/>
      <c r="I142" s="40"/>
      <c r="J142" s="40"/>
      <c r="K142" s="40"/>
      <c r="L142" s="40"/>
      <c r="M142" s="40"/>
      <c r="N142" s="40"/>
      <c r="O142" s="40"/>
    </row>
    <row r="143" spans="1:15">
      <c r="A143" s="40"/>
      <c r="I143" s="40"/>
      <c r="J143" s="40"/>
      <c r="K143" s="40"/>
      <c r="L143" s="40"/>
      <c r="M143" s="40"/>
      <c r="N143" s="40"/>
      <c r="O143" s="40"/>
    </row>
    <row r="144" spans="1:15">
      <c r="A144" s="40"/>
      <c r="I144" s="40"/>
      <c r="J144" s="40"/>
      <c r="K144" s="40"/>
      <c r="L144" s="40"/>
      <c r="M144" s="40"/>
      <c r="N144" s="40"/>
      <c r="O144" s="40"/>
    </row>
    <row r="145" spans="1:15">
      <c r="A145" s="40"/>
      <c r="I145" s="40"/>
      <c r="J145" s="40"/>
      <c r="K145" s="40"/>
      <c r="L145" s="40"/>
      <c r="M145" s="40"/>
      <c r="N145" s="40"/>
      <c r="O145" s="40"/>
    </row>
    <row r="146" spans="1:15">
      <c r="A146" s="40"/>
      <c r="I146" s="40"/>
      <c r="J146" s="40"/>
      <c r="K146" s="40"/>
      <c r="L146" s="40"/>
      <c r="M146" s="40"/>
      <c r="N146" s="40"/>
      <c r="O146" s="40"/>
    </row>
    <row r="147" spans="1:15">
      <c r="A147" s="40"/>
      <c r="I147" s="40"/>
      <c r="J147" s="40"/>
      <c r="K147" s="40"/>
      <c r="L147" s="40"/>
      <c r="M147" s="40"/>
      <c r="N147" s="40"/>
      <c r="O147" s="40"/>
    </row>
    <row r="148" spans="1:15">
      <c r="A148" s="40"/>
      <c r="I148" s="40"/>
      <c r="J148" s="40"/>
      <c r="K148" s="40"/>
      <c r="L148" s="40"/>
      <c r="M148" s="40"/>
      <c r="N148" s="40"/>
      <c r="O148" s="40"/>
    </row>
    <row r="149" spans="1:15">
      <c r="A149" s="40"/>
      <c r="I149" s="40"/>
      <c r="J149" s="40"/>
      <c r="K149" s="40"/>
      <c r="L149" s="40"/>
      <c r="M149" s="40"/>
      <c r="N149" s="40"/>
      <c r="O149" s="40"/>
    </row>
    <row r="150" spans="1:15">
      <c r="A150" s="40"/>
      <c r="I150" s="40"/>
      <c r="J150" s="40"/>
      <c r="K150" s="40"/>
      <c r="L150" s="40"/>
      <c r="M150" s="40"/>
      <c r="N150" s="40"/>
      <c r="O150" s="40"/>
    </row>
    <row r="151" spans="1:15">
      <c r="A151" s="40"/>
      <c r="I151" s="40"/>
      <c r="J151" s="40"/>
      <c r="K151" s="40"/>
      <c r="L151" s="40"/>
      <c r="M151" s="40"/>
      <c r="N151" s="40"/>
      <c r="O151" s="40"/>
    </row>
    <row r="152" spans="1:15">
      <c r="A152" s="40"/>
      <c r="I152" s="40"/>
      <c r="J152" s="40"/>
      <c r="K152" s="40"/>
      <c r="L152" s="40"/>
      <c r="M152" s="40"/>
      <c r="N152" s="40"/>
      <c r="O152" s="40"/>
    </row>
    <row r="153" spans="1:15">
      <c r="A153" s="40"/>
      <c r="I153" s="40"/>
      <c r="J153" s="40"/>
      <c r="K153" s="40"/>
      <c r="L153" s="40"/>
      <c r="M153" s="40"/>
      <c r="N153" s="40"/>
      <c r="O153" s="40"/>
    </row>
    <row r="154" spans="1:15">
      <c r="A154" s="40"/>
      <c r="I154" s="40"/>
      <c r="J154" s="40"/>
      <c r="K154" s="40"/>
      <c r="L154" s="40"/>
      <c r="M154" s="40"/>
      <c r="N154" s="40"/>
      <c r="O154" s="40"/>
    </row>
    <row r="155" spans="1:15">
      <c r="A155" s="40"/>
      <c r="I155" s="40"/>
      <c r="J155" s="40"/>
      <c r="K155" s="40"/>
      <c r="L155" s="40"/>
      <c r="M155" s="40"/>
      <c r="N155" s="40"/>
      <c r="O155" s="40"/>
    </row>
    <row r="156" spans="1:15">
      <c r="A156" s="40"/>
      <c r="I156" s="40"/>
      <c r="J156" s="40"/>
      <c r="K156" s="40"/>
      <c r="L156" s="40"/>
      <c r="M156" s="40"/>
      <c r="N156" s="40"/>
      <c r="O156" s="40"/>
    </row>
    <row r="157" spans="1:15">
      <c r="A157" s="40"/>
      <c r="I157" s="40"/>
      <c r="J157" s="40"/>
      <c r="K157" s="40"/>
      <c r="L157" s="40"/>
      <c r="M157" s="40"/>
      <c r="N157" s="40"/>
      <c r="O157" s="40"/>
    </row>
    <row r="158" spans="1:15">
      <c r="A158" s="40"/>
      <c r="I158" s="40"/>
      <c r="J158" s="40"/>
      <c r="K158" s="40"/>
      <c r="L158" s="40"/>
      <c r="M158" s="40"/>
      <c r="N158" s="40"/>
      <c r="O158" s="40"/>
    </row>
    <row r="159" spans="1:15">
      <c r="A159" s="40"/>
      <c r="I159" s="40"/>
      <c r="J159" s="40"/>
      <c r="K159" s="40"/>
      <c r="L159" s="40"/>
      <c r="M159" s="40"/>
      <c r="N159" s="40"/>
      <c r="O159" s="40"/>
    </row>
    <row r="160" spans="1:15">
      <c r="A160" s="40"/>
      <c r="I160" s="40"/>
      <c r="J160" s="40"/>
      <c r="K160" s="40"/>
      <c r="L160" s="40"/>
      <c r="M160" s="40"/>
      <c r="N160" s="40"/>
      <c r="O160" s="40"/>
    </row>
    <row r="161" spans="1:15">
      <c r="A161" s="40"/>
      <c r="I161" s="40"/>
      <c r="J161" s="40"/>
      <c r="K161" s="40"/>
      <c r="L161" s="40"/>
      <c r="M161" s="40"/>
      <c r="N161" s="40"/>
      <c r="O161" s="40"/>
    </row>
    <row r="162" spans="1:15">
      <c r="A162" s="40"/>
      <c r="I162" s="40"/>
      <c r="J162" s="40"/>
      <c r="K162" s="40"/>
      <c r="L162" s="40"/>
      <c r="M162" s="40"/>
      <c r="N162" s="40"/>
      <c r="O162" s="40"/>
    </row>
    <row r="163" spans="1:15">
      <c r="A163" s="40"/>
      <c r="I163" s="40"/>
      <c r="J163" s="40"/>
      <c r="K163" s="40"/>
      <c r="L163" s="40"/>
      <c r="M163" s="40"/>
      <c r="N163" s="40"/>
      <c r="O163" s="40"/>
    </row>
    <row r="164" spans="1:15">
      <c r="A164" s="40"/>
      <c r="I164" s="40"/>
      <c r="J164" s="40"/>
      <c r="K164" s="40"/>
      <c r="L164" s="40"/>
      <c r="M164" s="40"/>
      <c r="N164" s="40"/>
      <c r="O164" s="40"/>
    </row>
    <row r="165" spans="1:15">
      <c r="A165" s="40"/>
      <c r="I165" s="40"/>
      <c r="J165" s="40"/>
      <c r="K165" s="40"/>
      <c r="L165" s="40"/>
      <c r="M165" s="40"/>
      <c r="N165" s="40"/>
      <c r="O165" s="40"/>
    </row>
    <row r="166" spans="1:15">
      <c r="A166" s="40"/>
      <c r="I166" s="40"/>
      <c r="J166" s="40"/>
      <c r="K166" s="40"/>
      <c r="L166" s="40"/>
      <c r="M166" s="40"/>
      <c r="N166" s="40"/>
      <c r="O166" s="40"/>
    </row>
    <row r="167" spans="1:15">
      <c r="A167" s="40"/>
      <c r="I167" s="40"/>
      <c r="J167" s="40"/>
      <c r="K167" s="40"/>
      <c r="L167" s="40"/>
      <c r="M167" s="40"/>
      <c r="N167" s="40"/>
      <c r="O167" s="40"/>
    </row>
    <row r="168" spans="1:15">
      <c r="A168" s="40"/>
      <c r="I168" s="40"/>
      <c r="J168" s="40"/>
      <c r="K168" s="40"/>
      <c r="L168" s="40"/>
      <c r="M168" s="40"/>
      <c r="N168" s="40"/>
      <c r="O168" s="40"/>
    </row>
    <row r="169" spans="1:15">
      <c r="A169" s="40"/>
      <c r="I169" s="40"/>
      <c r="J169" s="40"/>
      <c r="K169" s="40"/>
      <c r="L169" s="40"/>
      <c r="M169" s="40"/>
      <c r="N169" s="40"/>
      <c r="O169" s="40"/>
    </row>
    <row r="170" spans="1:15">
      <c r="A170" s="40"/>
      <c r="I170" s="40"/>
      <c r="J170" s="40"/>
      <c r="K170" s="40"/>
      <c r="L170" s="40"/>
      <c r="M170" s="40"/>
      <c r="N170" s="40"/>
      <c r="O170" s="40"/>
    </row>
    <row r="171" spans="1:15">
      <c r="A171" s="40"/>
      <c r="I171" s="40"/>
      <c r="J171" s="40"/>
      <c r="K171" s="40"/>
      <c r="L171" s="40"/>
      <c r="M171" s="40"/>
      <c r="N171" s="40"/>
      <c r="O171" s="40"/>
    </row>
    <row r="172" spans="1:15">
      <c r="A172" s="40"/>
      <c r="I172" s="40"/>
      <c r="J172" s="40"/>
      <c r="K172" s="40"/>
      <c r="L172" s="40"/>
      <c r="M172" s="40"/>
      <c r="N172" s="40"/>
      <c r="O172" s="40"/>
    </row>
    <row r="173" spans="1:15">
      <c r="A173" s="40"/>
      <c r="I173" s="40"/>
      <c r="J173" s="40"/>
      <c r="K173" s="40"/>
      <c r="L173" s="40"/>
      <c r="M173" s="40"/>
      <c r="N173" s="40"/>
      <c r="O173" s="40"/>
    </row>
    <row r="174" spans="1:15">
      <c r="A174" s="40"/>
      <c r="I174" s="40"/>
      <c r="J174" s="40"/>
      <c r="K174" s="40"/>
      <c r="L174" s="40"/>
      <c r="M174" s="40"/>
      <c r="N174" s="40"/>
      <c r="O174" s="40"/>
    </row>
    <row r="175" spans="1:15">
      <c r="A175" s="40"/>
      <c r="I175" s="40"/>
      <c r="J175" s="40"/>
      <c r="K175" s="40"/>
      <c r="L175" s="40"/>
      <c r="M175" s="40"/>
      <c r="N175" s="40"/>
      <c r="O175" s="40"/>
    </row>
    <row r="176" spans="1:15">
      <c r="A176" s="40"/>
      <c r="I176" s="40"/>
      <c r="J176" s="40"/>
      <c r="K176" s="40"/>
      <c r="L176" s="40"/>
      <c r="M176" s="40"/>
      <c r="N176" s="40"/>
      <c r="O176" s="40"/>
    </row>
    <row r="177" spans="1:15">
      <c r="A177" s="40"/>
      <c r="I177" s="40"/>
      <c r="J177" s="40"/>
      <c r="K177" s="40"/>
      <c r="L177" s="40"/>
      <c r="M177" s="40"/>
      <c r="N177" s="40"/>
      <c r="O177" s="40"/>
    </row>
    <row r="178" spans="1:15">
      <c r="A178" s="40"/>
      <c r="I178" s="40"/>
      <c r="J178" s="40"/>
      <c r="K178" s="40"/>
      <c r="L178" s="40"/>
      <c r="M178" s="40"/>
      <c r="N178" s="40"/>
      <c r="O178" s="40"/>
    </row>
    <row r="179" spans="1:15">
      <c r="A179" s="40"/>
      <c r="I179" s="40"/>
      <c r="J179" s="40"/>
      <c r="K179" s="40"/>
      <c r="L179" s="40"/>
      <c r="M179" s="40"/>
      <c r="N179" s="40"/>
      <c r="O179" s="40"/>
    </row>
    <row r="180" spans="1:15">
      <c r="A180" s="40"/>
      <c r="I180" s="40"/>
      <c r="J180" s="40"/>
      <c r="K180" s="40"/>
      <c r="L180" s="40"/>
      <c r="M180" s="40"/>
      <c r="N180" s="40"/>
      <c r="O180" s="40"/>
    </row>
    <row r="181" spans="1:15">
      <c r="A181" s="40"/>
      <c r="I181" s="40"/>
      <c r="J181" s="40"/>
      <c r="K181" s="40"/>
      <c r="L181" s="40"/>
      <c r="M181" s="40"/>
      <c r="N181" s="40"/>
      <c r="O181" s="40"/>
    </row>
    <row r="182" spans="1:15">
      <c r="A182" s="40"/>
      <c r="I182" s="40"/>
      <c r="J182" s="40"/>
      <c r="K182" s="40"/>
      <c r="L182" s="40"/>
      <c r="M182" s="40"/>
      <c r="N182" s="40"/>
      <c r="O182" s="40"/>
    </row>
    <row r="183" spans="1:15">
      <c r="A183" s="40"/>
      <c r="I183" s="40"/>
      <c r="J183" s="40"/>
      <c r="K183" s="40"/>
      <c r="L183" s="40"/>
      <c r="M183" s="40"/>
      <c r="N183" s="40"/>
      <c r="O183" s="40"/>
    </row>
    <row r="184" spans="1:15">
      <c r="A184" s="40"/>
      <c r="I184" s="40"/>
      <c r="J184" s="40"/>
      <c r="K184" s="40"/>
      <c r="L184" s="40"/>
      <c r="M184" s="40"/>
      <c r="N184" s="40"/>
      <c r="O184" s="40"/>
    </row>
    <row r="185" spans="1:15">
      <c r="A185" s="40"/>
      <c r="I185" s="40"/>
      <c r="J185" s="40"/>
      <c r="K185" s="40"/>
      <c r="L185" s="40"/>
      <c r="M185" s="40"/>
      <c r="N185" s="40"/>
      <c r="O185" s="40"/>
    </row>
    <row r="186" spans="1:15">
      <c r="A186" s="40"/>
      <c r="I186" s="40"/>
      <c r="J186" s="40"/>
      <c r="K186" s="40"/>
      <c r="L186" s="40"/>
      <c r="M186" s="40"/>
      <c r="N186" s="40"/>
      <c r="O186" s="40"/>
    </row>
    <row r="187" spans="1:15">
      <c r="A187" s="40"/>
      <c r="I187" s="40"/>
      <c r="J187" s="40"/>
      <c r="K187" s="40"/>
      <c r="L187" s="40"/>
      <c r="M187" s="40"/>
      <c r="N187" s="40"/>
      <c r="O187" s="40"/>
    </row>
    <row r="188" spans="1:15">
      <c r="A188" s="40"/>
      <c r="I188" s="40"/>
      <c r="J188" s="40"/>
      <c r="K188" s="40"/>
      <c r="L188" s="40"/>
      <c r="M188" s="40"/>
      <c r="N188" s="40"/>
      <c r="O188" s="40"/>
    </row>
    <row r="189" spans="1:15">
      <c r="A189" s="40"/>
      <c r="I189" s="40"/>
      <c r="J189" s="40"/>
      <c r="K189" s="40"/>
      <c r="L189" s="40"/>
      <c r="M189" s="40"/>
      <c r="N189" s="40"/>
      <c r="O189" s="40"/>
    </row>
    <row r="190" spans="1:15">
      <c r="A190" s="40"/>
      <c r="I190" s="40"/>
      <c r="J190" s="40"/>
      <c r="K190" s="40"/>
      <c r="L190" s="40"/>
      <c r="M190" s="40"/>
      <c r="N190" s="40"/>
      <c r="O190" s="40"/>
    </row>
    <row r="191" spans="1:15">
      <c r="A191" s="40"/>
      <c r="I191" s="40"/>
      <c r="J191" s="40"/>
      <c r="K191" s="40"/>
      <c r="L191" s="40"/>
      <c r="M191" s="40"/>
      <c r="N191" s="40"/>
      <c r="O191" s="40"/>
    </row>
    <row r="192" spans="1:15">
      <c r="A192" s="40"/>
      <c r="I192" s="40"/>
      <c r="J192" s="40"/>
      <c r="K192" s="40"/>
      <c r="L192" s="40"/>
      <c r="M192" s="40"/>
      <c r="N192" s="40"/>
      <c r="O192" s="40"/>
    </row>
    <row r="193" spans="1:15">
      <c r="A193" s="40"/>
      <c r="I193" s="40"/>
      <c r="J193" s="40"/>
      <c r="K193" s="40"/>
      <c r="L193" s="40"/>
      <c r="M193" s="40"/>
      <c r="N193" s="40"/>
      <c r="O193" s="40"/>
    </row>
    <row r="194" spans="1:15">
      <c r="A194" s="40"/>
      <c r="I194" s="40"/>
      <c r="J194" s="40"/>
      <c r="K194" s="40"/>
      <c r="L194" s="40"/>
      <c r="M194" s="40"/>
      <c r="N194" s="40"/>
      <c r="O194" s="40"/>
    </row>
    <row r="195" spans="1:15">
      <c r="A195" s="40"/>
      <c r="I195" s="40"/>
      <c r="J195" s="40"/>
      <c r="K195" s="40"/>
      <c r="L195" s="40"/>
      <c r="M195" s="40"/>
      <c r="N195" s="40"/>
      <c r="O195" s="40"/>
    </row>
    <row r="196" spans="1:15">
      <c r="A196" s="40"/>
      <c r="I196" s="40"/>
      <c r="J196" s="40"/>
      <c r="K196" s="40"/>
      <c r="L196" s="40"/>
      <c r="M196" s="40"/>
      <c r="N196" s="40"/>
      <c r="O196" s="40"/>
    </row>
    <row r="197" spans="1:15">
      <c r="A197" s="40"/>
      <c r="I197" s="40"/>
      <c r="J197" s="40"/>
      <c r="K197" s="40"/>
      <c r="L197" s="40"/>
      <c r="M197" s="40"/>
      <c r="N197" s="40"/>
      <c r="O197" s="40"/>
    </row>
    <row r="198" spans="1:15">
      <c r="A198" s="40"/>
      <c r="I198" s="40"/>
      <c r="J198" s="40"/>
      <c r="K198" s="40"/>
      <c r="L198" s="40"/>
      <c r="M198" s="40"/>
      <c r="N198" s="40"/>
      <c r="O198" s="40"/>
    </row>
    <row r="199" spans="1:15">
      <c r="A199" s="40"/>
      <c r="I199" s="40"/>
      <c r="J199" s="40"/>
      <c r="K199" s="40"/>
      <c r="L199" s="40"/>
      <c r="M199" s="40"/>
      <c r="N199" s="40"/>
      <c r="O199" s="40"/>
    </row>
    <row r="200" spans="1:15">
      <c r="A200" s="40"/>
      <c r="I200" s="40"/>
      <c r="J200" s="40"/>
      <c r="K200" s="40"/>
      <c r="L200" s="40"/>
      <c r="M200" s="40"/>
      <c r="N200" s="40"/>
      <c r="O200" s="40"/>
    </row>
    <row r="201" spans="1:15">
      <c r="A201" s="40"/>
      <c r="I201" s="40"/>
      <c r="J201" s="40"/>
      <c r="K201" s="40"/>
      <c r="L201" s="40"/>
      <c r="M201" s="40"/>
      <c r="N201" s="40"/>
      <c r="O201" s="40"/>
    </row>
    <row r="202" spans="1:15">
      <c r="A202" s="40"/>
      <c r="I202" s="40"/>
      <c r="J202" s="40"/>
      <c r="K202" s="40"/>
      <c r="L202" s="40"/>
      <c r="M202" s="40"/>
      <c r="N202" s="40"/>
      <c r="O202" s="40"/>
    </row>
    <row r="203" spans="1:15">
      <c r="A203" s="40"/>
      <c r="I203" s="40"/>
      <c r="J203" s="40"/>
      <c r="K203" s="40"/>
      <c r="L203" s="40"/>
      <c r="M203" s="40"/>
      <c r="N203" s="40"/>
      <c r="O203" s="40"/>
    </row>
    <row r="204" spans="1:15">
      <c r="A204" s="40"/>
      <c r="I204" s="40"/>
      <c r="J204" s="40"/>
      <c r="K204" s="40"/>
      <c r="L204" s="40"/>
      <c r="M204" s="40"/>
      <c r="N204" s="40"/>
      <c r="O204" s="40"/>
    </row>
    <row r="205" spans="1:15">
      <c r="A205" s="40"/>
      <c r="I205" s="40"/>
      <c r="J205" s="40"/>
      <c r="K205" s="40"/>
      <c r="L205" s="40"/>
      <c r="M205" s="40"/>
      <c r="N205" s="40"/>
      <c r="O205" s="40"/>
    </row>
    <row r="206" spans="1:15">
      <c r="A206" s="40"/>
      <c r="I206" s="40"/>
      <c r="J206" s="40"/>
      <c r="K206" s="40"/>
      <c r="L206" s="40"/>
      <c r="M206" s="40"/>
      <c r="N206" s="40"/>
      <c r="O206" s="40"/>
    </row>
    <row r="207" spans="1:15">
      <c r="A207" s="40"/>
      <c r="I207" s="40"/>
      <c r="J207" s="40"/>
      <c r="K207" s="40"/>
      <c r="L207" s="40"/>
      <c r="M207" s="40"/>
      <c r="N207" s="40"/>
      <c r="O207" s="40"/>
    </row>
    <row r="208" spans="1:15">
      <c r="A208" s="40"/>
      <c r="I208" s="40"/>
      <c r="J208" s="40"/>
      <c r="K208" s="40"/>
      <c r="L208" s="40"/>
      <c r="M208" s="40"/>
      <c r="N208" s="40"/>
      <c r="O208" s="40"/>
    </row>
    <row r="209" spans="1:15">
      <c r="A209" s="40"/>
      <c r="I209" s="40"/>
      <c r="J209" s="40"/>
      <c r="K209" s="40"/>
      <c r="L209" s="40"/>
      <c r="M209" s="40"/>
      <c r="N209" s="40"/>
      <c r="O209" s="40"/>
    </row>
    <row r="210" spans="1:15">
      <c r="A210" s="40"/>
      <c r="I210" s="40"/>
      <c r="J210" s="40"/>
      <c r="K210" s="40"/>
      <c r="L210" s="40"/>
      <c r="M210" s="40"/>
      <c r="N210" s="40"/>
      <c r="O210" s="40"/>
    </row>
    <row r="211" spans="1:15">
      <c r="A211" s="40"/>
      <c r="I211" s="40"/>
      <c r="J211" s="40"/>
      <c r="K211" s="40"/>
      <c r="L211" s="40"/>
      <c r="M211" s="40"/>
      <c r="N211" s="40"/>
      <c r="O211" s="40"/>
    </row>
    <row r="212" spans="1:15">
      <c r="A212" s="40"/>
      <c r="I212" s="40"/>
      <c r="J212" s="40"/>
      <c r="K212" s="40"/>
      <c r="L212" s="40"/>
      <c r="M212" s="40"/>
      <c r="N212" s="40"/>
      <c r="O212" s="40"/>
    </row>
    <row r="213" spans="1:15">
      <c r="A213" s="40"/>
      <c r="I213" s="40"/>
      <c r="J213" s="40"/>
      <c r="K213" s="40"/>
      <c r="L213" s="40"/>
      <c r="M213" s="40"/>
      <c r="N213" s="40"/>
      <c r="O213" s="40"/>
    </row>
    <row r="214" spans="1:15">
      <c r="A214" s="40"/>
      <c r="I214" s="40"/>
      <c r="J214" s="40"/>
      <c r="K214" s="40"/>
      <c r="L214" s="40"/>
      <c r="M214" s="40"/>
      <c r="N214" s="40"/>
      <c r="O214" s="40"/>
    </row>
    <row r="215" spans="1:15">
      <c r="A215" s="40"/>
      <c r="I215" s="40"/>
      <c r="J215" s="40"/>
      <c r="K215" s="40"/>
      <c r="L215" s="40"/>
      <c r="M215" s="40"/>
      <c r="N215" s="40"/>
      <c r="O215" s="40"/>
    </row>
    <row r="216" spans="1:15">
      <c r="A216" s="40"/>
      <c r="I216" s="40"/>
      <c r="J216" s="40"/>
      <c r="K216" s="40"/>
      <c r="L216" s="40"/>
      <c r="M216" s="40"/>
      <c r="N216" s="40"/>
      <c r="O216" s="40"/>
    </row>
    <row r="217" spans="1:15">
      <c r="A217" s="40"/>
      <c r="I217" s="40"/>
      <c r="J217" s="40"/>
      <c r="K217" s="40"/>
      <c r="L217" s="40"/>
      <c r="M217" s="40"/>
      <c r="N217" s="40"/>
      <c r="O217" s="40"/>
    </row>
    <row r="218" spans="1:15">
      <c r="A218" s="40"/>
      <c r="I218" s="40"/>
      <c r="J218" s="40"/>
      <c r="K218" s="40"/>
      <c r="L218" s="40"/>
      <c r="M218" s="40"/>
      <c r="N218" s="40"/>
      <c r="O218" s="40"/>
    </row>
    <row r="219" spans="1:15">
      <c r="A219" s="40"/>
      <c r="I219" s="40"/>
      <c r="J219" s="40"/>
      <c r="K219" s="40"/>
      <c r="L219" s="40"/>
      <c r="M219" s="40"/>
      <c r="N219" s="40"/>
      <c r="O219" s="40"/>
    </row>
    <row r="220" spans="1:15">
      <c r="A220" s="40"/>
      <c r="I220" s="40"/>
      <c r="J220" s="40"/>
      <c r="K220" s="40"/>
      <c r="L220" s="40"/>
      <c r="M220" s="40"/>
      <c r="N220" s="40"/>
      <c r="O220" s="40"/>
    </row>
    <row r="221" spans="1:15">
      <c r="A221" s="40"/>
      <c r="I221" s="40"/>
      <c r="J221" s="40"/>
      <c r="K221" s="40"/>
      <c r="L221" s="40"/>
      <c r="M221" s="40"/>
      <c r="N221" s="40"/>
      <c r="O221" s="40"/>
    </row>
    <row r="222" spans="1:15">
      <c r="A222" s="40"/>
      <c r="I222" s="40"/>
      <c r="J222" s="40"/>
      <c r="K222" s="40"/>
      <c r="L222" s="40"/>
      <c r="M222" s="40"/>
      <c r="N222" s="40"/>
      <c r="O222" s="40"/>
    </row>
    <row r="223" spans="1:15">
      <c r="A223" s="40"/>
      <c r="I223" s="40"/>
      <c r="J223" s="40"/>
      <c r="K223" s="40"/>
      <c r="L223" s="40"/>
      <c r="M223" s="40"/>
      <c r="N223" s="40"/>
      <c r="O223" s="40"/>
    </row>
    <row r="224" spans="1:15">
      <c r="A224" s="40"/>
      <c r="I224" s="40"/>
      <c r="J224" s="40"/>
      <c r="K224" s="40"/>
      <c r="L224" s="40"/>
      <c r="M224" s="40"/>
      <c r="N224" s="40"/>
      <c r="O224" s="40"/>
    </row>
    <row r="225" spans="1:15">
      <c r="A225" s="40"/>
      <c r="I225" s="40"/>
      <c r="J225" s="40"/>
      <c r="K225" s="40"/>
      <c r="L225" s="40"/>
      <c r="M225" s="40"/>
      <c r="N225" s="40"/>
      <c r="O225" s="40"/>
    </row>
    <row r="226" spans="1:15">
      <c r="A226" s="40"/>
      <c r="I226" s="40"/>
      <c r="J226" s="40"/>
      <c r="K226" s="40"/>
      <c r="L226" s="40"/>
      <c r="M226" s="40"/>
      <c r="N226" s="40"/>
      <c r="O226" s="40"/>
    </row>
    <row r="227" spans="1:15">
      <c r="A227" s="40"/>
      <c r="I227" s="40"/>
      <c r="J227" s="40"/>
      <c r="K227" s="40"/>
      <c r="L227" s="40"/>
      <c r="M227" s="40"/>
      <c r="N227" s="40"/>
      <c r="O227" s="40"/>
    </row>
    <row r="228" spans="1:15">
      <c r="A228" s="40"/>
      <c r="I228" s="40"/>
      <c r="J228" s="40"/>
      <c r="K228" s="40"/>
      <c r="L228" s="40"/>
      <c r="M228" s="40"/>
      <c r="N228" s="40"/>
      <c r="O228" s="40"/>
    </row>
    <row r="229" spans="1:15">
      <c r="A229" s="40"/>
      <c r="I229" s="40"/>
      <c r="J229" s="40"/>
      <c r="K229" s="40"/>
      <c r="L229" s="40"/>
      <c r="M229" s="40"/>
      <c r="N229" s="40"/>
      <c r="O229" s="40"/>
    </row>
    <row r="230" spans="1:15">
      <c r="A230" s="40"/>
      <c r="I230" s="40"/>
      <c r="J230" s="40"/>
      <c r="K230" s="40"/>
      <c r="L230" s="40"/>
      <c r="M230" s="40"/>
      <c r="N230" s="40"/>
      <c r="O230" s="40"/>
    </row>
    <row r="231" spans="1:15">
      <c r="A231" s="40"/>
      <c r="I231" s="40"/>
      <c r="J231" s="40"/>
      <c r="K231" s="40"/>
      <c r="L231" s="40"/>
      <c r="M231" s="40"/>
      <c r="N231" s="40"/>
      <c r="O231" s="40"/>
    </row>
    <row r="232" spans="1:15">
      <c r="A232" s="40"/>
      <c r="I232" s="40"/>
      <c r="J232" s="40"/>
      <c r="K232" s="40"/>
      <c r="L232" s="40"/>
      <c r="M232" s="40"/>
      <c r="N232" s="40"/>
      <c r="O232" s="40"/>
    </row>
    <row r="233" spans="1:15">
      <c r="A233" s="40"/>
      <c r="I233" s="40"/>
      <c r="J233" s="40"/>
      <c r="K233" s="40"/>
      <c r="L233" s="40"/>
      <c r="M233" s="40"/>
      <c r="N233" s="40"/>
      <c r="O233" s="40"/>
    </row>
    <row r="234" spans="1:15">
      <c r="A234" s="40"/>
      <c r="I234" s="40"/>
      <c r="J234" s="40"/>
      <c r="K234" s="40"/>
      <c r="L234" s="40"/>
      <c r="M234" s="40"/>
      <c r="N234" s="40"/>
      <c r="O234" s="40"/>
    </row>
    <row r="235" spans="1:15">
      <c r="A235" s="40"/>
      <c r="I235" s="40"/>
      <c r="J235" s="40"/>
      <c r="K235" s="40"/>
      <c r="L235" s="40"/>
      <c r="M235" s="40"/>
      <c r="N235" s="40"/>
      <c r="O235" s="40"/>
    </row>
    <row r="236" spans="1:15">
      <c r="A236" s="40"/>
      <c r="I236" s="40"/>
      <c r="J236" s="40"/>
      <c r="K236" s="40"/>
      <c r="L236" s="40"/>
      <c r="M236" s="40"/>
      <c r="N236" s="40"/>
      <c r="O236" s="40"/>
    </row>
    <row r="237" spans="1:15">
      <c r="A237" s="40"/>
      <c r="I237" s="40"/>
      <c r="J237" s="40"/>
      <c r="K237" s="40"/>
      <c r="L237" s="40"/>
      <c r="M237" s="40"/>
      <c r="N237" s="40"/>
      <c r="O237" s="40"/>
    </row>
    <row r="238" spans="1:15">
      <c r="A238" s="40"/>
      <c r="I238" s="40"/>
      <c r="J238" s="40"/>
      <c r="K238" s="40"/>
      <c r="L238" s="40"/>
      <c r="M238" s="40"/>
      <c r="N238" s="40"/>
      <c r="O238" s="40"/>
    </row>
    <row r="239" spans="1:15">
      <c r="A239" s="40"/>
      <c r="I239" s="40"/>
      <c r="J239" s="40"/>
      <c r="K239" s="40"/>
      <c r="L239" s="40"/>
      <c r="M239" s="40"/>
      <c r="N239" s="40"/>
      <c r="O239" s="40"/>
    </row>
    <row r="240" spans="1:15">
      <c r="A240" s="40"/>
      <c r="I240" s="40"/>
      <c r="J240" s="40"/>
      <c r="K240" s="40"/>
      <c r="L240" s="40"/>
      <c r="M240" s="40"/>
      <c r="N240" s="40"/>
      <c r="O240" s="40"/>
    </row>
    <row r="241" spans="1:15">
      <c r="A241" s="40"/>
      <c r="I241" s="40"/>
      <c r="J241" s="40"/>
      <c r="K241" s="40"/>
      <c r="L241" s="40"/>
      <c r="M241" s="40"/>
      <c r="N241" s="40"/>
      <c r="O241" s="40"/>
    </row>
    <row r="242" spans="1:15">
      <c r="A242" s="40"/>
      <c r="I242" s="40"/>
      <c r="J242" s="40"/>
      <c r="K242" s="40"/>
      <c r="L242" s="40"/>
      <c r="M242" s="40"/>
      <c r="N242" s="40"/>
      <c r="O242" s="40"/>
    </row>
    <row r="243" spans="1:15">
      <c r="A243" s="40"/>
      <c r="I243" s="40"/>
      <c r="J243" s="40"/>
      <c r="K243" s="40"/>
      <c r="L243" s="40"/>
      <c r="M243" s="40"/>
      <c r="N243" s="40"/>
      <c r="O243" s="40"/>
    </row>
    <row r="244" spans="1:15">
      <c r="A244" s="40"/>
      <c r="I244" s="40"/>
      <c r="J244" s="40"/>
      <c r="K244" s="40"/>
      <c r="L244" s="40"/>
      <c r="M244" s="40"/>
      <c r="N244" s="40"/>
      <c r="O244" s="40"/>
    </row>
    <row r="245" spans="1:15">
      <c r="A245" s="40"/>
      <c r="I245" s="40"/>
      <c r="J245" s="40"/>
      <c r="K245" s="40"/>
      <c r="L245" s="40"/>
      <c r="M245" s="40"/>
      <c r="N245" s="40"/>
      <c r="O245" s="40"/>
    </row>
    <row r="246" spans="1:15">
      <c r="A246" s="40"/>
      <c r="I246" s="40"/>
      <c r="J246" s="40"/>
      <c r="K246" s="40"/>
      <c r="L246" s="40"/>
      <c r="M246" s="40"/>
      <c r="N246" s="40"/>
      <c r="O246" s="40"/>
    </row>
    <row r="247" spans="1:15">
      <c r="A247" s="40"/>
      <c r="I247" s="40"/>
      <c r="J247" s="40"/>
      <c r="K247" s="40"/>
      <c r="L247" s="40"/>
      <c r="M247" s="40"/>
      <c r="N247" s="40"/>
      <c r="O247" s="40"/>
    </row>
    <row r="248" spans="1:15">
      <c r="A248" s="40"/>
      <c r="I248" s="40"/>
      <c r="J248" s="40"/>
      <c r="K248" s="40"/>
      <c r="L248" s="40"/>
      <c r="M248" s="40"/>
      <c r="N248" s="40"/>
      <c r="O248" s="40"/>
    </row>
    <row r="249" spans="1:15">
      <c r="A249" s="40"/>
      <c r="I249" s="40"/>
      <c r="J249" s="40"/>
      <c r="K249" s="40"/>
      <c r="L249" s="40"/>
      <c r="M249" s="40"/>
      <c r="N249" s="40"/>
      <c r="O249" s="40"/>
    </row>
    <row r="250" spans="1:15">
      <c r="A250" s="40"/>
      <c r="I250" s="40"/>
      <c r="J250" s="40"/>
      <c r="K250" s="40"/>
      <c r="L250" s="40"/>
      <c r="M250" s="40"/>
      <c r="N250" s="40"/>
      <c r="O250" s="40"/>
    </row>
    <row r="251" spans="1:15">
      <c r="A251" s="40"/>
      <c r="I251" s="40"/>
      <c r="J251" s="40"/>
      <c r="K251" s="40"/>
      <c r="L251" s="40"/>
      <c r="M251" s="40"/>
      <c r="N251" s="40"/>
      <c r="O251" s="40"/>
    </row>
    <row r="252" spans="1:15">
      <c r="A252" s="40"/>
      <c r="I252" s="40"/>
      <c r="J252" s="40"/>
      <c r="K252" s="40"/>
      <c r="L252" s="40"/>
      <c r="M252" s="40"/>
      <c r="N252" s="40"/>
      <c r="O252" s="40"/>
    </row>
    <row r="253" spans="1:15">
      <c r="A253" s="40"/>
      <c r="I253" s="40"/>
      <c r="J253" s="40"/>
      <c r="K253" s="40"/>
      <c r="L253" s="40"/>
      <c r="M253" s="40"/>
      <c r="N253" s="40"/>
      <c r="O253" s="40"/>
    </row>
    <row r="254" spans="1:15">
      <c r="A254" s="40"/>
      <c r="I254" s="40"/>
      <c r="J254" s="40"/>
      <c r="K254" s="40"/>
      <c r="L254" s="40"/>
      <c r="M254" s="40"/>
      <c r="N254" s="40"/>
      <c r="O254" s="40"/>
    </row>
    <row r="255" spans="1:15">
      <c r="A255" s="40"/>
      <c r="I255" s="40"/>
      <c r="J255" s="40"/>
      <c r="K255" s="40"/>
      <c r="L255" s="40"/>
      <c r="M255" s="40"/>
      <c r="N255" s="40"/>
      <c r="O255" s="40"/>
    </row>
    <row r="256" spans="1:15">
      <c r="A256" s="40"/>
      <c r="I256" s="40"/>
      <c r="J256" s="40"/>
      <c r="K256" s="40"/>
      <c r="L256" s="40"/>
      <c r="M256" s="40"/>
      <c r="N256" s="40"/>
      <c r="O256" s="40"/>
    </row>
    <row r="257" spans="1:15">
      <c r="A257" s="40"/>
      <c r="I257" s="40"/>
      <c r="J257" s="40"/>
      <c r="K257" s="40"/>
      <c r="L257" s="40"/>
      <c r="M257" s="40"/>
      <c r="N257" s="40"/>
      <c r="O257" s="40"/>
    </row>
    <row r="258" spans="1:15">
      <c r="A258" s="40"/>
      <c r="I258" s="40"/>
      <c r="J258" s="40"/>
      <c r="K258" s="40"/>
      <c r="L258" s="40"/>
      <c r="M258" s="40"/>
      <c r="N258" s="40"/>
      <c r="O258" s="40"/>
    </row>
    <row r="259" spans="1:15">
      <c r="A259" s="40"/>
      <c r="I259" s="40"/>
      <c r="J259" s="40"/>
      <c r="K259" s="40"/>
      <c r="L259" s="40"/>
      <c r="M259" s="40"/>
      <c r="N259" s="40"/>
      <c r="O259" s="40"/>
    </row>
    <row r="260" spans="1:15">
      <c r="A260" s="40"/>
      <c r="I260" s="40"/>
      <c r="J260" s="40"/>
      <c r="K260" s="40"/>
      <c r="L260" s="40"/>
      <c r="M260" s="40"/>
      <c r="N260" s="40"/>
      <c r="O260" s="40"/>
    </row>
    <row r="261" spans="1:15">
      <c r="A261" s="40"/>
      <c r="I261" s="40"/>
      <c r="J261" s="40"/>
      <c r="K261" s="40"/>
      <c r="L261" s="40"/>
      <c r="M261" s="40"/>
      <c r="N261" s="40"/>
      <c r="O261" s="40"/>
    </row>
    <row r="262" spans="1:15">
      <c r="A262" s="40"/>
      <c r="I262" s="40"/>
      <c r="J262" s="40"/>
      <c r="K262" s="40"/>
      <c r="L262" s="40"/>
      <c r="M262" s="40"/>
      <c r="N262" s="40"/>
      <c r="O262" s="40"/>
    </row>
    <row r="263" spans="1:15">
      <c r="A263" s="40"/>
      <c r="I263" s="40"/>
      <c r="J263" s="40"/>
      <c r="K263" s="40"/>
      <c r="L263" s="40"/>
      <c r="M263" s="40"/>
      <c r="N263" s="40"/>
      <c r="O263" s="40"/>
    </row>
    <row r="264" spans="1:15">
      <c r="A264" s="40"/>
      <c r="I264" s="40"/>
      <c r="J264" s="40"/>
      <c r="K264" s="40"/>
      <c r="L264" s="40"/>
      <c r="M264" s="40"/>
      <c r="N264" s="40"/>
      <c r="O264" s="40"/>
    </row>
    <row r="265" spans="1:15">
      <c r="A265" s="40"/>
      <c r="I265" s="40"/>
      <c r="J265" s="40"/>
      <c r="K265" s="40"/>
      <c r="L265" s="40"/>
      <c r="M265" s="40"/>
      <c r="N265" s="40"/>
      <c r="O265" s="40"/>
    </row>
    <row r="266" spans="1:15">
      <c r="A266" s="40"/>
      <c r="I266" s="40"/>
      <c r="J266" s="40"/>
      <c r="K266" s="40"/>
      <c r="L266" s="40"/>
      <c r="M266" s="40"/>
      <c r="N266" s="40"/>
      <c r="O266" s="40"/>
    </row>
    <row r="267" spans="1:15">
      <c r="A267" s="40"/>
      <c r="I267" s="40"/>
      <c r="J267" s="40"/>
      <c r="K267" s="40"/>
      <c r="L267" s="40"/>
      <c r="M267" s="40"/>
      <c r="N267" s="40"/>
      <c r="O267" s="40"/>
    </row>
    <row r="268" spans="1:15">
      <c r="A268" s="40"/>
      <c r="I268" s="40"/>
      <c r="J268" s="40"/>
      <c r="K268" s="40"/>
      <c r="L268" s="40"/>
      <c r="M268" s="40"/>
      <c r="N268" s="40"/>
      <c r="O268" s="40"/>
    </row>
    <row r="269" spans="1:15">
      <c r="A269" s="40"/>
      <c r="I269" s="40"/>
      <c r="J269" s="40"/>
      <c r="K269" s="40"/>
      <c r="L269" s="40"/>
      <c r="M269" s="40"/>
      <c r="N269" s="40"/>
      <c r="O269" s="40"/>
    </row>
    <row r="270" spans="1:15">
      <c r="A270" s="40"/>
      <c r="I270" s="40"/>
      <c r="J270" s="40"/>
      <c r="K270" s="40"/>
      <c r="L270" s="40"/>
      <c r="M270" s="40"/>
      <c r="N270" s="40"/>
      <c r="O270" s="40"/>
    </row>
    <row r="271" spans="1:15">
      <c r="A271" s="40"/>
      <c r="I271" s="40"/>
      <c r="J271" s="40"/>
      <c r="K271" s="40"/>
      <c r="L271" s="40"/>
      <c r="M271" s="40"/>
      <c r="N271" s="40"/>
      <c r="O271" s="40"/>
    </row>
    <row r="272" spans="1:15">
      <c r="A272" s="40"/>
      <c r="I272" s="40"/>
      <c r="J272" s="40"/>
      <c r="K272" s="40"/>
      <c r="L272" s="40"/>
      <c r="M272" s="40"/>
      <c r="N272" s="40"/>
      <c r="O272" s="40"/>
    </row>
    <row r="273" spans="1:15">
      <c r="A273" s="40"/>
      <c r="I273" s="40"/>
      <c r="J273" s="40"/>
      <c r="K273" s="40"/>
      <c r="L273" s="40"/>
      <c r="M273" s="40"/>
      <c r="N273" s="40"/>
      <c r="O273" s="40"/>
    </row>
    <row r="274" spans="1:15">
      <c r="A274" s="40"/>
      <c r="I274" s="40"/>
      <c r="J274" s="40"/>
      <c r="K274" s="40"/>
      <c r="L274" s="40"/>
      <c r="M274" s="40"/>
      <c r="N274" s="40"/>
      <c r="O274" s="40"/>
    </row>
    <row r="275" spans="1:15">
      <c r="A275" s="40"/>
      <c r="I275" s="40"/>
      <c r="J275" s="40"/>
      <c r="K275" s="40"/>
      <c r="L275" s="40"/>
      <c r="M275" s="40"/>
      <c r="N275" s="40"/>
      <c r="O275" s="40"/>
    </row>
    <row r="276" spans="1:15">
      <c r="A276" s="40"/>
      <c r="I276" s="40"/>
      <c r="J276" s="40"/>
      <c r="K276" s="40"/>
      <c r="L276" s="40"/>
      <c r="M276" s="40"/>
      <c r="N276" s="40"/>
      <c r="O276" s="40"/>
    </row>
    <row r="277" spans="1:15">
      <c r="A277" s="40"/>
      <c r="I277" s="40"/>
      <c r="J277" s="40"/>
      <c r="K277" s="40"/>
      <c r="L277" s="40"/>
      <c r="M277" s="40"/>
      <c r="N277" s="40"/>
      <c r="O277" s="40"/>
    </row>
    <row r="278" spans="1:15">
      <c r="A278" s="40"/>
      <c r="I278" s="40"/>
      <c r="J278" s="40"/>
      <c r="K278" s="40"/>
      <c r="L278" s="40"/>
      <c r="M278" s="40"/>
      <c r="N278" s="40"/>
      <c r="O278" s="40"/>
    </row>
    <row r="279" spans="1:15">
      <c r="A279" s="40"/>
      <c r="I279" s="40"/>
      <c r="J279" s="40"/>
      <c r="K279" s="40"/>
      <c r="L279" s="40"/>
      <c r="M279" s="40"/>
      <c r="N279" s="40"/>
      <c r="O279" s="40"/>
    </row>
    <row r="280" spans="1:15">
      <c r="A280" s="40"/>
      <c r="I280" s="40"/>
      <c r="J280" s="40"/>
      <c r="K280" s="40"/>
      <c r="L280" s="40"/>
      <c r="M280" s="40"/>
      <c r="N280" s="40"/>
      <c r="O280" s="40"/>
    </row>
    <row r="281" spans="1:15">
      <c r="A281" s="40"/>
      <c r="I281" s="40"/>
      <c r="J281" s="40"/>
      <c r="K281" s="40"/>
      <c r="L281" s="40"/>
      <c r="M281" s="40"/>
      <c r="N281" s="40"/>
      <c r="O281" s="40"/>
    </row>
    <row r="282" spans="1:15">
      <c r="A282" s="40"/>
      <c r="I282" s="40"/>
      <c r="J282" s="40"/>
      <c r="K282" s="40"/>
      <c r="L282" s="40"/>
      <c r="M282" s="40"/>
      <c r="N282" s="40"/>
      <c r="O282" s="40"/>
    </row>
    <row r="283" spans="1:15">
      <c r="A283" s="40"/>
      <c r="I283" s="40"/>
      <c r="J283" s="40"/>
      <c r="K283" s="40"/>
      <c r="L283" s="40"/>
      <c r="M283" s="40"/>
      <c r="N283" s="40"/>
      <c r="O283" s="40"/>
    </row>
    <row r="284" spans="1:15">
      <c r="A284" s="40"/>
      <c r="I284" s="40"/>
      <c r="J284" s="40"/>
      <c r="K284" s="40"/>
      <c r="L284" s="40"/>
      <c r="M284" s="40"/>
      <c r="N284" s="40"/>
      <c r="O284" s="40"/>
    </row>
    <row r="285" spans="1:15">
      <c r="A285" s="40"/>
      <c r="I285" s="40"/>
      <c r="J285" s="40"/>
      <c r="K285" s="40"/>
      <c r="L285" s="40"/>
      <c r="M285" s="40"/>
      <c r="N285" s="40"/>
      <c r="O285" s="40"/>
    </row>
    <row r="286" spans="1:15">
      <c r="A286" s="40"/>
      <c r="I286" s="40"/>
      <c r="J286" s="40"/>
      <c r="K286" s="40"/>
      <c r="L286" s="40"/>
      <c r="M286" s="40"/>
      <c r="N286" s="40"/>
      <c r="O286" s="40"/>
    </row>
    <row r="287" spans="1:15">
      <c r="A287" s="40"/>
      <c r="I287" s="40"/>
      <c r="J287" s="40"/>
      <c r="K287" s="40"/>
      <c r="L287" s="40"/>
      <c r="M287" s="40"/>
      <c r="N287" s="40"/>
      <c r="O287" s="40"/>
    </row>
    <row r="288" spans="1:15">
      <c r="A288" s="40"/>
      <c r="I288" s="40"/>
      <c r="J288" s="40"/>
      <c r="K288" s="40"/>
      <c r="L288" s="40"/>
      <c r="M288" s="40"/>
      <c r="N288" s="40"/>
      <c r="O288" s="40"/>
    </row>
    <row r="289" spans="1:15">
      <c r="A289" s="40"/>
      <c r="I289" s="40"/>
      <c r="J289" s="40"/>
      <c r="K289" s="40"/>
      <c r="L289" s="40"/>
      <c r="M289" s="40"/>
      <c r="N289" s="40"/>
      <c r="O289" s="40"/>
    </row>
    <row r="290" spans="1:15">
      <c r="A290" s="40"/>
      <c r="I290" s="40"/>
      <c r="J290" s="40"/>
      <c r="K290" s="40"/>
      <c r="L290" s="40"/>
      <c r="M290" s="40"/>
      <c r="N290" s="40"/>
      <c r="O290" s="40"/>
    </row>
    <row r="291" spans="1:15">
      <c r="A291" s="40"/>
      <c r="I291" s="40"/>
      <c r="J291" s="40"/>
      <c r="K291" s="40"/>
      <c r="L291" s="40"/>
      <c r="M291" s="40"/>
      <c r="N291" s="40"/>
      <c r="O291" s="40"/>
    </row>
    <row r="292" spans="1:15">
      <c r="A292" s="40"/>
      <c r="I292" s="40"/>
      <c r="J292" s="40"/>
      <c r="K292" s="40"/>
      <c r="L292" s="40"/>
      <c r="M292" s="40"/>
      <c r="N292" s="40"/>
      <c r="O292" s="40"/>
    </row>
    <row r="293" spans="1:15">
      <c r="A293" s="40"/>
      <c r="I293" s="40"/>
      <c r="J293" s="40"/>
      <c r="K293" s="40"/>
      <c r="L293" s="40"/>
      <c r="M293" s="40"/>
      <c r="N293" s="40"/>
      <c r="O293" s="40"/>
    </row>
    <row r="294" spans="1:15">
      <c r="A294" s="40"/>
      <c r="I294" s="40"/>
      <c r="J294" s="40"/>
      <c r="K294" s="40"/>
      <c r="L294" s="40"/>
      <c r="M294" s="40"/>
      <c r="N294" s="40"/>
      <c r="O294" s="40"/>
    </row>
    <row r="295" spans="1:15">
      <c r="A295" s="40"/>
      <c r="I295" s="40"/>
      <c r="J295" s="40"/>
      <c r="K295" s="40"/>
      <c r="L295" s="40"/>
      <c r="M295" s="40"/>
      <c r="N295" s="40"/>
      <c r="O295" s="40"/>
    </row>
    <row r="296" spans="1:15">
      <c r="A296" s="40"/>
      <c r="I296" s="40"/>
      <c r="J296" s="40"/>
      <c r="K296" s="40"/>
      <c r="L296" s="40"/>
      <c r="M296" s="40"/>
      <c r="N296" s="40"/>
      <c r="O296" s="40"/>
    </row>
    <row r="297" spans="1:15">
      <c r="A297" s="40"/>
      <c r="I297" s="40"/>
      <c r="J297" s="40"/>
      <c r="K297" s="40"/>
      <c r="L297" s="40"/>
      <c r="M297" s="40"/>
      <c r="N297" s="40"/>
      <c r="O297" s="40"/>
    </row>
    <row r="298" spans="1:15">
      <c r="A298" s="40"/>
      <c r="I298" s="40"/>
      <c r="J298" s="40"/>
      <c r="K298" s="40"/>
      <c r="L298" s="40"/>
      <c r="M298" s="40"/>
      <c r="N298" s="40"/>
      <c r="O298" s="40"/>
    </row>
    <row r="299" spans="1:15">
      <c r="A299" s="40"/>
      <c r="I299" s="40"/>
      <c r="J299" s="40"/>
      <c r="K299" s="40"/>
      <c r="L299" s="40"/>
      <c r="M299" s="40"/>
      <c r="N299" s="40"/>
      <c r="O299" s="40"/>
    </row>
    <row r="300" spans="1:15">
      <c r="A300" s="40"/>
      <c r="I300" s="40"/>
      <c r="J300" s="40"/>
      <c r="K300" s="40"/>
      <c r="L300" s="40"/>
      <c r="M300" s="40"/>
      <c r="N300" s="40"/>
      <c r="O300" s="40"/>
    </row>
    <row r="301" spans="1:15">
      <c r="A301" s="40"/>
      <c r="I301" s="40"/>
      <c r="J301" s="40"/>
      <c r="K301" s="40"/>
      <c r="L301" s="40"/>
      <c r="M301" s="40"/>
      <c r="N301" s="40"/>
      <c r="O301" s="40"/>
    </row>
    <row r="302" spans="1:15">
      <c r="A302" s="40"/>
      <c r="I302" s="40"/>
      <c r="J302" s="40"/>
      <c r="K302" s="40"/>
      <c r="L302" s="40"/>
      <c r="M302" s="40"/>
      <c r="N302" s="40"/>
      <c r="O302" s="40"/>
    </row>
    <row r="303" spans="1:15">
      <c r="A303" s="40"/>
      <c r="I303" s="40"/>
      <c r="J303" s="40"/>
      <c r="K303" s="40"/>
      <c r="L303" s="40"/>
      <c r="M303" s="40"/>
      <c r="N303" s="40"/>
      <c r="O303" s="40"/>
    </row>
    <row r="304" spans="1:15">
      <c r="A304" s="40"/>
      <c r="I304" s="40"/>
      <c r="J304" s="40"/>
      <c r="K304" s="40"/>
      <c r="L304" s="40"/>
      <c r="M304" s="40"/>
      <c r="N304" s="40"/>
      <c r="O304" s="40"/>
    </row>
    <row r="305" spans="1:15">
      <c r="A305" s="40"/>
      <c r="I305" s="40"/>
      <c r="J305" s="40"/>
      <c r="K305" s="40"/>
      <c r="L305" s="40"/>
      <c r="M305" s="40"/>
      <c r="N305" s="40"/>
      <c r="O305" s="40"/>
    </row>
    <row r="306" spans="1:15">
      <c r="A306" s="40"/>
      <c r="I306" s="40"/>
      <c r="J306" s="40"/>
      <c r="K306" s="40"/>
      <c r="L306" s="40"/>
      <c r="M306" s="40"/>
      <c r="N306" s="40"/>
      <c r="O306" s="40"/>
    </row>
    <row r="307" spans="1:15">
      <c r="A307" s="40"/>
      <c r="I307" s="40"/>
      <c r="J307" s="40"/>
      <c r="K307" s="40"/>
      <c r="L307" s="40"/>
      <c r="M307" s="40"/>
      <c r="N307" s="40"/>
      <c r="O307" s="40"/>
    </row>
    <row r="308" spans="1:15">
      <c r="A308" s="40"/>
      <c r="I308" s="40"/>
      <c r="J308" s="40"/>
      <c r="K308" s="40"/>
      <c r="L308" s="40"/>
      <c r="M308" s="40"/>
      <c r="N308" s="40"/>
      <c r="O308" s="40"/>
    </row>
    <row r="309" spans="1:15">
      <c r="A309" s="40"/>
      <c r="I309" s="40"/>
      <c r="J309" s="40"/>
      <c r="K309" s="40"/>
      <c r="L309" s="40"/>
      <c r="M309" s="40"/>
      <c r="N309" s="40"/>
      <c r="O309" s="40"/>
    </row>
    <row r="310" spans="1:15">
      <c r="A310" s="40"/>
      <c r="I310" s="40"/>
      <c r="J310" s="40"/>
      <c r="K310" s="40"/>
      <c r="L310" s="40"/>
      <c r="M310" s="40"/>
      <c r="N310" s="40"/>
      <c r="O310" s="40"/>
    </row>
    <row r="311" spans="1:15">
      <c r="A311" s="40"/>
      <c r="I311" s="40"/>
      <c r="J311" s="40"/>
      <c r="K311" s="40"/>
      <c r="L311" s="40"/>
      <c r="M311" s="40"/>
      <c r="N311" s="40"/>
      <c r="O311" s="40"/>
    </row>
    <row r="312" spans="1:15">
      <c r="A312" s="40"/>
      <c r="I312" s="40"/>
      <c r="J312" s="40"/>
      <c r="K312" s="40"/>
      <c r="L312" s="40"/>
      <c r="M312" s="40"/>
      <c r="N312" s="40"/>
      <c r="O312" s="40"/>
    </row>
    <row r="313" spans="1:15">
      <c r="A313" s="40"/>
      <c r="I313" s="40"/>
      <c r="J313" s="40"/>
      <c r="K313" s="40"/>
      <c r="L313" s="40"/>
      <c r="M313" s="40"/>
      <c r="N313" s="40"/>
      <c r="O313" s="40"/>
    </row>
    <row r="314" spans="1:15">
      <c r="A314" s="40"/>
      <c r="I314" s="40"/>
      <c r="J314" s="40"/>
      <c r="K314" s="40"/>
      <c r="L314" s="40"/>
      <c r="M314" s="40"/>
      <c r="N314" s="40"/>
      <c r="O314" s="40"/>
    </row>
    <row r="315" spans="1:15">
      <c r="A315" s="40"/>
      <c r="I315" s="40"/>
      <c r="J315" s="40"/>
      <c r="K315" s="40"/>
      <c r="L315" s="40"/>
      <c r="M315" s="40"/>
      <c r="N315" s="40"/>
      <c r="O315" s="40"/>
    </row>
    <row r="316" spans="1:15">
      <c r="A316" s="40"/>
      <c r="I316" s="40"/>
      <c r="J316" s="40"/>
      <c r="K316" s="40"/>
      <c r="L316" s="40"/>
      <c r="M316" s="40"/>
      <c r="N316" s="40"/>
      <c r="O316" s="40"/>
    </row>
    <row r="317" spans="1:15">
      <c r="A317" s="40"/>
      <c r="I317" s="40"/>
      <c r="J317" s="40"/>
      <c r="K317" s="40"/>
      <c r="L317" s="40"/>
      <c r="M317" s="40"/>
      <c r="N317" s="40"/>
      <c r="O317" s="40"/>
    </row>
    <row r="318" spans="1:15">
      <c r="A318" s="40"/>
      <c r="I318" s="40"/>
      <c r="J318" s="40"/>
      <c r="K318" s="40"/>
      <c r="L318" s="40"/>
      <c r="M318" s="40"/>
      <c r="N318" s="40"/>
      <c r="O318" s="40"/>
    </row>
    <row r="319" spans="1:15">
      <c r="A319" s="40"/>
      <c r="I319" s="40"/>
      <c r="J319" s="40"/>
      <c r="K319" s="40"/>
      <c r="L319" s="40"/>
      <c r="M319" s="40"/>
      <c r="N319" s="40"/>
      <c r="O319" s="40"/>
    </row>
    <row r="320" spans="1:15">
      <c r="A320" s="40"/>
      <c r="I320" s="40"/>
      <c r="J320" s="40"/>
      <c r="K320" s="40"/>
      <c r="L320" s="40"/>
      <c r="M320" s="40"/>
      <c r="N320" s="40"/>
      <c r="O320" s="40"/>
    </row>
    <row r="321" spans="1:15">
      <c r="A321" s="40"/>
      <c r="I321" s="40"/>
      <c r="J321" s="40"/>
      <c r="K321" s="40"/>
      <c r="L321" s="40"/>
      <c r="M321" s="40"/>
      <c r="N321" s="40"/>
      <c r="O321" s="40"/>
    </row>
    <row r="322" spans="1:15">
      <c r="A322" s="40"/>
      <c r="I322" s="40"/>
      <c r="J322" s="40"/>
      <c r="K322" s="40"/>
      <c r="L322" s="40"/>
      <c r="M322" s="40"/>
      <c r="N322" s="40"/>
      <c r="O322" s="40"/>
    </row>
    <row r="323" spans="1:15">
      <c r="A323" s="40"/>
      <c r="I323" s="40"/>
      <c r="J323" s="40"/>
      <c r="K323" s="40"/>
      <c r="L323" s="40"/>
      <c r="M323" s="40"/>
      <c r="N323" s="40"/>
      <c r="O323" s="40"/>
    </row>
    <row r="324" spans="1:15">
      <c r="A324" s="40"/>
      <c r="I324" s="40"/>
      <c r="J324" s="40"/>
      <c r="K324" s="40"/>
      <c r="L324" s="40"/>
      <c r="M324" s="40"/>
      <c r="N324" s="40"/>
      <c r="O324" s="40"/>
    </row>
    <row r="325" spans="1:15">
      <c r="A325" s="40"/>
      <c r="I325" s="40"/>
      <c r="J325" s="40"/>
      <c r="K325" s="40"/>
      <c r="L325" s="40"/>
      <c r="M325" s="40"/>
      <c r="N325" s="40"/>
      <c r="O325" s="40"/>
    </row>
    <row r="326" spans="1:15">
      <c r="A326" s="40"/>
      <c r="I326" s="40"/>
      <c r="J326" s="40"/>
      <c r="K326" s="40"/>
      <c r="L326" s="40"/>
      <c r="M326" s="40"/>
      <c r="N326" s="40"/>
      <c r="O326" s="40"/>
    </row>
    <row r="327" spans="1:15">
      <c r="A327" s="40"/>
      <c r="I327" s="40"/>
      <c r="J327" s="40"/>
      <c r="K327" s="40"/>
      <c r="L327" s="40"/>
      <c r="M327" s="40"/>
      <c r="N327" s="40"/>
      <c r="O327" s="40"/>
    </row>
    <row r="328" spans="1:15">
      <c r="A328" s="40"/>
      <c r="I328" s="40"/>
      <c r="J328" s="40"/>
      <c r="K328" s="40"/>
      <c r="L328" s="40"/>
      <c r="M328" s="40"/>
      <c r="N328" s="40"/>
      <c r="O328" s="40"/>
    </row>
    <row r="329" spans="1:15">
      <c r="A329" s="40"/>
      <c r="I329" s="40"/>
      <c r="J329" s="40"/>
      <c r="K329" s="40"/>
      <c r="L329" s="40"/>
      <c r="M329" s="40"/>
      <c r="N329" s="40"/>
      <c r="O329" s="40"/>
    </row>
    <row r="330" spans="1:15">
      <c r="A330" s="40"/>
      <c r="I330" s="40"/>
      <c r="J330" s="40"/>
      <c r="K330" s="40"/>
      <c r="L330" s="40"/>
      <c r="M330" s="40"/>
      <c r="N330" s="40"/>
      <c r="O330" s="40"/>
    </row>
    <row r="331" spans="1:15">
      <c r="A331" s="40"/>
      <c r="I331" s="40"/>
      <c r="J331" s="40"/>
      <c r="K331" s="40"/>
      <c r="L331" s="40"/>
      <c r="M331" s="40"/>
      <c r="N331" s="40"/>
      <c r="O331" s="40"/>
    </row>
    <row r="332" spans="1:15">
      <c r="A332" s="40"/>
      <c r="I332" s="40"/>
      <c r="J332" s="40"/>
      <c r="K332" s="40"/>
      <c r="L332" s="40"/>
      <c r="M332" s="40"/>
      <c r="N332" s="40"/>
      <c r="O332" s="40"/>
    </row>
    <row r="333" spans="1:15">
      <c r="A333" s="40"/>
      <c r="I333" s="40"/>
      <c r="J333" s="40"/>
      <c r="K333" s="40"/>
      <c r="L333" s="40"/>
      <c r="M333" s="40"/>
      <c r="N333" s="40"/>
      <c r="O333" s="40"/>
    </row>
    <row r="334" spans="1:15">
      <c r="A334" s="40"/>
      <c r="I334" s="40"/>
      <c r="J334" s="40"/>
      <c r="K334" s="40"/>
      <c r="L334" s="40"/>
      <c r="M334" s="40"/>
      <c r="N334" s="40"/>
      <c r="O334" s="40"/>
    </row>
    <row r="335" spans="1:15">
      <c r="A335" s="40"/>
      <c r="I335" s="40"/>
      <c r="J335" s="40"/>
      <c r="K335" s="40"/>
      <c r="L335" s="40"/>
      <c r="M335" s="40"/>
      <c r="N335" s="40"/>
      <c r="O335" s="40"/>
    </row>
    <row r="336" spans="1:15">
      <c r="A336" s="40"/>
      <c r="I336" s="40"/>
      <c r="J336" s="40"/>
      <c r="K336" s="40"/>
      <c r="L336" s="40"/>
      <c r="M336" s="40"/>
      <c r="N336" s="40"/>
      <c r="O336" s="40"/>
    </row>
    <row r="337" spans="1:15">
      <c r="A337" s="40"/>
      <c r="I337" s="40"/>
      <c r="J337" s="40"/>
      <c r="K337" s="40"/>
      <c r="L337" s="40"/>
      <c r="M337" s="40"/>
      <c r="N337" s="40"/>
      <c r="O337" s="40"/>
    </row>
    <row r="338" spans="1:15">
      <c r="A338" s="40"/>
      <c r="I338" s="40"/>
      <c r="J338" s="40"/>
      <c r="K338" s="40"/>
      <c r="L338" s="40"/>
      <c r="M338" s="40"/>
      <c r="N338" s="40"/>
      <c r="O338" s="40"/>
    </row>
    <row r="339" spans="1:15">
      <c r="A339" s="40"/>
      <c r="I339" s="40"/>
      <c r="J339" s="40"/>
      <c r="K339" s="40"/>
      <c r="L339" s="40"/>
      <c r="M339" s="40"/>
      <c r="N339" s="40"/>
      <c r="O339" s="40"/>
    </row>
    <row r="340" spans="1:15">
      <c r="A340" s="40"/>
      <c r="I340" s="40"/>
      <c r="J340" s="40"/>
      <c r="K340" s="40"/>
      <c r="L340" s="40"/>
      <c r="M340" s="40"/>
      <c r="N340" s="40"/>
      <c r="O340" s="40"/>
    </row>
    <row r="341" spans="1:15">
      <c r="A341" s="40"/>
      <c r="I341" s="40"/>
      <c r="J341" s="40"/>
      <c r="K341" s="40"/>
      <c r="L341" s="40"/>
      <c r="M341" s="40"/>
      <c r="N341" s="40"/>
      <c r="O341" s="40"/>
    </row>
    <row r="342" spans="1:15">
      <c r="A342" s="40"/>
      <c r="I342" s="40"/>
      <c r="J342" s="40"/>
      <c r="K342" s="40"/>
      <c r="L342" s="40"/>
      <c r="M342" s="40"/>
      <c r="N342" s="40"/>
      <c r="O342" s="40"/>
    </row>
    <row r="343" spans="1:15">
      <c r="A343" s="40"/>
      <c r="I343" s="40"/>
      <c r="J343" s="40"/>
      <c r="K343" s="40"/>
      <c r="L343" s="40"/>
      <c r="M343" s="40"/>
      <c r="N343" s="40"/>
      <c r="O343" s="40"/>
    </row>
    <row r="344" spans="1:15">
      <c r="A344" s="40"/>
      <c r="I344" s="40"/>
      <c r="J344" s="40"/>
      <c r="K344" s="40"/>
      <c r="L344" s="40"/>
      <c r="M344" s="40"/>
      <c r="N344" s="40"/>
      <c r="O344" s="40"/>
    </row>
    <row r="345" spans="1:15">
      <c r="A345" s="40"/>
      <c r="I345" s="40"/>
      <c r="J345" s="40"/>
      <c r="K345" s="40"/>
      <c r="L345" s="40"/>
      <c r="M345" s="40"/>
      <c r="N345" s="40"/>
      <c r="O345" s="40"/>
    </row>
    <row r="346" spans="1:15">
      <c r="A346" s="40"/>
      <c r="I346" s="40"/>
      <c r="J346" s="40"/>
      <c r="K346" s="40"/>
      <c r="L346" s="40"/>
      <c r="M346" s="40"/>
      <c r="N346" s="40"/>
      <c r="O346" s="40"/>
    </row>
    <row r="347" spans="1:15">
      <c r="A347" s="40"/>
      <c r="I347" s="40"/>
      <c r="J347" s="40"/>
      <c r="K347" s="40"/>
      <c r="L347" s="40"/>
      <c r="M347" s="40"/>
      <c r="N347" s="40"/>
      <c r="O347" s="40"/>
    </row>
    <row r="348" spans="1:15">
      <c r="A348" s="40"/>
      <c r="I348" s="40"/>
      <c r="J348" s="40"/>
      <c r="K348" s="40"/>
      <c r="L348" s="40"/>
      <c r="M348" s="40"/>
      <c r="N348" s="40"/>
      <c r="O348" s="40"/>
    </row>
    <row r="349" spans="1:15">
      <c r="A349" s="40"/>
      <c r="I349" s="40"/>
      <c r="J349" s="40"/>
      <c r="K349" s="40"/>
      <c r="L349" s="40"/>
      <c r="M349" s="40"/>
      <c r="N349" s="40"/>
      <c r="O349" s="40"/>
    </row>
    <row r="350" spans="1:15">
      <c r="A350" s="40"/>
      <c r="I350" s="40"/>
      <c r="J350" s="40"/>
      <c r="K350" s="40"/>
      <c r="L350" s="40"/>
      <c r="M350" s="40"/>
      <c r="N350" s="40"/>
      <c r="O350" s="40"/>
    </row>
    <row r="351" spans="1:15">
      <c r="A351" s="40"/>
      <c r="I351" s="40"/>
      <c r="J351" s="40"/>
      <c r="K351" s="40"/>
      <c r="L351" s="40"/>
      <c r="M351" s="40"/>
      <c r="N351" s="40"/>
      <c r="O351" s="40"/>
    </row>
    <row r="352" spans="1:15">
      <c r="A352" s="40"/>
      <c r="I352" s="40"/>
      <c r="J352" s="40"/>
      <c r="K352" s="40"/>
      <c r="L352" s="40"/>
      <c r="M352" s="40"/>
      <c r="N352" s="40"/>
      <c r="O352" s="40"/>
    </row>
    <row r="353" spans="1:15">
      <c r="A353" s="40"/>
      <c r="I353" s="40"/>
      <c r="J353" s="40"/>
      <c r="K353" s="40"/>
      <c r="L353" s="40"/>
      <c r="M353" s="40"/>
      <c r="N353" s="40"/>
      <c r="O353" s="40"/>
    </row>
    <row r="354" spans="1:15">
      <c r="A354" s="40"/>
      <c r="I354" s="40"/>
      <c r="J354" s="40"/>
      <c r="K354" s="40"/>
      <c r="L354" s="40"/>
      <c r="M354" s="40"/>
      <c r="N354" s="40"/>
      <c r="O354" s="40"/>
    </row>
    <row r="355" spans="1:15">
      <c r="A355" s="40"/>
      <c r="I355" s="40"/>
      <c r="J355" s="40"/>
      <c r="K355" s="40"/>
      <c r="L355" s="40"/>
      <c r="M355" s="40"/>
      <c r="N355" s="40"/>
      <c r="O355" s="40"/>
    </row>
    <row r="356" spans="1:15">
      <c r="A356" s="40"/>
      <c r="I356" s="40"/>
      <c r="J356" s="40"/>
      <c r="K356" s="40"/>
      <c r="L356" s="40"/>
      <c r="M356" s="40"/>
      <c r="N356" s="40"/>
      <c r="O356" s="40"/>
    </row>
    <row r="357" spans="1:15">
      <c r="A357" s="40"/>
      <c r="I357" s="40"/>
      <c r="J357" s="40"/>
      <c r="K357" s="40"/>
      <c r="L357" s="40"/>
      <c r="M357" s="40"/>
      <c r="N357" s="40"/>
      <c r="O357" s="40"/>
    </row>
    <row r="358" spans="1:15">
      <c r="A358" s="40"/>
      <c r="I358" s="40"/>
      <c r="J358" s="40"/>
      <c r="K358" s="40"/>
      <c r="L358" s="40"/>
      <c r="M358" s="40"/>
      <c r="N358" s="40"/>
      <c r="O358" s="40"/>
    </row>
    <row r="359" spans="1:15">
      <c r="A359" s="40"/>
      <c r="I359" s="40"/>
      <c r="J359" s="40"/>
      <c r="K359" s="40"/>
      <c r="L359" s="40"/>
      <c r="M359" s="40"/>
      <c r="N359" s="40"/>
      <c r="O359" s="40"/>
    </row>
    <row r="360" spans="1:15">
      <c r="A360" s="40"/>
      <c r="I360" s="40"/>
      <c r="J360" s="40"/>
      <c r="K360" s="40"/>
      <c r="L360" s="40"/>
      <c r="M360" s="40"/>
      <c r="N360" s="40"/>
      <c r="O360" s="40"/>
    </row>
    <row r="361" spans="1:15">
      <c r="A361" s="40"/>
      <c r="I361" s="40"/>
      <c r="J361" s="40"/>
      <c r="K361" s="40"/>
      <c r="L361" s="40"/>
      <c r="M361" s="40"/>
      <c r="N361" s="40"/>
      <c r="O361" s="40"/>
    </row>
    <row r="362" spans="1:15">
      <c r="A362" s="40"/>
      <c r="I362" s="40"/>
      <c r="J362" s="40"/>
      <c r="K362" s="40"/>
      <c r="L362" s="40"/>
      <c r="M362" s="40"/>
      <c r="N362" s="40"/>
      <c r="O362" s="40"/>
    </row>
    <row r="363" spans="1:15">
      <c r="A363" s="40"/>
      <c r="I363" s="40"/>
      <c r="J363" s="40"/>
      <c r="K363" s="40"/>
      <c r="L363" s="40"/>
      <c r="M363" s="40"/>
      <c r="N363" s="40"/>
      <c r="O363" s="40"/>
    </row>
    <row r="364" spans="1:15">
      <c r="A364" s="40"/>
      <c r="I364" s="40"/>
      <c r="J364" s="40"/>
      <c r="K364" s="40"/>
      <c r="L364" s="40"/>
      <c r="M364" s="40"/>
      <c r="N364" s="40"/>
      <c r="O364" s="40"/>
    </row>
    <row r="365" spans="1:15">
      <c r="A365" s="40"/>
      <c r="I365" s="40"/>
      <c r="J365" s="40"/>
      <c r="K365" s="40"/>
      <c r="L365" s="40"/>
      <c r="M365" s="40"/>
      <c r="N365" s="40"/>
      <c r="O365" s="40"/>
    </row>
    <row r="366" spans="1:15">
      <c r="A366" s="40"/>
      <c r="I366" s="40"/>
      <c r="J366" s="40"/>
      <c r="K366" s="40"/>
      <c r="L366" s="40"/>
      <c r="M366" s="40"/>
      <c r="N366" s="40"/>
      <c r="O366" s="40"/>
    </row>
    <row r="367" spans="1:15">
      <c r="A367" s="40"/>
      <c r="I367" s="40"/>
      <c r="J367" s="40"/>
      <c r="K367" s="40"/>
      <c r="L367" s="40"/>
      <c r="M367" s="40"/>
      <c r="N367" s="40"/>
      <c r="O367" s="40"/>
    </row>
    <row r="368" spans="1:15">
      <c r="A368" s="40"/>
      <c r="I368" s="40"/>
      <c r="J368" s="40"/>
      <c r="K368" s="40"/>
      <c r="L368" s="40"/>
      <c r="M368" s="40"/>
      <c r="N368" s="40"/>
      <c r="O368" s="40"/>
    </row>
    <row r="369" spans="1:15">
      <c r="A369" s="40"/>
      <c r="I369" s="40"/>
      <c r="J369" s="40"/>
      <c r="K369" s="40"/>
      <c r="L369" s="40"/>
      <c r="M369" s="40"/>
      <c r="N369" s="40"/>
      <c r="O369" s="40"/>
    </row>
    <row r="370" spans="1:15">
      <c r="A370" s="40"/>
      <c r="I370" s="40"/>
      <c r="J370" s="40"/>
      <c r="K370" s="40"/>
      <c r="L370" s="40"/>
      <c r="M370" s="40"/>
      <c r="N370" s="40"/>
      <c r="O370" s="40"/>
    </row>
    <row r="371" spans="1:15">
      <c r="A371" s="40"/>
      <c r="I371" s="40"/>
      <c r="J371" s="40"/>
      <c r="K371" s="40"/>
      <c r="L371" s="40"/>
      <c r="M371" s="40"/>
      <c r="N371" s="40"/>
      <c r="O371" s="40"/>
    </row>
    <row r="372" spans="1:15">
      <c r="A372" s="40"/>
      <c r="I372" s="40"/>
      <c r="J372" s="40"/>
      <c r="K372" s="40"/>
      <c r="L372" s="40"/>
      <c r="M372" s="40"/>
      <c r="N372" s="40"/>
      <c r="O372" s="40"/>
    </row>
    <row r="373" spans="1:15">
      <c r="A373" s="40"/>
      <c r="I373" s="40"/>
      <c r="J373" s="40"/>
      <c r="K373" s="40"/>
      <c r="L373" s="40"/>
      <c r="M373" s="40"/>
      <c r="N373" s="40"/>
      <c r="O373" s="40"/>
    </row>
    <row r="374" spans="1:15">
      <c r="A374" s="40"/>
      <c r="I374" s="40"/>
      <c r="J374" s="40"/>
      <c r="K374" s="40"/>
      <c r="L374" s="40"/>
      <c r="M374" s="40"/>
      <c r="N374" s="40"/>
      <c r="O374" s="40"/>
    </row>
    <row r="375" spans="1:15">
      <c r="A375" s="40"/>
      <c r="I375" s="40"/>
      <c r="J375" s="40"/>
      <c r="K375" s="40"/>
      <c r="L375" s="40"/>
      <c r="M375" s="40"/>
      <c r="N375" s="40"/>
      <c r="O375" s="40"/>
    </row>
    <row r="376" spans="1:15">
      <c r="A376" s="40"/>
      <c r="I376" s="40"/>
      <c r="J376" s="40"/>
      <c r="K376" s="40"/>
      <c r="L376" s="40"/>
      <c r="M376" s="40"/>
      <c r="N376" s="40"/>
      <c r="O376" s="40"/>
    </row>
    <row r="377" spans="1:15">
      <c r="A377" s="40"/>
      <c r="I377" s="40"/>
      <c r="J377" s="40"/>
      <c r="K377" s="40"/>
      <c r="L377" s="40"/>
      <c r="M377" s="40"/>
      <c r="N377" s="40"/>
      <c r="O377" s="40"/>
    </row>
    <row r="378" spans="1:15">
      <c r="A378" s="40"/>
      <c r="I378" s="40"/>
      <c r="J378" s="40"/>
      <c r="K378" s="40"/>
      <c r="L378" s="40"/>
      <c r="M378" s="40"/>
      <c r="N378" s="40"/>
      <c r="O378" s="40"/>
    </row>
    <row r="379" spans="1:15">
      <c r="A379" s="40"/>
      <c r="I379" s="40"/>
      <c r="J379" s="40"/>
      <c r="K379" s="40"/>
      <c r="L379" s="40"/>
      <c r="M379" s="40"/>
      <c r="N379" s="40"/>
      <c r="O379" s="40"/>
    </row>
    <row r="380" spans="1:15">
      <c r="A380" s="40"/>
      <c r="I380" s="40"/>
      <c r="J380" s="40"/>
      <c r="K380" s="40"/>
      <c r="L380" s="40"/>
      <c r="M380" s="40"/>
      <c r="N380" s="40"/>
      <c r="O380" s="40"/>
    </row>
    <row r="381" spans="1:15">
      <c r="A381" s="40"/>
      <c r="I381" s="40"/>
      <c r="J381" s="40"/>
      <c r="K381" s="40"/>
      <c r="L381" s="40"/>
      <c r="M381" s="40"/>
      <c r="N381" s="40"/>
      <c r="O381" s="40"/>
    </row>
    <row r="382" spans="1:15">
      <c r="A382" s="40"/>
      <c r="I382" s="40"/>
      <c r="J382" s="40"/>
      <c r="K382" s="40"/>
      <c r="L382" s="40"/>
      <c r="M382" s="40"/>
      <c r="N382" s="40"/>
      <c r="O382" s="40"/>
    </row>
    <row r="383" spans="1:15">
      <c r="A383" s="40"/>
      <c r="I383" s="40"/>
      <c r="J383" s="40"/>
      <c r="K383" s="40"/>
      <c r="L383" s="40"/>
      <c r="M383" s="40"/>
      <c r="N383" s="40"/>
      <c r="O383" s="40"/>
    </row>
    <row r="384" spans="1:15">
      <c r="A384" s="40"/>
      <c r="I384" s="40"/>
      <c r="J384" s="40"/>
      <c r="K384" s="40"/>
      <c r="L384" s="40"/>
      <c r="M384" s="40"/>
      <c r="N384" s="40"/>
      <c r="O384" s="40"/>
    </row>
    <row r="385" spans="1:15">
      <c r="A385" s="40"/>
      <c r="I385" s="40"/>
      <c r="J385" s="40"/>
      <c r="K385" s="40"/>
      <c r="L385" s="40"/>
      <c r="M385" s="40"/>
      <c r="N385" s="40"/>
      <c r="O385" s="40"/>
    </row>
    <row r="386" spans="1:15">
      <c r="A386" s="40"/>
      <c r="I386" s="40"/>
      <c r="J386" s="40"/>
      <c r="K386" s="40"/>
      <c r="L386" s="40"/>
      <c r="M386" s="40"/>
      <c r="N386" s="40"/>
      <c r="O386" s="40"/>
    </row>
    <row r="387" spans="1:15">
      <c r="A387" s="40"/>
      <c r="I387" s="40"/>
      <c r="J387" s="40"/>
      <c r="K387" s="40"/>
      <c r="L387" s="40"/>
      <c r="M387" s="40"/>
      <c r="N387" s="40"/>
      <c r="O387" s="40"/>
    </row>
    <row r="388" spans="1:15">
      <c r="A388" s="40"/>
      <c r="I388" s="40"/>
      <c r="J388" s="40"/>
      <c r="K388" s="40"/>
      <c r="L388" s="40"/>
      <c r="M388" s="40"/>
      <c r="N388" s="40"/>
      <c r="O388" s="40"/>
    </row>
    <row r="389" spans="1:15">
      <c r="A389" s="40"/>
      <c r="I389" s="40"/>
      <c r="J389" s="40"/>
      <c r="K389" s="40"/>
      <c r="L389" s="40"/>
      <c r="M389" s="40"/>
      <c r="N389" s="40"/>
      <c r="O389" s="40"/>
    </row>
    <row r="390" spans="1:15">
      <c r="A390" s="40"/>
      <c r="I390" s="40"/>
      <c r="J390" s="40"/>
      <c r="K390" s="40"/>
      <c r="L390" s="40"/>
      <c r="M390" s="40"/>
      <c r="N390" s="40"/>
      <c r="O390" s="40"/>
    </row>
    <row r="391" spans="1:15">
      <c r="A391" s="40"/>
      <c r="I391" s="40"/>
      <c r="J391" s="40"/>
      <c r="K391" s="40"/>
      <c r="L391" s="40"/>
      <c r="M391" s="40"/>
      <c r="N391" s="40"/>
      <c r="O391" s="40"/>
    </row>
    <row r="392" spans="1:15">
      <c r="A392" s="40"/>
      <c r="I392" s="40"/>
      <c r="J392" s="40"/>
      <c r="K392" s="40"/>
      <c r="L392" s="40"/>
      <c r="M392" s="40"/>
      <c r="N392" s="40"/>
      <c r="O392" s="40"/>
    </row>
    <row r="393" spans="1:15">
      <c r="A393" s="40"/>
      <c r="I393" s="40"/>
      <c r="J393" s="40"/>
      <c r="K393" s="40"/>
      <c r="L393" s="40"/>
      <c r="M393" s="40"/>
      <c r="N393" s="40"/>
      <c r="O393" s="40"/>
    </row>
    <row r="394" spans="1:15">
      <c r="A394" s="40"/>
      <c r="I394" s="40"/>
      <c r="J394" s="40"/>
      <c r="K394" s="40"/>
      <c r="L394" s="40"/>
      <c r="M394" s="40"/>
      <c r="N394" s="40"/>
      <c r="O394" s="40"/>
    </row>
    <row r="395" spans="1:15">
      <c r="A395" s="40"/>
      <c r="I395" s="40"/>
      <c r="J395" s="40"/>
      <c r="K395" s="40"/>
      <c r="L395" s="40"/>
      <c r="M395" s="40"/>
      <c r="N395" s="40"/>
      <c r="O395" s="40"/>
    </row>
    <row r="396" spans="1:15">
      <c r="A396" s="40"/>
      <c r="I396" s="40"/>
      <c r="J396" s="40"/>
      <c r="K396" s="40"/>
      <c r="L396" s="40"/>
      <c r="M396" s="40"/>
      <c r="N396" s="40"/>
      <c r="O396" s="40"/>
    </row>
    <row r="397" spans="1:15">
      <c r="A397" s="40"/>
      <c r="I397" s="40"/>
      <c r="J397" s="40"/>
      <c r="K397" s="40"/>
      <c r="L397" s="40"/>
      <c r="M397" s="40"/>
      <c r="N397" s="40"/>
      <c r="O397" s="40"/>
    </row>
    <row r="398" spans="1:15">
      <c r="A398" s="40"/>
      <c r="I398" s="40"/>
      <c r="J398" s="40"/>
      <c r="K398" s="40"/>
      <c r="L398" s="40"/>
      <c r="M398" s="40"/>
      <c r="N398" s="40"/>
      <c r="O398" s="40"/>
    </row>
    <row r="399" spans="1:15">
      <c r="A399" s="40"/>
      <c r="I399" s="40"/>
      <c r="J399" s="40"/>
      <c r="K399" s="40"/>
      <c r="L399" s="40"/>
      <c r="M399" s="40"/>
      <c r="N399" s="40"/>
      <c r="O399" s="40"/>
    </row>
    <row r="400" spans="1:15">
      <c r="A400" s="40"/>
      <c r="I400" s="40"/>
      <c r="J400" s="40"/>
      <c r="K400" s="40"/>
      <c r="L400" s="40"/>
      <c r="M400" s="40"/>
      <c r="N400" s="40"/>
      <c r="O400" s="40"/>
    </row>
    <row r="401" spans="1:15">
      <c r="A401" s="40"/>
      <c r="I401" s="40"/>
      <c r="J401" s="40"/>
      <c r="K401" s="40"/>
      <c r="L401" s="40"/>
      <c r="M401" s="40"/>
      <c r="N401" s="40"/>
      <c r="O401" s="40"/>
    </row>
    <row r="402" spans="1:15">
      <c r="A402" s="40"/>
      <c r="I402" s="40"/>
      <c r="J402" s="40"/>
      <c r="K402" s="40"/>
      <c r="L402" s="40"/>
      <c r="M402" s="40"/>
      <c r="N402" s="40"/>
      <c r="O402" s="40"/>
    </row>
    <row r="403" spans="1:15">
      <c r="A403" s="40"/>
      <c r="I403" s="40"/>
      <c r="J403" s="40"/>
      <c r="K403" s="40"/>
      <c r="L403" s="40"/>
      <c r="M403" s="40"/>
      <c r="N403" s="40"/>
      <c r="O403" s="40"/>
    </row>
    <row r="404" spans="1:15">
      <c r="A404" s="40"/>
      <c r="I404" s="40"/>
      <c r="J404" s="40"/>
      <c r="K404" s="40"/>
      <c r="L404" s="40"/>
      <c r="M404" s="40"/>
      <c r="N404" s="40"/>
      <c r="O404" s="40"/>
    </row>
    <row r="405" spans="1:15">
      <c r="A405" s="40"/>
      <c r="I405" s="40"/>
      <c r="J405" s="40"/>
      <c r="K405" s="40"/>
      <c r="L405" s="40"/>
      <c r="M405" s="40"/>
      <c r="N405" s="40"/>
      <c r="O405" s="40"/>
    </row>
    <row r="406" spans="1:15">
      <c r="A406" s="40"/>
      <c r="I406" s="40"/>
      <c r="J406" s="40"/>
      <c r="K406" s="40"/>
      <c r="L406" s="40"/>
      <c r="M406" s="40"/>
      <c r="N406" s="40"/>
      <c r="O406" s="40"/>
    </row>
    <row r="407" spans="1:15">
      <c r="A407" s="40"/>
      <c r="I407" s="40"/>
      <c r="J407" s="40"/>
      <c r="K407" s="40"/>
      <c r="L407" s="40"/>
      <c r="M407" s="40"/>
      <c r="N407" s="40"/>
      <c r="O407" s="40"/>
    </row>
    <row r="408" spans="1:15">
      <c r="A408" s="40"/>
      <c r="I408" s="40"/>
      <c r="J408" s="40"/>
      <c r="K408" s="40"/>
      <c r="L408" s="40"/>
      <c r="M408" s="40"/>
      <c r="N408" s="40"/>
      <c r="O408" s="40"/>
    </row>
    <row r="409" spans="1:15">
      <c r="A409" s="40"/>
      <c r="I409" s="40"/>
      <c r="J409" s="40"/>
      <c r="K409" s="40"/>
      <c r="L409" s="40"/>
      <c r="M409" s="40"/>
      <c r="N409" s="40"/>
      <c r="O409" s="40"/>
    </row>
    <row r="410" spans="1:15">
      <c r="A410" s="40"/>
      <c r="I410" s="40"/>
      <c r="J410" s="40"/>
      <c r="K410" s="40"/>
      <c r="L410" s="40"/>
      <c r="M410" s="40"/>
      <c r="N410" s="40"/>
      <c r="O410" s="40"/>
    </row>
    <row r="411" spans="1:15">
      <c r="A411" s="40"/>
      <c r="I411" s="40"/>
      <c r="J411" s="40"/>
      <c r="K411" s="40"/>
      <c r="L411" s="40"/>
      <c r="M411" s="40"/>
      <c r="N411" s="40"/>
      <c r="O411" s="40"/>
    </row>
    <row r="412" spans="1:15">
      <c r="A412" s="40"/>
      <c r="I412" s="40"/>
      <c r="J412" s="40"/>
      <c r="K412" s="40"/>
      <c r="L412" s="40"/>
      <c r="M412" s="40"/>
      <c r="N412" s="40"/>
      <c r="O412" s="40"/>
    </row>
    <row r="413" spans="1:15">
      <c r="A413" s="40"/>
      <c r="I413" s="40"/>
      <c r="J413" s="40"/>
      <c r="K413" s="40"/>
      <c r="L413" s="40"/>
      <c r="M413" s="40"/>
      <c r="N413" s="40"/>
      <c r="O413" s="40"/>
    </row>
    <row r="414" spans="1:15">
      <c r="A414" s="40"/>
      <c r="I414" s="40"/>
      <c r="J414" s="40"/>
      <c r="K414" s="40"/>
      <c r="L414" s="40"/>
      <c r="M414" s="40"/>
      <c r="N414" s="40"/>
      <c r="O414" s="40"/>
    </row>
    <row r="415" spans="1:15">
      <c r="A415" s="40"/>
      <c r="I415" s="40"/>
      <c r="J415" s="40"/>
      <c r="K415" s="40"/>
      <c r="L415" s="40"/>
      <c r="M415" s="40"/>
      <c r="N415" s="40"/>
      <c r="O415" s="40"/>
    </row>
    <row r="416" spans="1:15">
      <c r="A416" s="40"/>
      <c r="I416" s="40"/>
      <c r="J416" s="40"/>
      <c r="K416" s="40"/>
      <c r="L416" s="40"/>
      <c r="M416" s="40"/>
      <c r="N416" s="40"/>
      <c r="O416" s="40"/>
    </row>
    <row r="417" spans="1:15">
      <c r="A417" s="40"/>
      <c r="I417" s="40"/>
      <c r="J417" s="40"/>
      <c r="K417" s="40"/>
      <c r="L417" s="40"/>
      <c r="M417" s="40"/>
      <c r="N417" s="40"/>
      <c r="O417" s="40"/>
    </row>
    <row r="418" spans="1:15">
      <c r="A418" s="40"/>
      <c r="I418" s="40"/>
      <c r="J418" s="40"/>
      <c r="K418" s="40"/>
      <c r="L418" s="40"/>
      <c r="M418" s="40"/>
      <c r="N418" s="40"/>
      <c r="O418" s="40"/>
    </row>
    <row r="419" spans="1:15">
      <c r="A419" s="40"/>
      <c r="I419" s="40"/>
      <c r="J419" s="40"/>
      <c r="K419" s="40"/>
      <c r="L419" s="40"/>
      <c r="M419" s="40"/>
      <c r="N419" s="40"/>
      <c r="O419" s="40"/>
    </row>
    <row r="420" spans="1:15">
      <c r="A420" s="40"/>
      <c r="I420" s="40"/>
      <c r="J420" s="40"/>
      <c r="K420" s="40"/>
      <c r="L420" s="40"/>
      <c r="M420" s="40"/>
      <c r="N420" s="40"/>
      <c r="O420" s="40"/>
    </row>
    <row r="421" spans="1:15">
      <c r="A421" s="40"/>
      <c r="I421" s="40"/>
      <c r="J421" s="40"/>
      <c r="K421" s="40"/>
      <c r="L421" s="40"/>
      <c r="M421" s="40"/>
      <c r="N421" s="40"/>
      <c r="O421" s="40"/>
    </row>
    <row r="422" spans="1:15">
      <c r="A422" s="40"/>
      <c r="I422" s="40"/>
      <c r="J422" s="40"/>
      <c r="K422" s="40"/>
      <c r="L422" s="40"/>
      <c r="M422" s="40"/>
      <c r="N422" s="40"/>
      <c r="O422" s="40"/>
    </row>
    <row r="423" spans="1:15">
      <c r="A423" s="40"/>
      <c r="I423" s="40"/>
      <c r="J423" s="40"/>
      <c r="K423" s="40"/>
      <c r="L423" s="40"/>
      <c r="M423" s="40"/>
      <c r="N423" s="40"/>
      <c r="O423" s="40"/>
    </row>
    <row r="424" spans="1:15">
      <c r="A424" s="40"/>
      <c r="I424" s="40"/>
      <c r="J424" s="40"/>
      <c r="K424" s="40"/>
      <c r="L424" s="40"/>
      <c r="M424" s="40"/>
      <c r="N424" s="40"/>
      <c r="O424" s="40"/>
    </row>
    <row r="425" spans="1:15">
      <c r="A425" s="40"/>
      <c r="I425" s="40"/>
      <c r="J425" s="40"/>
      <c r="K425" s="40"/>
      <c r="L425" s="40"/>
      <c r="M425" s="40"/>
      <c r="N425" s="40"/>
      <c r="O425" s="40"/>
    </row>
    <row r="426" spans="1:15">
      <c r="A426" s="40"/>
      <c r="I426" s="40"/>
      <c r="J426" s="40"/>
      <c r="K426" s="40"/>
      <c r="L426" s="40"/>
      <c r="M426" s="40"/>
      <c r="N426" s="40"/>
      <c r="O426" s="40"/>
    </row>
    <row r="427" spans="1:15">
      <c r="A427" s="40"/>
      <c r="I427" s="40"/>
      <c r="J427" s="40"/>
      <c r="K427" s="40"/>
      <c r="L427" s="40"/>
      <c r="M427" s="40"/>
      <c r="N427" s="40"/>
      <c r="O427" s="40"/>
    </row>
    <row r="428" spans="1:15">
      <c r="A428" s="40"/>
      <c r="I428" s="40"/>
      <c r="J428" s="40"/>
      <c r="K428" s="40"/>
      <c r="L428" s="40"/>
      <c r="M428" s="40"/>
      <c r="N428" s="40"/>
      <c r="O428" s="40"/>
    </row>
    <row r="429" spans="1:15">
      <c r="A429" s="40"/>
      <c r="I429" s="40"/>
      <c r="J429" s="40"/>
      <c r="K429" s="40"/>
      <c r="L429" s="40"/>
      <c r="M429" s="40"/>
      <c r="N429" s="40"/>
      <c r="O429" s="40"/>
    </row>
    <row r="430" spans="1:15">
      <c r="A430" s="40"/>
      <c r="I430" s="40"/>
      <c r="J430" s="40"/>
      <c r="K430" s="40"/>
      <c r="L430" s="40"/>
      <c r="M430" s="40"/>
      <c r="N430" s="40"/>
      <c r="O430" s="40"/>
    </row>
    <row r="431" spans="1:15">
      <c r="A431" s="40"/>
      <c r="I431" s="40"/>
      <c r="J431" s="40"/>
      <c r="K431" s="40"/>
      <c r="L431" s="40"/>
      <c r="M431" s="40"/>
      <c r="N431" s="40"/>
      <c r="O431" s="40"/>
    </row>
    <row r="432" spans="1:15">
      <c r="A432" s="40"/>
      <c r="I432" s="40"/>
      <c r="J432" s="40"/>
      <c r="K432" s="40"/>
      <c r="L432" s="40"/>
      <c r="M432" s="40"/>
      <c r="N432" s="40"/>
      <c r="O432" s="40"/>
    </row>
    <row r="433" spans="1:15">
      <c r="A433" s="40"/>
      <c r="I433" s="40"/>
      <c r="J433" s="40"/>
      <c r="K433" s="40"/>
      <c r="L433" s="40"/>
      <c r="M433" s="40"/>
      <c r="N433" s="40"/>
      <c r="O433" s="40"/>
    </row>
    <row r="434" spans="1:15">
      <c r="A434" s="40"/>
      <c r="I434" s="40"/>
      <c r="J434" s="40"/>
      <c r="K434" s="40"/>
      <c r="L434" s="40"/>
      <c r="M434" s="40"/>
      <c r="N434" s="40"/>
      <c r="O434" s="40"/>
    </row>
    <row r="435" spans="1:15">
      <c r="A435" s="40"/>
      <c r="I435" s="40"/>
      <c r="J435" s="40"/>
      <c r="K435" s="40"/>
      <c r="L435" s="40"/>
      <c r="M435" s="40"/>
      <c r="N435" s="40"/>
      <c r="O435" s="40"/>
    </row>
    <row r="436" spans="1:15">
      <c r="A436" s="40"/>
      <c r="I436" s="40"/>
      <c r="J436" s="40"/>
      <c r="K436" s="40"/>
      <c r="L436" s="40"/>
      <c r="M436" s="40"/>
      <c r="N436" s="40"/>
      <c r="O436" s="40"/>
    </row>
    <row r="437" spans="1:15">
      <c r="A437" s="40"/>
      <c r="I437" s="40"/>
      <c r="J437" s="40"/>
      <c r="K437" s="40"/>
      <c r="L437" s="40"/>
      <c r="M437" s="40"/>
      <c r="N437" s="40"/>
      <c r="O437" s="40"/>
    </row>
    <row r="438" spans="1:15">
      <c r="A438" s="40"/>
      <c r="I438" s="40"/>
      <c r="J438" s="40"/>
      <c r="K438" s="40"/>
      <c r="L438" s="40"/>
      <c r="M438" s="40"/>
      <c r="N438" s="40"/>
      <c r="O438" s="40"/>
    </row>
    <row r="439" spans="1:15">
      <c r="A439" s="40"/>
      <c r="I439" s="40"/>
      <c r="J439" s="40"/>
      <c r="K439" s="40"/>
      <c r="L439" s="40"/>
      <c r="M439" s="40"/>
      <c r="N439" s="40"/>
      <c r="O439" s="40"/>
    </row>
    <row r="440" spans="1:15">
      <c r="A440" s="40"/>
      <c r="I440" s="40"/>
      <c r="J440" s="40"/>
      <c r="K440" s="40"/>
      <c r="L440" s="40"/>
      <c r="M440" s="40"/>
      <c r="N440" s="40"/>
      <c r="O440" s="40"/>
    </row>
    <row r="441" spans="1:15">
      <c r="A441" s="40"/>
      <c r="I441" s="40"/>
      <c r="J441" s="40"/>
      <c r="K441" s="40"/>
      <c r="L441" s="40"/>
      <c r="M441" s="40"/>
      <c r="N441" s="40"/>
      <c r="O441" s="40"/>
    </row>
    <row r="442" spans="1:15">
      <c r="A442" s="40"/>
      <c r="I442" s="40"/>
      <c r="J442" s="40"/>
      <c r="K442" s="40"/>
      <c r="L442" s="40"/>
      <c r="M442" s="40"/>
      <c r="N442" s="40"/>
      <c r="O442" s="40"/>
    </row>
    <row r="443" spans="1:15">
      <c r="A443" s="40"/>
      <c r="I443" s="40"/>
      <c r="J443" s="40"/>
      <c r="K443" s="40"/>
      <c r="L443" s="40"/>
      <c r="M443" s="40"/>
      <c r="N443" s="40"/>
      <c r="O443" s="40"/>
    </row>
    <row r="444" spans="1:15">
      <c r="A444" s="40"/>
      <c r="I444" s="40"/>
      <c r="J444" s="40"/>
      <c r="K444" s="40"/>
      <c r="L444" s="40"/>
      <c r="M444" s="40"/>
      <c r="N444" s="40"/>
      <c r="O444" s="40"/>
    </row>
    <row r="445" spans="1:15">
      <c r="A445" s="40"/>
      <c r="I445" s="40"/>
      <c r="J445" s="40"/>
      <c r="K445" s="40"/>
      <c r="L445" s="40"/>
      <c r="M445" s="40"/>
      <c r="N445" s="40"/>
      <c r="O445" s="40"/>
    </row>
    <row r="446" spans="1:15">
      <c r="A446" s="40"/>
      <c r="I446" s="40"/>
      <c r="J446" s="40"/>
      <c r="K446" s="40"/>
      <c r="L446" s="40"/>
      <c r="M446" s="40"/>
      <c r="N446" s="40"/>
      <c r="O446" s="40"/>
    </row>
    <row r="447" spans="1:15">
      <c r="A447" s="40"/>
      <c r="I447" s="40"/>
      <c r="J447" s="40"/>
      <c r="K447" s="40"/>
      <c r="L447" s="40"/>
      <c r="M447" s="40"/>
      <c r="N447" s="40"/>
      <c r="O447" s="40"/>
    </row>
    <row r="448" spans="1:15">
      <c r="A448" s="40"/>
      <c r="I448" s="40"/>
      <c r="J448" s="40"/>
      <c r="K448" s="40"/>
      <c r="L448" s="40"/>
      <c r="M448" s="40"/>
      <c r="N448" s="40"/>
      <c r="O448" s="40"/>
    </row>
    <row r="449" spans="1:15">
      <c r="A449" s="40"/>
      <c r="I449" s="40"/>
      <c r="J449" s="40"/>
      <c r="K449" s="40"/>
      <c r="L449" s="40"/>
      <c r="M449" s="40"/>
      <c r="N449" s="40"/>
      <c r="O449" s="40"/>
    </row>
    <row r="450" spans="1:15">
      <c r="A450" s="40"/>
      <c r="I450" s="40"/>
      <c r="J450" s="40"/>
      <c r="K450" s="40"/>
      <c r="L450" s="40"/>
      <c r="M450" s="40"/>
      <c r="N450" s="40"/>
      <c r="O450" s="40"/>
    </row>
    <row r="451" spans="1:15">
      <c r="A451" s="40"/>
      <c r="I451" s="40"/>
      <c r="J451" s="40"/>
      <c r="K451" s="40"/>
      <c r="L451" s="40"/>
      <c r="M451" s="40"/>
      <c r="N451" s="40"/>
      <c r="O451" s="40"/>
    </row>
    <row r="452" spans="1:15">
      <c r="A452" s="40"/>
      <c r="I452" s="40"/>
      <c r="J452" s="40"/>
      <c r="K452" s="40"/>
      <c r="L452" s="40"/>
      <c r="M452" s="40"/>
      <c r="N452" s="40"/>
      <c r="O452" s="40"/>
    </row>
    <row r="453" spans="1:15">
      <c r="A453" s="40"/>
      <c r="I453" s="40"/>
      <c r="J453" s="40"/>
      <c r="K453" s="40"/>
      <c r="L453" s="40"/>
      <c r="M453" s="40"/>
      <c r="N453" s="40"/>
      <c r="O453" s="40"/>
    </row>
    <row r="454" spans="1:15">
      <c r="A454" s="40"/>
      <c r="I454" s="40"/>
      <c r="J454" s="40"/>
      <c r="K454" s="40"/>
      <c r="L454" s="40"/>
      <c r="M454" s="40"/>
      <c r="N454" s="40"/>
      <c r="O454" s="40"/>
    </row>
    <row r="455" spans="1:15">
      <c r="A455" s="40"/>
      <c r="I455" s="40"/>
      <c r="J455" s="40"/>
      <c r="K455" s="40"/>
      <c r="L455" s="40"/>
      <c r="M455" s="40"/>
      <c r="N455" s="40"/>
      <c r="O455" s="40"/>
    </row>
    <row r="456" spans="1:15">
      <c r="A456" s="40"/>
      <c r="I456" s="40"/>
      <c r="J456" s="40"/>
      <c r="K456" s="40"/>
      <c r="L456" s="40"/>
      <c r="M456" s="40"/>
      <c r="N456" s="40"/>
      <c r="O456" s="40"/>
    </row>
    <row r="457" spans="1:15">
      <c r="A457" s="40"/>
      <c r="I457" s="40"/>
      <c r="J457" s="40"/>
      <c r="K457" s="40"/>
      <c r="L457" s="40"/>
      <c r="M457" s="40"/>
      <c r="N457" s="40"/>
      <c r="O457" s="40"/>
    </row>
    <row r="458" spans="1:15">
      <c r="A458" s="40"/>
      <c r="I458" s="40"/>
      <c r="J458" s="40"/>
      <c r="K458" s="40"/>
      <c r="L458" s="40"/>
      <c r="M458" s="40"/>
      <c r="N458" s="40"/>
      <c r="O458" s="40"/>
    </row>
    <row r="459" spans="1:15">
      <c r="A459" s="40"/>
      <c r="I459" s="40"/>
      <c r="J459" s="40"/>
      <c r="K459" s="40"/>
      <c r="L459" s="40"/>
      <c r="M459" s="40"/>
      <c r="N459" s="40"/>
      <c r="O459" s="40"/>
    </row>
    <row r="460" spans="1:15">
      <c r="A460" s="40"/>
      <c r="I460" s="40"/>
      <c r="J460" s="40"/>
      <c r="K460" s="40"/>
      <c r="L460" s="40"/>
      <c r="M460" s="40"/>
      <c r="N460" s="40"/>
      <c r="O460" s="40"/>
    </row>
    <row r="461" spans="1:15">
      <c r="A461" s="40"/>
      <c r="I461" s="40"/>
      <c r="J461" s="40"/>
      <c r="K461" s="40"/>
      <c r="L461" s="40"/>
      <c r="M461" s="40"/>
      <c r="N461" s="40"/>
      <c r="O461" s="40"/>
    </row>
    <row r="462" spans="1:15">
      <c r="A462" s="40"/>
      <c r="I462" s="40"/>
      <c r="J462" s="40"/>
      <c r="K462" s="40"/>
      <c r="L462" s="40"/>
      <c r="M462" s="40"/>
      <c r="N462" s="40"/>
      <c r="O462" s="40"/>
    </row>
    <row r="463" spans="1:15">
      <c r="A463" s="40"/>
      <c r="I463" s="40"/>
      <c r="J463" s="40"/>
      <c r="K463" s="40"/>
      <c r="L463" s="40"/>
      <c r="M463" s="40"/>
      <c r="N463" s="40"/>
      <c r="O463" s="40"/>
    </row>
    <row r="464" spans="1:15">
      <c r="A464" s="40"/>
      <c r="I464" s="40"/>
      <c r="J464" s="40"/>
      <c r="K464" s="40"/>
      <c r="L464" s="40"/>
      <c r="M464" s="40"/>
      <c r="N464" s="40"/>
      <c r="O464" s="40"/>
    </row>
    <row r="465" spans="1:15">
      <c r="A465" s="40"/>
      <c r="I465" s="40"/>
      <c r="J465" s="40"/>
      <c r="K465" s="40"/>
      <c r="L465" s="40"/>
      <c r="M465" s="40"/>
      <c r="N465" s="40"/>
      <c r="O465" s="40"/>
    </row>
    <row r="466" spans="1:15">
      <c r="A466" s="40"/>
      <c r="I466" s="40"/>
      <c r="J466" s="40"/>
      <c r="K466" s="40"/>
      <c r="L466" s="40"/>
      <c r="M466" s="40"/>
      <c r="N466" s="40"/>
      <c r="O466" s="40"/>
    </row>
    <row r="467" spans="1:15">
      <c r="A467" s="40"/>
      <c r="I467" s="40"/>
      <c r="J467" s="40"/>
      <c r="K467" s="40"/>
      <c r="L467" s="40"/>
      <c r="M467" s="40"/>
      <c r="N467" s="40"/>
      <c r="O467" s="40"/>
    </row>
    <row r="468" spans="1:15">
      <c r="A468" s="40"/>
      <c r="I468" s="40"/>
      <c r="J468" s="40"/>
      <c r="K468" s="40"/>
      <c r="L468" s="40"/>
      <c r="M468" s="40"/>
      <c r="N468" s="40"/>
      <c r="O468" s="40"/>
    </row>
    <row r="469" spans="1:15">
      <c r="A469" s="40"/>
      <c r="I469" s="40"/>
      <c r="J469" s="40"/>
      <c r="K469" s="40"/>
      <c r="L469" s="40"/>
      <c r="M469" s="40"/>
      <c r="N469" s="40"/>
      <c r="O469" s="40"/>
    </row>
    <row r="470" spans="1:15">
      <c r="A470" s="40"/>
      <c r="I470" s="40"/>
      <c r="J470" s="40"/>
      <c r="K470" s="40"/>
      <c r="L470" s="40"/>
      <c r="M470" s="40"/>
      <c r="N470" s="40"/>
      <c r="O470" s="40"/>
    </row>
    <row r="471" spans="1:15">
      <c r="A471" s="40"/>
      <c r="I471" s="40"/>
      <c r="J471" s="40"/>
      <c r="K471" s="40"/>
      <c r="L471" s="40"/>
      <c r="M471" s="40"/>
      <c r="N471" s="40"/>
      <c r="O471" s="40"/>
    </row>
    <row r="472" spans="1:15">
      <c r="A472" s="40"/>
      <c r="I472" s="40"/>
      <c r="J472" s="40"/>
      <c r="K472" s="40"/>
      <c r="L472" s="40"/>
      <c r="M472" s="40"/>
      <c r="N472" s="40"/>
      <c r="O472" s="40"/>
    </row>
    <row r="473" spans="1:15">
      <c r="A473" s="40"/>
      <c r="I473" s="40"/>
      <c r="J473" s="40"/>
      <c r="K473" s="40"/>
      <c r="L473" s="40"/>
      <c r="M473" s="40"/>
      <c r="N473" s="40"/>
      <c r="O473" s="40"/>
    </row>
    <row r="474" spans="1:15">
      <c r="A474" s="40"/>
      <c r="I474" s="40"/>
      <c r="J474" s="40"/>
      <c r="K474" s="40"/>
      <c r="L474" s="40"/>
      <c r="M474" s="40"/>
      <c r="N474" s="40"/>
      <c r="O474" s="40"/>
    </row>
    <row r="475" spans="1:15">
      <c r="A475" s="40"/>
      <c r="I475" s="40"/>
      <c r="J475" s="40"/>
      <c r="K475" s="40"/>
      <c r="L475" s="40"/>
      <c r="M475" s="40"/>
      <c r="N475" s="40"/>
      <c r="O475" s="40"/>
    </row>
    <row r="476" spans="1:15">
      <c r="A476" s="40"/>
      <c r="I476" s="40"/>
      <c r="J476" s="40"/>
      <c r="K476" s="40"/>
      <c r="L476" s="40"/>
      <c r="M476" s="40"/>
      <c r="N476" s="40"/>
      <c r="O476" s="40"/>
    </row>
    <row r="477" spans="1:15">
      <c r="A477" s="40"/>
      <c r="I477" s="40"/>
      <c r="J477" s="40"/>
      <c r="K477" s="40"/>
      <c r="L477" s="40"/>
      <c r="M477" s="40"/>
      <c r="N477" s="40"/>
      <c r="O477" s="40"/>
    </row>
    <row r="478" spans="1:15">
      <c r="A478" s="40"/>
      <c r="I478" s="40"/>
      <c r="J478" s="40"/>
      <c r="K478" s="40"/>
      <c r="L478" s="40"/>
      <c r="M478" s="40"/>
      <c r="N478" s="40"/>
      <c r="O478" s="40"/>
    </row>
    <row r="479" spans="1:15">
      <c r="A479" s="40"/>
      <c r="I479" s="40"/>
      <c r="J479" s="40"/>
      <c r="K479" s="40"/>
      <c r="L479" s="40"/>
      <c r="M479" s="40"/>
      <c r="N479" s="40"/>
      <c r="O479" s="40"/>
    </row>
    <row r="480" spans="1:15">
      <c r="A480" s="40"/>
      <c r="I480" s="40"/>
      <c r="J480" s="40"/>
      <c r="K480" s="40"/>
      <c r="L480" s="40"/>
      <c r="M480" s="40"/>
      <c r="N480" s="40"/>
      <c r="O480" s="40"/>
    </row>
    <row r="481" spans="1:15">
      <c r="A481" s="40"/>
      <c r="I481" s="40"/>
      <c r="J481" s="40"/>
      <c r="K481" s="40"/>
      <c r="L481" s="40"/>
      <c r="M481" s="40"/>
      <c r="N481" s="40"/>
      <c r="O481" s="40"/>
    </row>
    <row r="482" spans="1:15">
      <c r="A482" s="40"/>
      <c r="I482" s="40"/>
      <c r="J482" s="40"/>
      <c r="K482" s="40"/>
      <c r="L482" s="40"/>
      <c r="M482" s="40"/>
      <c r="N482" s="40"/>
      <c r="O482" s="40"/>
    </row>
    <row r="483" spans="1:15">
      <c r="A483" s="40"/>
      <c r="I483" s="40"/>
      <c r="J483" s="40"/>
      <c r="K483" s="40"/>
      <c r="L483" s="40"/>
      <c r="M483" s="40"/>
      <c r="N483" s="40"/>
      <c r="O483" s="40"/>
    </row>
    <row r="484" spans="1:15">
      <c r="A484" s="40"/>
      <c r="I484" s="40"/>
      <c r="J484" s="40"/>
      <c r="K484" s="40"/>
      <c r="L484" s="40"/>
      <c r="M484" s="40"/>
      <c r="N484" s="40"/>
      <c r="O484" s="40"/>
    </row>
    <row r="485" spans="1:15">
      <c r="A485" s="40"/>
      <c r="I485" s="40"/>
      <c r="J485" s="40"/>
      <c r="K485" s="40"/>
      <c r="L485" s="40"/>
      <c r="M485" s="40"/>
      <c r="N485" s="40"/>
      <c r="O485" s="40"/>
    </row>
    <row r="486" spans="1:15">
      <c r="A486" s="40"/>
      <c r="I486" s="40"/>
      <c r="J486" s="40"/>
      <c r="K486" s="40"/>
      <c r="L486" s="40"/>
      <c r="M486" s="40"/>
      <c r="N486" s="40"/>
      <c r="O486" s="40"/>
    </row>
    <row r="487" spans="1:15">
      <c r="A487" s="40"/>
      <c r="I487" s="40"/>
      <c r="J487" s="40"/>
      <c r="K487" s="40"/>
      <c r="L487" s="40"/>
      <c r="M487" s="40"/>
      <c r="N487" s="40"/>
      <c r="O487" s="40"/>
    </row>
    <row r="488" spans="1:15">
      <c r="A488" s="40"/>
      <c r="I488" s="40"/>
      <c r="J488" s="40"/>
      <c r="K488" s="40"/>
      <c r="L488" s="40"/>
      <c r="M488" s="40"/>
      <c r="N488" s="40"/>
      <c r="O488" s="40"/>
    </row>
    <row r="489" spans="1:15">
      <c r="A489" s="40"/>
      <c r="I489" s="40"/>
      <c r="J489" s="40"/>
      <c r="K489" s="40"/>
      <c r="L489" s="40"/>
      <c r="M489" s="40"/>
      <c r="N489" s="40"/>
      <c r="O489" s="40"/>
    </row>
    <row r="490" spans="1:15">
      <c r="A490" s="40"/>
      <c r="I490" s="40"/>
      <c r="J490" s="40"/>
      <c r="K490" s="40"/>
      <c r="L490" s="40"/>
      <c r="M490" s="40"/>
      <c r="N490" s="40"/>
      <c r="O490" s="40"/>
    </row>
    <row r="491" spans="1:15">
      <c r="A491" s="40"/>
      <c r="I491" s="40"/>
      <c r="J491" s="40"/>
      <c r="K491" s="40"/>
      <c r="L491" s="40"/>
      <c r="M491" s="40"/>
      <c r="N491" s="40"/>
      <c r="O491" s="40"/>
    </row>
    <row r="492" spans="1:15">
      <c r="A492" s="40"/>
      <c r="I492" s="40"/>
      <c r="J492" s="40"/>
      <c r="K492" s="40"/>
      <c r="L492" s="40"/>
      <c r="M492" s="40"/>
      <c r="N492" s="40"/>
      <c r="O492" s="40"/>
    </row>
    <row r="493" spans="1:15">
      <c r="A493" s="40"/>
      <c r="I493" s="40"/>
      <c r="J493" s="40"/>
      <c r="K493" s="40"/>
      <c r="L493" s="40"/>
      <c r="M493" s="40"/>
      <c r="N493" s="40"/>
      <c r="O493" s="40"/>
    </row>
    <row r="494" spans="1:15">
      <c r="A494" s="40"/>
      <c r="I494" s="40"/>
      <c r="J494" s="40"/>
      <c r="K494" s="40"/>
      <c r="L494" s="40"/>
      <c r="M494" s="40"/>
      <c r="N494" s="40"/>
      <c r="O494" s="40"/>
    </row>
    <row r="495" spans="1:15">
      <c r="A495" s="40"/>
      <c r="I495" s="40"/>
      <c r="J495" s="40"/>
      <c r="K495" s="40"/>
      <c r="L495" s="40"/>
      <c r="M495" s="40"/>
      <c r="N495" s="40"/>
      <c r="O495" s="40"/>
    </row>
    <row r="496" spans="1:15">
      <c r="A496" s="40"/>
      <c r="I496" s="40"/>
      <c r="J496" s="40"/>
      <c r="K496" s="40"/>
      <c r="L496" s="40"/>
      <c r="M496" s="40"/>
      <c r="N496" s="40"/>
      <c r="O496" s="40"/>
    </row>
    <row r="497" spans="1:15">
      <c r="A497" s="40"/>
      <c r="I497" s="40"/>
      <c r="J497" s="40"/>
      <c r="K497" s="40"/>
      <c r="L497" s="40"/>
      <c r="M497" s="40"/>
      <c r="N497" s="40"/>
      <c r="O497" s="40"/>
    </row>
    <row r="498" spans="1:15">
      <c r="A498" s="40"/>
      <c r="I498" s="40"/>
      <c r="J498" s="40"/>
      <c r="K498" s="40"/>
      <c r="L498" s="40"/>
      <c r="M498" s="40"/>
      <c r="N498" s="40"/>
      <c r="O498" s="40"/>
    </row>
    <row r="499" spans="1:15">
      <c r="A499" s="40"/>
      <c r="I499" s="40"/>
      <c r="J499" s="40"/>
      <c r="K499" s="40"/>
      <c r="L499" s="40"/>
      <c r="M499" s="40"/>
      <c r="N499" s="40"/>
      <c r="O499" s="40"/>
    </row>
    <row r="500" spans="1:15">
      <c r="A500" s="40"/>
      <c r="I500" s="40"/>
      <c r="J500" s="40"/>
      <c r="K500" s="40"/>
      <c r="L500" s="40"/>
      <c r="M500" s="40"/>
      <c r="N500" s="40"/>
      <c r="O500" s="40"/>
    </row>
    <row r="501" spans="1:15">
      <c r="A501" s="40"/>
      <c r="I501" s="40"/>
      <c r="J501" s="40"/>
      <c r="K501" s="40"/>
      <c r="L501" s="40"/>
      <c r="M501" s="40"/>
      <c r="N501" s="40"/>
      <c r="O501" s="40"/>
    </row>
    <row r="502" spans="1:15">
      <c r="A502" s="40"/>
      <c r="I502" s="40"/>
      <c r="J502" s="40"/>
      <c r="K502" s="40"/>
      <c r="L502" s="40"/>
      <c r="M502" s="40"/>
      <c r="N502" s="40"/>
      <c r="O502" s="40"/>
    </row>
    <row r="503" spans="1:15">
      <c r="A503" s="40"/>
      <c r="I503" s="40"/>
      <c r="J503" s="40"/>
      <c r="K503" s="40"/>
      <c r="L503" s="40"/>
      <c r="M503" s="40"/>
      <c r="N503" s="40"/>
      <c r="O503" s="40"/>
    </row>
    <row r="504" spans="1:15">
      <c r="A504" s="40"/>
      <c r="I504" s="40"/>
      <c r="J504" s="40"/>
      <c r="K504" s="40"/>
      <c r="L504" s="40"/>
      <c r="M504" s="40"/>
      <c r="N504" s="40"/>
      <c r="O504" s="40"/>
    </row>
    <row r="505" spans="1:15">
      <c r="A505" s="40"/>
      <c r="I505" s="40"/>
      <c r="J505" s="40"/>
      <c r="K505" s="40"/>
      <c r="L505" s="40"/>
      <c r="M505" s="40"/>
      <c r="N505" s="40"/>
      <c r="O505" s="40"/>
    </row>
    <row r="506" spans="1:15">
      <c r="A506" s="40"/>
      <c r="I506" s="40"/>
      <c r="J506" s="40"/>
      <c r="K506" s="40"/>
      <c r="L506" s="40"/>
      <c r="M506" s="40"/>
      <c r="N506" s="40"/>
      <c r="O506" s="40"/>
    </row>
    <row r="507" spans="1:15">
      <c r="A507" s="40"/>
      <c r="I507" s="40"/>
      <c r="J507" s="40"/>
      <c r="K507" s="40"/>
      <c r="L507" s="40"/>
      <c r="M507" s="40"/>
      <c r="N507" s="40"/>
      <c r="O507" s="40"/>
    </row>
    <row r="508" spans="1:15">
      <c r="A508" s="40"/>
      <c r="I508" s="40"/>
      <c r="J508" s="40"/>
      <c r="K508" s="40"/>
      <c r="L508" s="40"/>
      <c r="M508" s="40"/>
      <c r="N508" s="40"/>
      <c r="O508" s="40"/>
    </row>
    <row r="509" spans="1:15">
      <c r="A509" s="40"/>
      <c r="I509" s="40"/>
      <c r="J509" s="40"/>
      <c r="K509" s="40"/>
      <c r="L509" s="40"/>
      <c r="M509" s="40"/>
      <c r="N509" s="40"/>
      <c r="O509" s="40"/>
    </row>
    <row r="510" spans="1:15">
      <c r="A510" s="40"/>
      <c r="I510" s="40"/>
      <c r="J510" s="40"/>
      <c r="K510" s="40"/>
      <c r="L510" s="40"/>
      <c r="M510" s="40"/>
      <c r="N510" s="40"/>
      <c r="O510" s="40"/>
    </row>
    <row r="511" spans="1:15">
      <c r="A511" s="40"/>
      <c r="I511" s="40"/>
      <c r="J511" s="40"/>
      <c r="K511" s="40"/>
      <c r="L511" s="40"/>
      <c r="M511" s="40"/>
      <c r="N511" s="40"/>
      <c r="O511" s="40"/>
    </row>
    <row r="512" spans="1:15">
      <c r="A512" s="40"/>
      <c r="I512" s="40"/>
      <c r="J512" s="40"/>
      <c r="K512" s="40"/>
      <c r="L512" s="40"/>
      <c r="M512" s="40"/>
      <c r="N512" s="40"/>
      <c r="O512" s="40"/>
    </row>
    <row r="513" spans="1:15">
      <c r="A513" s="40"/>
      <c r="I513" s="40"/>
      <c r="J513" s="40"/>
      <c r="K513" s="40"/>
      <c r="L513" s="40"/>
      <c r="M513" s="40"/>
      <c r="N513" s="40"/>
      <c r="O513" s="40"/>
    </row>
    <row r="514" spans="1:15">
      <c r="A514" s="40"/>
      <c r="I514" s="40"/>
      <c r="J514" s="40"/>
      <c r="K514" s="40"/>
      <c r="L514" s="40"/>
      <c r="M514" s="40"/>
      <c r="N514" s="40"/>
      <c r="O514" s="40"/>
    </row>
    <row r="515" spans="1:15">
      <c r="A515" s="40"/>
      <c r="I515" s="40"/>
      <c r="J515" s="40"/>
      <c r="K515" s="40"/>
      <c r="L515" s="40"/>
      <c r="M515" s="40"/>
      <c r="N515" s="40"/>
      <c r="O515" s="40"/>
    </row>
    <row r="516" spans="1:15">
      <c r="A516" s="40"/>
      <c r="I516" s="40"/>
      <c r="J516" s="40"/>
      <c r="K516" s="40"/>
      <c r="L516" s="40"/>
      <c r="M516" s="40"/>
      <c r="N516" s="40"/>
      <c r="O516" s="40"/>
    </row>
    <row r="517" spans="1:15">
      <c r="A517" s="40"/>
      <c r="I517" s="40"/>
      <c r="J517" s="40"/>
      <c r="K517" s="40"/>
      <c r="L517" s="40"/>
      <c r="M517" s="40"/>
      <c r="N517" s="40"/>
      <c r="O517" s="40"/>
    </row>
    <row r="518" spans="1:15">
      <c r="A518" s="40"/>
      <c r="I518" s="40"/>
      <c r="J518" s="40"/>
      <c r="K518" s="40"/>
      <c r="L518" s="40"/>
      <c r="M518" s="40"/>
      <c r="N518" s="40"/>
      <c r="O518" s="40"/>
    </row>
    <row r="519" spans="1:15">
      <c r="A519" s="40"/>
      <c r="I519" s="40"/>
      <c r="J519" s="40"/>
      <c r="K519" s="40"/>
      <c r="L519" s="40"/>
      <c r="M519" s="40"/>
      <c r="N519" s="40"/>
      <c r="O519" s="40"/>
    </row>
    <row r="520" spans="1:15">
      <c r="A520" s="40"/>
      <c r="I520" s="40"/>
      <c r="J520" s="40"/>
      <c r="K520" s="40"/>
      <c r="L520" s="40"/>
      <c r="M520" s="40"/>
      <c r="N520" s="40"/>
      <c r="O520" s="40"/>
    </row>
    <row r="521" spans="1:15">
      <c r="A521" s="40"/>
      <c r="I521" s="40"/>
      <c r="J521" s="40"/>
      <c r="K521" s="40"/>
      <c r="L521" s="40"/>
      <c r="M521" s="40"/>
      <c r="N521" s="40"/>
      <c r="O521" s="40"/>
    </row>
    <row r="522" spans="1:15">
      <c r="A522" s="40"/>
      <c r="I522" s="40"/>
      <c r="J522" s="40"/>
      <c r="K522" s="40"/>
      <c r="L522" s="40"/>
      <c r="M522" s="40"/>
      <c r="N522" s="40"/>
      <c r="O522" s="40"/>
    </row>
    <row r="523" spans="1:15">
      <c r="A523" s="40"/>
      <c r="I523" s="40"/>
      <c r="J523" s="40"/>
      <c r="K523" s="40"/>
      <c r="L523" s="40"/>
      <c r="M523" s="40"/>
      <c r="N523" s="40"/>
      <c r="O523" s="40"/>
    </row>
    <row r="524" spans="1:15">
      <c r="A524" s="40"/>
      <c r="I524" s="40"/>
      <c r="J524" s="40"/>
      <c r="K524" s="40"/>
      <c r="L524" s="40"/>
      <c r="M524" s="40"/>
      <c r="N524" s="40"/>
      <c r="O524" s="40"/>
    </row>
    <row r="525" spans="1:15">
      <c r="A525" s="40"/>
      <c r="I525" s="40"/>
      <c r="J525" s="40"/>
      <c r="K525" s="40"/>
      <c r="L525" s="40"/>
      <c r="M525" s="40"/>
      <c r="N525" s="40"/>
      <c r="O525" s="40"/>
    </row>
    <row r="526" spans="1:15">
      <c r="A526" s="40"/>
      <c r="I526" s="40"/>
      <c r="J526" s="40"/>
      <c r="K526" s="40"/>
      <c r="L526" s="40"/>
      <c r="M526" s="40"/>
      <c r="N526" s="40"/>
      <c r="O526" s="40"/>
    </row>
    <row r="527" spans="1:15">
      <c r="A527" s="40"/>
      <c r="I527" s="40"/>
      <c r="J527" s="40"/>
      <c r="K527" s="40"/>
      <c r="L527" s="40"/>
      <c r="M527" s="40"/>
      <c r="N527" s="40"/>
      <c r="O527" s="40"/>
    </row>
    <row r="528" spans="1:15">
      <c r="A528" s="40"/>
      <c r="I528" s="40"/>
      <c r="J528" s="40"/>
      <c r="K528" s="40"/>
      <c r="L528" s="40"/>
      <c r="M528" s="40"/>
      <c r="N528" s="40"/>
      <c r="O528" s="40"/>
    </row>
    <row r="529" spans="1:15">
      <c r="A529" s="40"/>
      <c r="I529" s="40"/>
      <c r="J529" s="40"/>
      <c r="K529" s="40"/>
      <c r="L529" s="40"/>
      <c r="M529" s="40"/>
      <c r="N529" s="40"/>
      <c r="O529" s="40"/>
    </row>
    <row r="530" spans="1:15">
      <c r="A530" s="40"/>
      <c r="I530" s="40"/>
      <c r="J530" s="40"/>
      <c r="K530" s="40"/>
      <c r="L530" s="40"/>
      <c r="M530" s="40"/>
      <c r="N530" s="40"/>
      <c r="O530" s="40"/>
    </row>
    <row r="531" spans="1:15">
      <c r="A531" s="40"/>
      <c r="I531" s="40"/>
      <c r="J531" s="40"/>
      <c r="K531" s="40"/>
      <c r="L531" s="40"/>
      <c r="M531" s="40"/>
      <c r="N531" s="40"/>
      <c r="O531" s="40"/>
    </row>
    <row r="532" spans="1:15">
      <c r="A532" s="40"/>
      <c r="I532" s="40"/>
      <c r="J532" s="40"/>
      <c r="K532" s="40"/>
      <c r="L532" s="40"/>
      <c r="M532" s="40"/>
      <c r="N532" s="40"/>
      <c r="O532" s="40"/>
    </row>
    <row r="533" spans="1:15">
      <c r="A533" s="40"/>
      <c r="I533" s="40"/>
      <c r="J533" s="40"/>
      <c r="K533" s="40"/>
      <c r="L533" s="40"/>
      <c r="M533" s="40"/>
      <c r="N533" s="40"/>
      <c r="O533" s="40"/>
    </row>
    <row r="534" spans="1:15">
      <c r="A534" s="40"/>
      <c r="I534" s="40"/>
      <c r="J534" s="40"/>
      <c r="K534" s="40"/>
      <c r="L534" s="40"/>
      <c r="M534" s="40"/>
      <c r="N534" s="40"/>
      <c r="O534" s="40"/>
    </row>
    <row r="535" spans="1:15">
      <c r="A535" s="40"/>
      <c r="I535" s="40"/>
      <c r="J535" s="40"/>
      <c r="K535" s="40"/>
      <c r="L535" s="40"/>
      <c r="M535" s="40"/>
      <c r="N535" s="40"/>
      <c r="O535" s="40"/>
    </row>
    <row r="536" spans="1:15">
      <c r="A536" s="40"/>
      <c r="I536" s="40"/>
      <c r="J536" s="40"/>
      <c r="K536" s="40"/>
      <c r="L536" s="40"/>
      <c r="M536" s="40"/>
      <c r="N536" s="40"/>
      <c r="O536" s="40"/>
    </row>
    <row r="537" spans="1:15">
      <c r="A537" s="40"/>
      <c r="I537" s="40"/>
      <c r="J537" s="40"/>
      <c r="K537" s="40"/>
      <c r="L537" s="40"/>
      <c r="M537" s="40"/>
      <c r="N537" s="40"/>
      <c r="O537" s="40"/>
    </row>
    <row r="538" spans="1:15">
      <c r="A538" s="40"/>
      <c r="I538" s="40"/>
      <c r="J538" s="40"/>
      <c r="K538" s="40"/>
      <c r="L538" s="40"/>
      <c r="M538" s="40"/>
      <c r="N538" s="40"/>
      <c r="O538" s="40"/>
    </row>
    <row r="539" spans="1:15">
      <c r="A539" s="40"/>
      <c r="I539" s="40"/>
      <c r="J539" s="40"/>
      <c r="K539" s="40"/>
      <c r="L539" s="40"/>
      <c r="M539" s="40"/>
      <c r="N539" s="40"/>
      <c r="O539" s="40"/>
    </row>
    <row r="540" spans="1:15">
      <c r="A540" s="40"/>
      <c r="I540" s="40"/>
      <c r="J540" s="40"/>
      <c r="K540" s="40"/>
      <c r="L540" s="40"/>
      <c r="M540" s="40"/>
      <c r="N540" s="40"/>
      <c r="O540" s="40"/>
    </row>
    <row r="541" spans="1:15">
      <c r="A541" s="40"/>
      <c r="I541" s="40"/>
      <c r="J541" s="40"/>
      <c r="K541" s="40"/>
      <c r="L541" s="40"/>
      <c r="M541" s="40"/>
      <c r="N541" s="40"/>
      <c r="O541" s="40"/>
    </row>
    <row r="542" spans="1:15">
      <c r="A542" s="40"/>
      <c r="I542" s="40"/>
      <c r="J542" s="40"/>
      <c r="K542" s="40"/>
      <c r="L542" s="40"/>
      <c r="M542" s="40"/>
      <c r="N542" s="40"/>
      <c r="O542" s="40"/>
    </row>
    <row r="543" spans="1:15">
      <c r="A543" s="40"/>
      <c r="I543" s="40"/>
      <c r="J543" s="40"/>
      <c r="K543" s="40"/>
      <c r="L543" s="40"/>
      <c r="M543" s="40"/>
      <c r="N543" s="40"/>
      <c r="O543" s="40"/>
    </row>
    <row r="544" spans="1:15">
      <c r="A544" s="40"/>
      <c r="I544" s="40"/>
      <c r="J544" s="40"/>
      <c r="K544" s="40"/>
      <c r="L544" s="40"/>
      <c r="M544" s="40"/>
      <c r="N544" s="40"/>
      <c r="O544" s="40"/>
    </row>
    <row r="545" spans="1:15">
      <c r="A545" s="40"/>
      <c r="I545" s="40"/>
      <c r="J545" s="40"/>
      <c r="K545" s="40"/>
      <c r="L545" s="40"/>
      <c r="M545" s="40"/>
      <c r="N545" s="40"/>
      <c r="O545" s="40"/>
    </row>
    <row r="546" spans="1:15">
      <c r="A546" s="40"/>
      <c r="I546" s="40"/>
      <c r="J546" s="40"/>
      <c r="K546" s="40"/>
      <c r="L546" s="40"/>
      <c r="M546" s="40"/>
      <c r="N546" s="40"/>
      <c r="O546" s="40"/>
    </row>
    <row r="547" spans="1:15">
      <c r="A547" s="40"/>
      <c r="I547" s="40"/>
      <c r="J547" s="40"/>
      <c r="K547" s="40"/>
      <c r="L547" s="40"/>
      <c r="M547" s="40"/>
      <c r="N547" s="40"/>
      <c r="O547" s="40"/>
    </row>
    <row r="548" spans="1:15">
      <c r="A548" s="40"/>
      <c r="I548" s="40"/>
      <c r="J548" s="40"/>
      <c r="K548" s="40"/>
      <c r="L548" s="40"/>
      <c r="M548" s="40"/>
      <c r="N548" s="40"/>
      <c r="O548" s="40"/>
    </row>
    <row r="549" spans="1:15">
      <c r="A549" s="40"/>
      <c r="I549" s="40"/>
      <c r="J549" s="40"/>
      <c r="K549" s="40"/>
      <c r="L549" s="40"/>
      <c r="M549" s="40"/>
      <c r="N549" s="40"/>
      <c r="O549" s="40"/>
    </row>
    <row r="550" spans="1:15">
      <c r="A550" s="40"/>
      <c r="I550" s="40"/>
      <c r="J550" s="40"/>
      <c r="K550" s="40"/>
      <c r="L550" s="40"/>
      <c r="M550" s="40"/>
      <c r="N550" s="40"/>
      <c r="O550" s="40"/>
    </row>
    <row r="551" spans="1:15">
      <c r="A551" s="40"/>
      <c r="I551" s="40"/>
      <c r="J551" s="40"/>
      <c r="K551" s="40"/>
      <c r="L551" s="40"/>
      <c r="M551" s="40"/>
      <c r="N551" s="40"/>
      <c r="O551" s="40"/>
    </row>
    <row r="552" spans="1:15">
      <c r="A552" s="40"/>
      <c r="I552" s="40"/>
      <c r="J552" s="40"/>
      <c r="K552" s="40"/>
      <c r="L552" s="40"/>
      <c r="M552" s="40"/>
      <c r="N552" s="40"/>
      <c r="O552" s="40"/>
    </row>
    <row r="553" spans="1:15">
      <c r="A553" s="40"/>
      <c r="I553" s="40"/>
      <c r="J553" s="40"/>
      <c r="K553" s="40"/>
      <c r="L553" s="40"/>
      <c r="M553" s="40"/>
      <c r="N553" s="40"/>
      <c r="O553" s="40"/>
    </row>
    <row r="554" spans="1:15">
      <c r="A554" s="40"/>
      <c r="I554" s="40"/>
      <c r="J554" s="40"/>
      <c r="K554" s="40"/>
      <c r="L554" s="40"/>
      <c r="M554" s="40"/>
      <c r="N554" s="40"/>
      <c r="O554" s="40"/>
    </row>
    <row r="555" spans="1:15">
      <c r="A555" s="40"/>
      <c r="I555" s="40"/>
      <c r="J555" s="40"/>
      <c r="K555" s="40"/>
      <c r="L555" s="40"/>
      <c r="M555" s="40"/>
      <c r="N555" s="40"/>
      <c r="O555" s="40"/>
    </row>
    <row r="556" spans="1:15">
      <c r="A556" s="40"/>
      <c r="I556" s="40"/>
      <c r="J556" s="40"/>
      <c r="K556" s="40"/>
      <c r="L556" s="40"/>
      <c r="M556" s="40"/>
      <c r="N556" s="40"/>
      <c r="O556" s="40"/>
    </row>
    <row r="557" spans="1:15">
      <c r="A557" s="40"/>
      <c r="I557" s="40"/>
      <c r="J557" s="40"/>
      <c r="K557" s="40"/>
      <c r="L557" s="40"/>
      <c r="M557" s="40"/>
      <c r="N557" s="40"/>
      <c r="O557" s="40"/>
    </row>
    <row r="558" spans="1:15">
      <c r="A558" s="40"/>
      <c r="I558" s="40"/>
      <c r="J558" s="40"/>
      <c r="K558" s="40"/>
      <c r="L558" s="40"/>
      <c r="M558" s="40"/>
      <c r="N558" s="40"/>
      <c r="O558" s="40"/>
    </row>
    <row r="559" spans="1:15">
      <c r="A559" s="40"/>
      <c r="I559" s="40"/>
      <c r="J559" s="40"/>
      <c r="K559" s="40"/>
      <c r="L559" s="40"/>
      <c r="M559" s="40"/>
      <c r="N559" s="40"/>
      <c r="O559" s="40"/>
    </row>
    <row r="560" spans="1:15">
      <c r="A560" s="40"/>
      <c r="I560" s="40"/>
      <c r="J560" s="40"/>
      <c r="K560" s="40"/>
      <c r="L560" s="40"/>
      <c r="M560" s="40"/>
      <c r="N560" s="40"/>
      <c r="O560" s="40"/>
    </row>
    <row r="561" spans="1:15">
      <c r="A561" s="40"/>
      <c r="I561" s="40"/>
      <c r="J561" s="40"/>
      <c r="K561" s="40"/>
      <c r="L561" s="40"/>
      <c r="M561" s="40"/>
      <c r="N561" s="40"/>
      <c r="O561" s="40"/>
    </row>
    <row r="562" spans="1:15">
      <c r="A562" s="40"/>
      <c r="I562" s="40"/>
      <c r="J562" s="40"/>
      <c r="K562" s="40"/>
      <c r="L562" s="40"/>
      <c r="M562" s="40"/>
      <c r="N562" s="40"/>
      <c r="O562" s="40"/>
    </row>
    <row r="563" spans="1:15">
      <c r="A563" s="40"/>
      <c r="I563" s="40"/>
      <c r="J563" s="40"/>
      <c r="K563" s="40"/>
      <c r="L563" s="40"/>
      <c r="M563" s="40"/>
      <c r="N563" s="40"/>
      <c r="O563" s="40"/>
    </row>
    <row r="564" spans="1:15">
      <c r="A564" s="40"/>
      <c r="I564" s="40"/>
      <c r="J564" s="40"/>
      <c r="K564" s="40"/>
      <c r="L564" s="40"/>
      <c r="M564" s="40"/>
      <c r="N564" s="40"/>
      <c r="O564" s="40"/>
    </row>
    <row r="565" spans="1:15">
      <c r="A565" s="40"/>
      <c r="I565" s="40"/>
      <c r="J565" s="40"/>
      <c r="K565" s="40"/>
      <c r="L565" s="40"/>
      <c r="M565" s="40"/>
      <c r="N565" s="40"/>
      <c r="O565" s="40"/>
    </row>
    <row r="566" spans="1:15">
      <c r="A566" s="40"/>
      <c r="I566" s="40"/>
      <c r="J566" s="40"/>
      <c r="K566" s="40"/>
      <c r="L566" s="40"/>
      <c r="M566" s="40"/>
      <c r="N566" s="40"/>
      <c r="O566" s="40"/>
    </row>
    <row r="567" spans="1:15">
      <c r="A567" s="40"/>
      <c r="I567" s="40"/>
      <c r="J567" s="40"/>
      <c r="K567" s="40"/>
      <c r="L567" s="40"/>
      <c r="M567" s="40"/>
      <c r="N567" s="40"/>
      <c r="O567" s="40"/>
    </row>
    <row r="568" spans="1:15">
      <c r="A568" s="40"/>
      <c r="I568" s="40"/>
      <c r="J568" s="40"/>
      <c r="K568" s="40"/>
      <c r="L568" s="40"/>
      <c r="M568" s="40"/>
      <c r="N568" s="40"/>
      <c r="O568" s="40"/>
    </row>
    <row r="569" spans="1:15">
      <c r="A569" s="40"/>
      <c r="I569" s="40"/>
      <c r="J569" s="40"/>
      <c r="K569" s="40"/>
      <c r="L569" s="40"/>
      <c r="M569" s="40"/>
      <c r="N569" s="40"/>
      <c r="O569" s="40"/>
    </row>
    <row r="570" spans="1:15">
      <c r="A570" s="40"/>
      <c r="I570" s="40"/>
      <c r="J570" s="40"/>
      <c r="K570" s="40"/>
      <c r="L570" s="40"/>
      <c r="M570" s="40"/>
      <c r="N570" s="40"/>
      <c r="O570" s="40"/>
    </row>
    <row r="571" spans="1:15">
      <c r="A571" s="40"/>
      <c r="I571" s="40"/>
      <c r="J571" s="40"/>
      <c r="K571" s="40"/>
      <c r="L571" s="40"/>
      <c r="M571" s="40"/>
      <c r="N571" s="40"/>
      <c r="O571" s="40"/>
    </row>
    <row r="572" spans="1:15">
      <c r="A572" s="40"/>
      <c r="I572" s="40"/>
      <c r="J572" s="40"/>
      <c r="K572" s="40"/>
      <c r="L572" s="40"/>
      <c r="M572" s="40"/>
      <c r="N572" s="40"/>
      <c r="O572" s="40"/>
    </row>
    <row r="573" spans="1:15">
      <c r="A573" s="40"/>
      <c r="I573" s="40"/>
      <c r="J573" s="40"/>
      <c r="K573" s="40"/>
      <c r="L573" s="40"/>
      <c r="M573" s="40"/>
      <c r="N573" s="40"/>
      <c r="O573" s="40"/>
    </row>
    <row r="574" spans="1:15">
      <c r="A574" s="40"/>
      <c r="I574" s="40"/>
      <c r="J574" s="40"/>
      <c r="K574" s="40"/>
      <c r="L574" s="40"/>
      <c r="M574" s="40"/>
      <c r="N574" s="40"/>
      <c r="O574" s="40"/>
    </row>
    <row r="575" spans="1:15">
      <c r="A575" s="40"/>
      <c r="I575" s="40"/>
      <c r="J575" s="40"/>
      <c r="K575" s="40"/>
      <c r="L575" s="40"/>
      <c r="M575" s="40"/>
      <c r="N575" s="40"/>
      <c r="O575" s="40"/>
    </row>
    <row r="576" spans="1:15">
      <c r="A576" s="40"/>
      <c r="I576" s="40"/>
      <c r="J576" s="40"/>
      <c r="K576" s="40"/>
      <c r="L576" s="40"/>
      <c r="M576" s="40"/>
      <c r="N576" s="40"/>
      <c r="O576" s="40"/>
    </row>
    <row r="577" spans="1:15">
      <c r="A577" s="40"/>
      <c r="I577" s="40"/>
      <c r="J577" s="40"/>
      <c r="K577" s="40"/>
      <c r="L577" s="40"/>
      <c r="M577" s="40"/>
      <c r="N577" s="40"/>
      <c r="O577" s="40"/>
    </row>
    <row r="578" spans="1:15">
      <c r="A578" s="40"/>
      <c r="I578" s="40"/>
      <c r="J578" s="40"/>
      <c r="K578" s="40"/>
      <c r="L578" s="40"/>
      <c r="M578" s="40"/>
      <c r="N578" s="40"/>
      <c r="O578" s="40"/>
    </row>
    <row r="579" spans="1:15">
      <c r="A579" s="40"/>
      <c r="I579" s="40"/>
      <c r="J579" s="40"/>
      <c r="K579" s="40"/>
      <c r="L579" s="40"/>
      <c r="M579" s="40"/>
      <c r="N579" s="40"/>
      <c r="O579" s="40"/>
    </row>
    <row r="580" spans="1:15">
      <c r="A580" s="40"/>
      <c r="I580" s="40"/>
      <c r="J580" s="40"/>
      <c r="K580" s="40"/>
      <c r="L580" s="40"/>
      <c r="M580" s="40"/>
      <c r="N580" s="40"/>
      <c r="O580" s="40"/>
    </row>
    <row r="581" spans="1:15">
      <c r="A581" s="40"/>
      <c r="I581" s="40"/>
      <c r="J581" s="40"/>
      <c r="K581" s="40"/>
      <c r="L581" s="40"/>
      <c r="M581" s="40"/>
      <c r="N581" s="40"/>
      <c r="O581" s="40"/>
    </row>
    <row r="582" spans="1:15">
      <c r="A582" s="40"/>
      <c r="I582" s="40"/>
      <c r="J582" s="40"/>
      <c r="K582" s="40"/>
      <c r="L582" s="40"/>
      <c r="M582" s="40"/>
      <c r="N582" s="40"/>
      <c r="O582" s="40"/>
    </row>
    <row r="583" spans="1:15">
      <c r="A583" s="40"/>
      <c r="I583" s="40"/>
      <c r="J583" s="40"/>
      <c r="K583" s="40"/>
      <c r="L583" s="40"/>
      <c r="M583" s="40"/>
      <c r="N583" s="40"/>
      <c r="O583" s="40"/>
    </row>
    <row r="584" spans="1:15">
      <c r="A584" s="40"/>
      <c r="I584" s="40"/>
      <c r="J584" s="40"/>
      <c r="K584" s="40"/>
      <c r="L584" s="40"/>
      <c r="M584" s="40"/>
      <c r="N584" s="40"/>
      <c r="O584" s="40"/>
    </row>
    <row r="585" spans="1:15">
      <c r="A585" s="40"/>
      <c r="I585" s="40"/>
      <c r="J585" s="40"/>
      <c r="K585" s="40"/>
      <c r="L585" s="40"/>
      <c r="M585" s="40"/>
      <c r="N585" s="40"/>
      <c r="O585" s="40"/>
    </row>
    <row r="586" spans="1:15">
      <c r="A586" s="40"/>
      <c r="I586" s="40"/>
      <c r="J586" s="40"/>
      <c r="K586" s="40"/>
      <c r="L586" s="40"/>
      <c r="M586" s="40"/>
      <c r="N586" s="40"/>
      <c r="O586" s="40"/>
    </row>
    <row r="587" spans="1:15">
      <c r="A587" s="40"/>
      <c r="I587" s="40"/>
      <c r="J587" s="40"/>
      <c r="K587" s="40"/>
      <c r="L587" s="40"/>
      <c r="M587" s="40"/>
      <c r="N587" s="40"/>
      <c r="O587" s="40"/>
    </row>
    <row r="588" spans="1:15">
      <c r="A588" s="40"/>
      <c r="I588" s="40"/>
      <c r="J588" s="40"/>
      <c r="K588" s="40"/>
      <c r="L588" s="40"/>
      <c r="M588" s="40"/>
      <c r="N588" s="40"/>
      <c r="O588" s="40"/>
    </row>
    <row r="589" spans="1:15">
      <c r="A589" s="40"/>
      <c r="I589" s="40"/>
      <c r="J589" s="40"/>
      <c r="K589" s="40"/>
      <c r="L589" s="40"/>
      <c r="M589" s="40"/>
      <c r="N589" s="40"/>
      <c r="O589" s="40"/>
    </row>
    <row r="590" spans="1:15">
      <c r="A590" s="40"/>
      <c r="I590" s="40"/>
      <c r="J590" s="40"/>
      <c r="K590" s="40"/>
      <c r="L590" s="40"/>
      <c r="M590" s="40"/>
      <c r="N590" s="40"/>
      <c r="O590" s="40"/>
    </row>
    <row r="591" spans="1:15">
      <c r="A591" s="40"/>
      <c r="I591" s="40"/>
      <c r="J591" s="40"/>
      <c r="K591" s="40"/>
      <c r="L591" s="40"/>
      <c r="M591" s="40"/>
      <c r="N591" s="40"/>
      <c r="O591" s="40"/>
    </row>
    <row r="592" spans="1:15">
      <c r="A592" s="40"/>
      <c r="I592" s="40"/>
      <c r="J592" s="40"/>
      <c r="K592" s="40"/>
      <c r="L592" s="40"/>
      <c r="M592" s="40"/>
      <c r="N592" s="40"/>
      <c r="O592" s="40"/>
    </row>
    <row r="593" spans="1:15">
      <c r="A593" s="40"/>
      <c r="I593" s="40"/>
      <c r="J593" s="40"/>
      <c r="K593" s="40"/>
      <c r="L593" s="40"/>
      <c r="M593" s="40"/>
      <c r="N593" s="40"/>
      <c r="O593" s="40"/>
    </row>
    <row r="594" spans="1:15">
      <c r="A594" s="40"/>
      <c r="I594" s="40"/>
      <c r="J594" s="40"/>
      <c r="K594" s="40"/>
      <c r="L594" s="40"/>
      <c r="M594" s="40"/>
      <c r="N594" s="40"/>
      <c r="O594" s="40"/>
    </row>
    <row r="595" spans="1:15">
      <c r="A595" s="40"/>
      <c r="I595" s="40"/>
      <c r="J595" s="40"/>
      <c r="K595" s="40"/>
      <c r="L595" s="40"/>
      <c r="M595" s="40"/>
      <c r="N595" s="40"/>
      <c r="O595" s="40"/>
    </row>
    <row r="596" spans="1:15">
      <c r="A596" s="40"/>
      <c r="I596" s="40"/>
      <c r="J596" s="40"/>
      <c r="K596" s="40"/>
      <c r="L596" s="40"/>
      <c r="M596" s="40"/>
      <c r="N596" s="40"/>
      <c r="O596" s="40"/>
    </row>
    <row r="597" spans="1:15">
      <c r="A597" s="40"/>
      <c r="I597" s="40"/>
      <c r="J597" s="40"/>
      <c r="K597" s="40"/>
      <c r="L597" s="40"/>
      <c r="M597" s="40"/>
      <c r="N597" s="40"/>
      <c r="O597" s="40"/>
    </row>
    <row r="598" spans="1:15">
      <c r="A598" s="40"/>
      <c r="I598" s="40"/>
      <c r="J598" s="40"/>
      <c r="K598" s="40"/>
      <c r="L598" s="40"/>
      <c r="M598" s="40"/>
      <c r="N598" s="40"/>
      <c r="O598" s="40"/>
    </row>
    <row r="599" spans="1:15">
      <c r="A599" s="40"/>
      <c r="I599" s="40"/>
      <c r="J599" s="40"/>
      <c r="K599" s="40"/>
      <c r="L599" s="40"/>
      <c r="M599" s="40"/>
      <c r="N599" s="40"/>
      <c r="O599" s="40"/>
    </row>
    <row r="600" spans="1:15">
      <c r="A600" s="40"/>
      <c r="I600" s="40"/>
      <c r="J600" s="40"/>
      <c r="K600" s="40"/>
      <c r="L600" s="40"/>
      <c r="M600" s="40"/>
      <c r="N600" s="40"/>
      <c r="O600" s="40"/>
    </row>
    <row r="601" spans="1:15">
      <c r="A601" s="40"/>
      <c r="I601" s="40"/>
      <c r="J601" s="40"/>
      <c r="K601" s="40"/>
      <c r="L601" s="40"/>
      <c r="M601" s="40"/>
      <c r="N601" s="40"/>
      <c r="O601" s="40"/>
    </row>
    <row r="602" spans="1:15">
      <c r="A602" s="40"/>
      <c r="I602" s="40"/>
      <c r="J602" s="40"/>
      <c r="K602" s="40"/>
      <c r="L602" s="40"/>
      <c r="M602" s="40"/>
      <c r="N602" s="40"/>
      <c r="O602" s="40"/>
    </row>
    <row r="603" spans="1:15">
      <c r="A603" s="40"/>
      <c r="I603" s="40"/>
      <c r="J603" s="40"/>
      <c r="K603" s="40"/>
      <c r="L603" s="40"/>
      <c r="M603" s="40"/>
      <c r="N603" s="40"/>
      <c r="O603" s="40"/>
    </row>
    <row r="604" spans="1:15">
      <c r="A604" s="40"/>
      <c r="I604" s="40"/>
      <c r="J604" s="40"/>
      <c r="K604" s="40"/>
      <c r="L604" s="40"/>
      <c r="M604" s="40"/>
      <c r="N604" s="40"/>
      <c r="O604" s="40"/>
    </row>
    <row r="605" spans="1:15">
      <c r="A605" s="40"/>
      <c r="I605" s="40"/>
      <c r="J605" s="40"/>
      <c r="K605" s="40"/>
      <c r="L605" s="40"/>
      <c r="M605" s="40"/>
      <c r="N605" s="40"/>
      <c r="O605" s="40"/>
    </row>
    <row r="606" spans="1:15">
      <c r="A606" s="40"/>
      <c r="I606" s="40"/>
      <c r="J606" s="40"/>
      <c r="K606" s="40"/>
      <c r="L606" s="40"/>
      <c r="M606" s="40"/>
      <c r="N606" s="40"/>
      <c r="O606" s="40"/>
    </row>
    <row r="607" spans="1:15">
      <c r="A607" s="40"/>
      <c r="I607" s="40"/>
      <c r="J607" s="40"/>
      <c r="K607" s="40"/>
      <c r="L607" s="40"/>
      <c r="M607" s="40"/>
      <c r="N607" s="40"/>
      <c r="O607" s="40"/>
    </row>
    <row r="608" spans="1:15">
      <c r="A608" s="40"/>
      <c r="I608" s="40"/>
      <c r="J608" s="40"/>
      <c r="K608" s="40"/>
      <c r="L608" s="40"/>
      <c r="M608" s="40"/>
      <c r="N608" s="40"/>
      <c r="O608" s="40"/>
    </row>
    <row r="609" spans="1:15">
      <c r="A609" s="40"/>
      <c r="I609" s="40"/>
      <c r="J609" s="40"/>
      <c r="K609" s="40"/>
      <c r="L609" s="40"/>
      <c r="M609" s="40"/>
      <c r="N609" s="40"/>
      <c r="O609" s="40"/>
    </row>
    <row r="610" spans="1:15">
      <c r="A610" s="40"/>
      <c r="I610" s="40"/>
      <c r="J610" s="40"/>
      <c r="K610" s="40"/>
      <c r="L610" s="40"/>
      <c r="M610" s="40"/>
      <c r="N610" s="40"/>
      <c r="O610" s="40"/>
    </row>
    <row r="611" spans="1:15">
      <c r="A611" s="40"/>
      <c r="I611" s="40"/>
      <c r="J611" s="40"/>
      <c r="K611" s="40"/>
      <c r="L611" s="40"/>
      <c r="M611" s="40"/>
      <c r="N611" s="40"/>
      <c r="O611" s="40"/>
    </row>
    <row r="612" spans="1:15">
      <c r="A612" s="40"/>
      <c r="I612" s="40"/>
      <c r="J612" s="40"/>
      <c r="K612" s="40"/>
      <c r="L612" s="40"/>
      <c r="M612" s="40"/>
      <c r="N612" s="40"/>
      <c r="O612" s="40"/>
    </row>
    <row r="613" spans="1:15">
      <c r="A613" s="40"/>
      <c r="I613" s="40"/>
      <c r="J613" s="40"/>
      <c r="K613" s="40"/>
      <c r="L613" s="40"/>
      <c r="M613" s="40"/>
      <c r="N613" s="40"/>
      <c r="O613" s="40"/>
    </row>
    <row r="614" spans="1:15">
      <c r="A614" s="40"/>
      <c r="I614" s="40"/>
      <c r="J614" s="40"/>
      <c r="K614" s="40"/>
      <c r="L614" s="40"/>
      <c r="M614" s="40"/>
      <c r="N614" s="40"/>
      <c r="O614" s="40"/>
    </row>
    <row r="615" spans="1:15">
      <c r="A615" s="40"/>
      <c r="I615" s="40"/>
      <c r="J615" s="40"/>
      <c r="K615" s="40"/>
      <c r="L615" s="40"/>
      <c r="M615" s="40"/>
      <c r="N615" s="40"/>
      <c r="O615" s="40"/>
    </row>
    <row r="616" spans="1:15">
      <c r="A616" s="40"/>
      <c r="I616" s="40"/>
      <c r="J616" s="40"/>
      <c r="K616" s="40"/>
      <c r="L616" s="40"/>
      <c r="M616" s="40"/>
      <c r="N616" s="40"/>
      <c r="O616" s="40"/>
    </row>
    <row r="617" spans="1:15">
      <c r="A617" s="40"/>
      <c r="I617" s="40"/>
      <c r="J617" s="40"/>
      <c r="K617" s="40"/>
      <c r="L617" s="40"/>
      <c r="M617" s="40"/>
      <c r="N617" s="40"/>
      <c r="O617" s="40"/>
    </row>
    <row r="618" spans="1:15">
      <c r="A618" s="40"/>
      <c r="I618" s="40"/>
      <c r="J618" s="40"/>
      <c r="K618" s="40"/>
      <c r="L618" s="40"/>
      <c r="M618" s="40"/>
      <c r="N618" s="40"/>
      <c r="O618" s="40"/>
    </row>
    <row r="619" spans="1:15">
      <c r="A619" s="40"/>
      <c r="I619" s="40"/>
      <c r="J619" s="40"/>
      <c r="K619" s="40"/>
      <c r="L619" s="40"/>
      <c r="M619" s="40"/>
      <c r="N619" s="40"/>
      <c r="O619" s="40"/>
    </row>
    <row r="620" spans="1:15">
      <c r="A620" s="40"/>
      <c r="I620" s="40"/>
      <c r="J620" s="40"/>
      <c r="K620" s="40"/>
      <c r="L620" s="40"/>
      <c r="M620" s="40"/>
      <c r="N620" s="40"/>
      <c r="O620" s="40"/>
    </row>
    <row r="621" spans="1:15">
      <c r="A621" s="40"/>
      <c r="I621" s="40"/>
      <c r="J621" s="40"/>
      <c r="K621" s="40"/>
      <c r="L621" s="40"/>
      <c r="M621" s="40"/>
      <c r="N621" s="40"/>
      <c r="O621" s="40"/>
    </row>
    <row r="622" spans="1:15">
      <c r="A622" s="40"/>
      <c r="I622" s="40"/>
      <c r="J622" s="40"/>
      <c r="K622" s="40"/>
      <c r="L622" s="40"/>
      <c r="M622" s="40"/>
      <c r="N622" s="40"/>
      <c r="O622" s="40"/>
    </row>
    <row r="623" spans="1:15">
      <c r="A623" s="40"/>
      <c r="I623" s="40"/>
      <c r="J623" s="40"/>
      <c r="K623" s="40"/>
      <c r="L623" s="40"/>
      <c r="M623" s="40"/>
      <c r="N623" s="40"/>
      <c r="O623" s="40"/>
    </row>
    <row r="624" spans="1:15">
      <c r="A624" s="40"/>
      <c r="I624" s="40"/>
      <c r="J624" s="40"/>
      <c r="K624" s="40"/>
      <c r="L624" s="40"/>
      <c r="M624" s="40"/>
      <c r="N624" s="40"/>
      <c r="O624" s="40"/>
    </row>
    <row r="625" spans="1:15">
      <c r="A625" s="40"/>
      <c r="I625" s="40"/>
      <c r="J625" s="40"/>
      <c r="K625" s="40"/>
      <c r="L625" s="40"/>
      <c r="M625" s="40"/>
      <c r="N625" s="40"/>
      <c r="O625" s="40"/>
    </row>
    <row r="626" spans="1:15">
      <c r="A626" s="40"/>
      <c r="I626" s="40"/>
      <c r="J626" s="40"/>
      <c r="K626" s="40"/>
      <c r="L626" s="40"/>
      <c r="M626" s="40"/>
      <c r="N626" s="40"/>
      <c r="O626" s="40"/>
    </row>
    <row r="627" spans="1:15">
      <c r="A627" s="40"/>
      <c r="I627" s="40"/>
      <c r="J627" s="40"/>
      <c r="K627" s="40"/>
      <c r="L627" s="40"/>
      <c r="M627" s="40"/>
      <c r="N627" s="40"/>
      <c r="O627" s="40"/>
    </row>
    <row r="628" spans="1:15">
      <c r="A628" s="40"/>
      <c r="I628" s="40"/>
      <c r="J628" s="40"/>
      <c r="K628" s="40"/>
      <c r="L628" s="40"/>
      <c r="M628" s="40"/>
      <c r="N628" s="40"/>
      <c r="O628" s="40"/>
    </row>
    <row r="629" spans="1:15">
      <c r="A629" s="40"/>
      <c r="I629" s="40"/>
      <c r="J629" s="40"/>
      <c r="K629" s="40"/>
      <c r="L629" s="40"/>
      <c r="M629" s="40"/>
      <c r="N629" s="40"/>
      <c r="O629" s="40"/>
    </row>
    <row r="630" spans="1:15">
      <c r="A630" s="40"/>
      <c r="I630" s="40"/>
      <c r="J630" s="40"/>
      <c r="K630" s="40"/>
      <c r="L630" s="40"/>
      <c r="M630" s="40"/>
      <c r="N630" s="40"/>
      <c r="O630" s="40"/>
    </row>
    <row r="631" spans="1:15">
      <c r="A631" s="40"/>
      <c r="I631" s="40"/>
      <c r="J631" s="40"/>
      <c r="K631" s="40"/>
      <c r="L631" s="40"/>
      <c r="M631" s="40"/>
      <c r="N631" s="40"/>
      <c r="O631" s="40"/>
    </row>
    <row r="632" spans="1:15">
      <c r="A632" s="40"/>
      <c r="I632" s="40"/>
      <c r="J632" s="40"/>
      <c r="K632" s="40"/>
      <c r="L632" s="40"/>
      <c r="M632" s="40"/>
      <c r="N632" s="40"/>
      <c r="O632" s="40"/>
    </row>
    <row r="633" spans="1:15">
      <c r="A633" s="40"/>
      <c r="I633" s="40"/>
      <c r="J633" s="40"/>
      <c r="K633" s="40"/>
      <c r="L633" s="40"/>
      <c r="M633" s="40"/>
      <c r="N633" s="40"/>
      <c r="O633" s="40"/>
    </row>
    <row r="634" spans="1:15">
      <c r="A634" s="40"/>
      <c r="I634" s="40"/>
      <c r="J634" s="40"/>
      <c r="K634" s="40"/>
      <c r="L634" s="40"/>
      <c r="M634" s="40"/>
      <c r="N634" s="40"/>
      <c r="O634" s="40"/>
    </row>
    <row r="635" spans="1:15">
      <c r="A635" s="40"/>
      <c r="I635" s="40"/>
      <c r="J635" s="40"/>
      <c r="K635" s="40"/>
      <c r="L635" s="40"/>
      <c r="M635" s="40"/>
      <c r="N635" s="40"/>
      <c r="O635" s="40"/>
    </row>
    <row r="636" spans="1:15">
      <c r="A636" s="40"/>
      <c r="I636" s="40"/>
      <c r="J636" s="40"/>
      <c r="K636" s="40"/>
      <c r="L636" s="40"/>
      <c r="M636" s="40"/>
      <c r="N636" s="40"/>
      <c r="O636" s="40"/>
    </row>
    <row r="637" spans="1:15">
      <c r="A637" s="40"/>
      <c r="I637" s="40"/>
      <c r="J637" s="40"/>
      <c r="K637" s="40"/>
      <c r="L637" s="40"/>
      <c r="M637" s="40"/>
      <c r="N637" s="40"/>
      <c r="O637" s="40"/>
    </row>
    <row r="638" spans="1:15">
      <c r="A638" s="40"/>
      <c r="I638" s="40"/>
      <c r="J638" s="40"/>
      <c r="K638" s="40"/>
      <c r="L638" s="40"/>
      <c r="M638" s="40"/>
      <c r="N638" s="40"/>
      <c r="O638" s="40"/>
    </row>
    <row r="639" spans="1:15">
      <c r="A639" s="40"/>
      <c r="I639" s="40"/>
      <c r="J639" s="40"/>
      <c r="K639" s="40"/>
      <c r="L639" s="40"/>
      <c r="M639" s="40"/>
      <c r="N639" s="40"/>
      <c r="O639" s="40"/>
    </row>
    <row r="640" spans="1:15">
      <c r="A640" s="40"/>
      <c r="I640" s="40"/>
      <c r="J640" s="40"/>
      <c r="K640" s="40"/>
      <c r="L640" s="40"/>
      <c r="M640" s="40"/>
      <c r="N640" s="40"/>
      <c r="O640" s="40"/>
    </row>
    <row r="641" spans="1:15">
      <c r="A641" s="40"/>
      <c r="I641" s="40"/>
      <c r="J641" s="40"/>
      <c r="K641" s="40"/>
      <c r="L641" s="40"/>
      <c r="M641" s="40"/>
      <c r="N641" s="40"/>
      <c r="O641" s="40"/>
    </row>
    <row r="642" spans="1:15">
      <c r="A642" s="40"/>
      <c r="I642" s="40"/>
      <c r="J642" s="40"/>
      <c r="K642" s="40"/>
      <c r="L642" s="40"/>
      <c r="M642" s="40"/>
      <c r="N642" s="40"/>
      <c r="O642" s="40"/>
    </row>
    <row r="643" spans="1:15">
      <c r="A643" s="40"/>
      <c r="I643" s="40"/>
      <c r="J643" s="40"/>
      <c r="K643" s="40"/>
      <c r="L643" s="40"/>
      <c r="M643" s="40"/>
      <c r="N643" s="40"/>
      <c r="O643" s="40"/>
    </row>
    <row r="644" spans="1:15">
      <c r="A644" s="40"/>
      <c r="I644" s="40"/>
      <c r="J644" s="40"/>
      <c r="K644" s="40"/>
      <c r="L644" s="40"/>
      <c r="M644" s="40"/>
      <c r="N644" s="40"/>
      <c r="O644" s="40"/>
    </row>
    <row r="645" spans="1:15">
      <c r="A645" s="40"/>
      <c r="I645" s="40"/>
      <c r="J645" s="40"/>
      <c r="K645" s="40"/>
      <c r="L645" s="40"/>
      <c r="M645" s="40"/>
      <c r="N645" s="40"/>
      <c r="O645" s="40"/>
    </row>
    <row r="646" spans="1:15">
      <c r="A646" s="40"/>
      <c r="I646" s="40"/>
      <c r="J646" s="40"/>
      <c r="K646" s="40"/>
      <c r="L646" s="40"/>
      <c r="M646" s="40"/>
      <c r="N646" s="40"/>
      <c r="O646" s="40"/>
    </row>
    <row r="647" spans="1:15">
      <c r="A647" s="40"/>
      <c r="I647" s="40"/>
      <c r="J647" s="40"/>
      <c r="K647" s="40"/>
      <c r="L647" s="40"/>
      <c r="M647" s="40"/>
      <c r="N647" s="40"/>
      <c r="O647" s="40"/>
    </row>
    <row r="648" spans="1:15">
      <c r="A648" s="40"/>
      <c r="I648" s="40"/>
      <c r="J648" s="40"/>
      <c r="K648" s="40"/>
      <c r="L648" s="40"/>
      <c r="M648" s="40"/>
      <c r="N648" s="40"/>
      <c r="O648" s="40"/>
    </row>
    <row r="649" spans="1:15">
      <c r="A649" s="40"/>
      <c r="I649" s="40"/>
      <c r="J649" s="40"/>
      <c r="K649" s="40"/>
      <c r="L649" s="40"/>
      <c r="M649" s="40"/>
      <c r="N649" s="40"/>
      <c r="O649" s="40"/>
    </row>
    <row r="650" spans="1:15">
      <c r="A650" s="40"/>
      <c r="I650" s="40"/>
      <c r="J650" s="40"/>
      <c r="K650" s="40"/>
      <c r="L650" s="40"/>
      <c r="M650" s="40"/>
      <c r="N650" s="40"/>
      <c r="O650" s="40"/>
    </row>
    <row r="651" spans="1:15">
      <c r="A651" s="40"/>
      <c r="I651" s="40"/>
      <c r="J651" s="40"/>
      <c r="K651" s="40"/>
      <c r="L651" s="40"/>
      <c r="M651" s="40"/>
      <c r="N651" s="40"/>
      <c r="O651" s="40"/>
    </row>
    <row r="652" spans="1:15">
      <c r="A652" s="40"/>
      <c r="I652" s="40"/>
      <c r="J652" s="40"/>
      <c r="K652" s="40"/>
      <c r="L652" s="40"/>
      <c r="M652" s="40"/>
      <c r="N652" s="40"/>
      <c r="O652" s="40"/>
    </row>
    <row r="653" spans="1:15">
      <c r="A653" s="40"/>
      <c r="I653" s="40"/>
      <c r="J653" s="40"/>
      <c r="K653" s="40"/>
      <c r="L653" s="40"/>
      <c r="M653" s="40"/>
      <c r="N653" s="40"/>
      <c r="O653" s="40"/>
    </row>
    <row r="654" spans="1:15">
      <c r="A654" s="40"/>
      <c r="I654" s="40"/>
      <c r="J654" s="40"/>
      <c r="K654" s="40"/>
      <c r="L654" s="40"/>
      <c r="M654" s="40"/>
      <c r="N654" s="40"/>
      <c r="O654" s="40"/>
    </row>
    <row r="655" spans="1:15">
      <c r="A655" s="40"/>
      <c r="I655" s="40"/>
      <c r="J655" s="40"/>
      <c r="K655" s="40"/>
      <c r="L655" s="40"/>
      <c r="M655" s="40"/>
      <c r="N655" s="40"/>
      <c r="O655" s="40"/>
    </row>
    <row r="656" spans="1:15">
      <c r="A656" s="40"/>
      <c r="I656" s="40"/>
      <c r="J656" s="40"/>
      <c r="K656" s="40"/>
      <c r="L656" s="40"/>
      <c r="M656" s="40"/>
      <c r="N656" s="40"/>
      <c r="O656" s="40"/>
    </row>
    <row r="657" spans="1:15">
      <c r="A657" s="40"/>
      <c r="I657" s="40"/>
      <c r="J657" s="40"/>
      <c r="K657" s="40"/>
      <c r="L657" s="40"/>
      <c r="M657" s="40"/>
      <c r="N657" s="40"/>
      <c r="O657" s="40"/>
    </row>
    <row r="658" spans="1:15">
      <c r="A658" s="40"/>
      <c r="I658" s="40"/>
      <c r="J658" s="40"/>
      <c r="K658" s="40"/>
      <c r="L658" s="40"/>
      <c r="M658" s="40"/>
      <c r="N658" s="40"/>
      <c r="O658" s="40"/>
    </row>
    <row r="659" spans="1:15">
      <c r="A659" s="40"/>
      <c r="I659" s="40"/>
      <c r="J659" s="40"/>
      <c r="K659" s="40"/>
      <c r="L659" s="40"/>
      <c r="M659" s="40"/>
      <c r="N659" s="40"/>
      <c r="O659" s="40"/>
    </row>
    <row r="660" spans="1:15">
      <c r="A660" s="40"/>
      <c r="I660" s="40"/>
      <c r="J660" s="40"/>
      <c r="K660" s="40"/>
      <c r="L660" s="40"/>
      <c r="M660" s="40"/>
      <c r="N660" s="40"/>
      <c r="O660" s="40"/>
    </row>
    <row r="661" spans="1:15">
      <c r="A661" s="40"/>
      <c r="I661" s="40"/>
      <c r="J661" s="40"/>
      <c r="K661" s="40"/>
      <c r="L661" s="40"/>
      <c r="M661" s="40"/>
      <c r="N661" s="40"/>
      <c r="O661" s="40"/>
    </row>
    <row r="662" spans="1:15">
      <c r="A662" s="40"/>
      <c r="I662" s="40"/>
      <c r="J662" s="40"/>
      <c r="K662" s="40"/>
      <c r="L662" s="40"/>
      <c r="M662" s="40"/>
      <c r="N662" s="40"/>
      <c r="O662" s="40"/>
    </row>
    <row r="663" spans="1:15">
      <c r="A663" s="40"/>
      <c r="I663" s="40"/>
      <c r="J663" s="40"/>
      <c r="K663" s="40"/>
      <c r="L663" s="40"/>
      <c r="M663" s="40"/>
      <c r="N663" s="40"/>
      <c r="O663" s="40"/>
    </row>
    <row r="664" spans="1:15">
      <c r="A664" s="40"/>
      <c r="I664" s="40"/>
      <c r="J664" s="40"/>
      <c r="K664" s="40"/>
      <c r="L664" s="40"/>
      <c r="M664" s="40"/>
      <c r="N664" s="40"/>
      <c r="O664" s="40"/>
    </row>
    <row r="665" spans="1:15">
      <c r="A665" s="40"/>
      <c r="I665" s="40"/>
      <c r="J665" s="40"/>
      <c r="K665" s="40"/>
      <c r="L665" s="40"/>
      <c r="M665" s="40"/>
      <c r="N665" s="40"/>
      <c r="O665" s="40"/>
    </row>
    <row r="666" spans="1:15">
      <c r="A666" s="40"/>
      <c r="I666" s="40"/>
      <c r="J666" s="40"/>
      <c r="K666" s="40"/>
      <c r="L666" s="40"/>
      <c r="M666" s="40"/>
      <c r="N666" s="40"/>
      <c r="O666" s="40"/>
    </row>
    <row r="667" spans="1:15">
      <c r="A667" s="40"/>
      <c r="I667" s="40"/>
      <c r="J667" s="40"/>
      <c r="K667" s="40"/>
      <c r="L667" s="40"/>
      <c r="M667" s="40"/>
      <c r="N667" s="40"/>
      <c r="O667" s="40"/>
    </row>
    <row r="668" spans="1:15">
      <c r="A668" s="40"/>
      <c r="I668" s="40"/>
      <c r="J668" s="40"/>
      <c r="K668" s="40"/>
      <c r="L668" s="40"/>
      <c r="M668" s="40"/>
      <c r="N668" s="40"/>
      <c r="O668" s="40"/>
    </row>
    <row r="669" spans="1:15">
      <c r="A669" s="40"/>
      <c r="I669" s="40"/>
      <c r="J669" s="40"/>
      <c r="K669" s="40"/>
      <c r="L669" s="40"/>
      <c r="M669" s="40"/>
      <c r="N669" s="40"/>
      <c r="O669" s="40"/>
    </row>
    <row r="670" spans="1:15">
      <c r="A670" s="40"/>
      <c r="I670" s="40"/>
      <c r="J670" s="40"/>
      <c r="K670" s="40"/>
      <c r="L670" s="40"/>
      <c r="M670" s="40"/>
      <c r="N670" s="40"/>
      <c r="O670" s="40"/>
    </row>
    <row r="671" spans="1:15">
      <c r="A671" s="40"/>
      <c r="I671" s="40"/>
      <c r="J671" s="40"/>
      <c r="K671" s="40"/>
      <c r="L671" s="40"/>
      <c r="M671" s="40"/>
      <c r="N671" s="40"/>
      <c r="O671" s="40"/>
    </row>
    <row r="672" spans="1:15">
      <c r="A672" s="40"/>
      <c r="I672" s="40"/>
      <c r="J672" s="40"/>
      <c r="K672" s="40"/>
      <c r="L672" s="40"/>
      <c r="M672" s="40"/>
      <c r="N672" s="40"/>
      <c r="O672" s="40"/>
    </row>
    <row r="673" spans="1:15">
      <c r="A673" s="40"/>
      <c r="I673" s="40"/>
      <c r="J673" s="40"/>
      <c r="K673" s="40"/>
      <c r="L673" s="40"/>
      <c r="M673" s="40"/>
      <c r="N673" s="40"/>
      <c r="O673" s="40"/>
    </row>
    <row r="674" spans="1:15">
      <c r="A674" s="40"/>
      <c r="I674" s="40"/>
      <c r="J674" s="40"/>
      <c r="K674" s="40"/>
      <c r="L674" s="40"/>
      <c r="M674" s="40"/>
      <c r="N674" s="40"/>
      <c r="O674" s="40"/>
    </row>
    <row r="675" spans="1:15">
      <c r="A675" s="40"/>
      <c r="I675" s="40"/>
      <c r="J675" s="40"/>
      <c r="K675" s="40"/>
      <c r="L675" s="40"/>
      <c r="M675" s="40"/>
      <c r="N675" s="40"/>
      <c r="O675" s="40"/>
    </row>
    <row r="676" spans="1:15">
      <c r="A676" s="40"/>
      <c r="I676" s="40"/>
      <c r="J676" s="40"/>
      <c r="K676" s="40"/>
      <c r="L676" s="40"/>
      <c r="M676" s="40"/>
      <c r="N676" s="40"/>
      <c r="O676" s="40"/>
    </row>
    <row r="677" spans="1:15">
      <c r="A677" s="40"/>
      <c r="I677" s="40"/>
      <c r="J677" s="40"/>
      <c r="K677" s="40"/>
      <c r="L677" s="40"/>
      <c r="M677" s="40"/>
      <c r="N677" s="40"/>
      <c r="O677" s="40"/>
    </row>
    <row r="678" spans="1:15">
      <c r="A678" s="40"/>
      <c r="I678" s="40"/>
      <c r="J678" s="40"/>
      <c r="K678" s="40"/>
      <c r="L678" s="40"/>
      <c r="M678" s="40"/>
      <c r="N678" s="40"/>
      <c r="O678" s="40"/>
    </row>
    <row r="679" spans="1:15">
      <c r="A679" s="40"/>
      <c r="I679" s="40"/>
      <c r="J679" s="40"/>
      <c r="K679" s="40"/>
      <c r="L679" s="40"/>
      <c r="M679" s="40"/>
      <c r="N679" s="40"/>
      <c r="O679" s="40"/>
    </row>
    <row r="680" spans="1:15">
      <c r="A680" s="40"/>
      <c r="I680" s="40"/>
      <c r="J680" s="40"/>
      <c r="K680" s="40"/>
      <c r="L680" s="40"/>
      <c r="M680" s="40"/>
      <c r="N680" s="40"/>
      <c r="O680" s="40"/>
    </row>
    <row r="681" spans="1:15">
      <c r="A681" s="40"/>
      <c r="I681" s="40"/>
      <c r="J681" s="40"/>
      <c r="K681" s="40"/>
      <c r="L681" s="40"/>
      <c r="M681" s="40"/>
      <c r="N681" s="40"/>
      <c r="O681" s="40"/>
    </row>
    <row r="682" spans="1:15">
      <c r="A682" s="40"/>
      <c r="I682" s="40"/>
      <c r="J682" s="40"/>
      <c r="K682" s="40"/>
      <c r="L682" s="40"/>
      <c r="M682" s="40"/>
      <c r="N682" s="40"/>
      <c r="O682" s="40"/>
    </row>
    <row r="683" spans="1:15">
      <c r="A683" s="40"/>
      <c r="I683" s="40"/>
      <c r="J683" s="40"/>
      <c r="K683" s="40"/>
      <c r="L683" s="40"/>
      <c r="M683" s="40"/>
      <c r="N683" s="40"/>
      <c r="O683" s="40"/>
    </row>
    <row r="684" spans="1:15">
      <c r="A684" s="40"/>
      <c r="I684" s="40"/>
      <c r="J684" s="40"/>
      <c r="K684" s="40"/>
      <c r="L684" s="40"/>
      <c r="M684" s="40"/>
      <c r="N684" s="40"/>
      <c r="O684" s="40"/>
    </row>
    <row r="685" spans="1:15">
      <c r="A685" s="40"/>
      <c r="I685" s="40"/>
      <c r="J685" s="40"/>
      <c r="K685" s="40"/>
      <c r="L685" s="40"/>
      <c r="M685" s="40"/>
      <c r="N685" s="40"/>
      <c r="O685" s="40"/>
    </row>
    <row r="686" spans="1:15">
      <c r="A686" s="40"/>
      <c r="I686" s="40"/>
      <c r="J686" s="40"/>
      <c r="K686" s="40"/>
      <c r="L686" s="40"/>
      <c r="M686" s="40"/>
      <c r="N686" s="40"/>
      <c r="O686" s="40"/>
    </row>
    <row r="687" spans="1:15">
      <c r="A687" s="40"/>
      <c r="I687" s="40"/>
      <c r="J687" s="40"/>
      <c r="K687" s="40"/>
      <c r="L687" s="40"/>
      <c r="M687" s="40"/>
      <c r="N687" s="40"/>
      <c r="O687" s="40"/>
    </row>
    <row r="688" spans="1:15">
      <c r="A688" s="40"/>
      <c r="I688" s="40"/>
      <c r="J688" s="40"/>
      <c r="K688" s="40"/>
      <c r="L688" s="40"/>
      <c r="M688" s="40"/>
      <c r="N688" s="40"/>
      <c r="O688" s="40"/>
    </row>
    <row r="689" spans="1:15">
      <c r="A689" s="40"/>
      <c r="I689" s="40"/>
      <c r="J689" s="40"/>
      <c r="K689" s="40"/>
      <c r="L689" s="40"/>
      <c r="M689" s="40"/>
      <c r="N689" s="40"/>
      <c r="O689" s="40"/>
    </row>
    <row r="690" spans="1:15">
      <c r="A690" s="40"/>
      <c r="I690" s="40"/>
      <c r="J690" s="40"/>
      <c r="K690" s="40"/>
      <c r="L690" s="40"/>
      <c r="M690" s="40"/>
      <c r="N690" s="40"/>
      <c r="O690" s="40"/>
    </row>
    <row r="691" spans="1:15">
      <c r="A691" s="40"/>
      <c r="I691" s="40"/>
      <c r="J691" s="40"/>
      <c r="K691" s="40"/>
      <c r="L691" s="40"/>
      <c r="M691" s="40"/>
      <c r="N691" s="40"/>
      <c r="O691" s="40"/>
    </row>
    <row r="692" spans="1:15">
      <c r="A692" s="40"/>
      <c r="I692" s="40"/>
      <c r="J692" s="40"/>
      <c r="K692" s="40"/>
      <c r="L692" s="40"/>
      <c r="M692" s="40"/>
      <c r="N692" s="40"/>
      <c r="O692" s="40"/>
    </row>
    <row r="693" spans="1:15">
      <c r="A693" s="40"/>
      <c r="I693" s="40"/>
      <c r="J693" s="40"/>
      <c r="K693" s="40"/>
      <c r="L693" s="40"/>
      <c r="M693" s="40"/>
      <c r="N693" s="40"/>
      <c r="O693" s="40"/>
    </row>
    <row r="694" spans="1:15">
      <c r="A694" s="40"/>
      <c r="I694" s="40"/>
      <c r="J694" s="40"/>
      <c r="K694" s="40"/>
      <c r="L694" s="40"/>
      <c r="M694" s="40"/>
      <c r="N694" s="40"/>
      <c r="O694" s="40"/>
    </row>
    <row r="695" spans="1:15">
      <c r="A695" s="40"/>
      <c r="I695" s="40"/>
      <c r="J695" s="40"/>
      <c r="K695" s="40"/>
      <c r="L695" s="40"/>
      <c r="M695" s="40"/>
      <c r="N695" s="40"/>
      <c r="O695" s="40"/>
    </row>
    <row r="696" spans="1:15">
      <c r="A696" s="40"/>
      <c r="I696" s="40"/>
      <c r="J696" s="40"/>
      <c r="K696" s="40"/>
      <c r="L696" s="40"/>
      <c r="M696" s="40"/>
      <c r="N696" s="40"/>
      <c r="O696" s="40"/>
    </row>
    <row r="697" spans="1:15">
      <c r="A697" s="40"/>
      <c r="I697" s="40"/>
      <c r="J697" s="40"/>
      <c r="K697" s="40"/>
      <c r="L697" s="40"/>
      <c r="M697" s="40"/>
      <c r="N697" s="40"/>
      <c r="O697" s="40"/>
    </row>
    <row r="698" spans="1:15">
      <c r="A698" s="40"/>
      <c r="I698" s="40"/>
      <c r="J698" s="40"/>
      <c r="K698" s="40"/>
      <c r="L698" s="40"/>
      <c r="M698" s="40"/>
      <c r="N698" s="40"/>
      <c r="O698" s="40"/>
    </row>
    <row r="699" spans="1:15">
      <c r="A699" s="40"/>
      <c r="I699" s="40"/>
      <c r="J699" s="40"/>
      <c r="K699" s="40"/>
      <c r="L699" s="40"/>
      <c r="M699" s="40"/>
      <c r="N699" s="40"/>
      <c r="O699" s="40"/>
    </row>
    <row r="700" spans="1:15">
      <c r="A700" s="40"/>
      <c r="I700" s="40"/>
      <c r="J700" s="40"/>
      <c r="K700" s="40"/>
      <c r="L700" s="40"/>
      <c r="M700" s="40"/>
      <c r="N700" s="40"/>
      <c r="O700" s="40"/>
    </row>
    <row r="701" spans="1:15">
      <c r="A701" s="40"/>
      <c r="I701" s="40"/>
      <c r="J701" s="40"/>
      <c r="K701" s="40"/>
      <c r="L701" s="40"/>
      <c r="M701" s="40"/>
      <c r="N701" s="40"/>
      <c r="O701" s="40"/>
    </row>
    <row r="702" spans="1:15">
      <c r="A702" s="40"/>
      <c r="I702" s="40"/>
      <c r="J702" s="40"/>
      <c r="K702" s="40"/>
      <c r="L702" s="40"/>
      <c r="M702" s="40"/>
      <c r="N702" s="40"/>
      <c r="O702" s="40"/>
    </row>
    <row r="703" spans="1:15">
      <c r="A703" s="40"/>
      <c r="I703" s="40"/>
      <c r="J703" s="40"/>
      <c r="K703" s="40"/>
      <c r="L703" s="40"/>
      <c r="M703" s="40"/>
      <c r="N703" s="40"/>
      <c r="O703" s="40"/>
    </row>
    <row r="704" spans="1:15">
      <c r="A704" s="40"/>
      <c r="I704" s="40"/>
      <c r="J704" s="40"/>
      <c r="K704" s="40"/>
      <c r="L704" s="40"/>
      <c r="M704" s="40"/>
      <c r="N704" s="40"/>
      <c r="O704" s="40"/>
    </row>
    <row r="705" spans="1:15">
      <c r="A705" s="40"/>
      <c r="I705" s="40"/>
      <c r="J705" s="40"/>
      <c r="K705" s="40"/>
      <c r="L705" s="40"/>
      <c r="M705" s="40"/>
      <c r="N705" s="40"/>
      <c r="O705" s="40"/>
    </row>
    <row r="706" spans="1:15">
      <c r="A706" s="40"/>
      <c r="I706" s="40"/>
      <c r="J706" s="40"/>
      <c r="K706" s="40"/>
      <c r="L706" s="40"/>
      <c r="M706" s="40"/>
      <c r="N706" s="40"/>
      <c r="O706" s="40"/>
    </row>
    <row r="707" spans="1:15">
      <c r="A707" s="40"/>
      <c r="I707" s="40"/>
      <c r="J707" s="40"/>
      <c r="K707" s="40"/>
      <c r="L707" s="40"/>
      <c r="M707" s="40"/>
      <c r="N707" s="40"/>
      <c r="O707" s="40"/>
    </row>
    <row r="708" spans="1:15">
      <c r="A708" s="40"/>
      <c r="I708" s="40"/>
      <c r="J708" s="40"/>
      <c r="K708" s="40"/>
      <c r="L708" s="40"/>
      <c r="M708" s="40"/>
      <c r="N708" s="40"/>
      <c r="O708" s="40"/>
    </row>
    <row r="709" spans="1:15">
      <c r="A709" s="40"/>
      <c r="I709" s="40"/>
      <c r="J709" s="40"/>
      <c r="K709" s="40"/>
      <c r="L709" s="40"/>
      <c r="M709" s="40"/>
      <c r="N709" s="40"/>
      <c r="O709" s="40"/>
    </row>
    <row r="710" spans="1:15">
      <c r="A710" s="40"/>
      <c r="I710" s="40"/>
      <c r="J710" s="40"/>
      <c r="K710" s="40"/>
      <c r="L710" s="40"/>
      <c r="M710" s="40"/>
      <c r="N710" s="40"/>
      <c r="O710" s="40"/>
    </row>
    <row r="711" spans="1:15">
      <c r="A711" s="40"/>
      <c r="I711" s="40"/>
      <c r="J711" s="40"/>
      <c r="K711" s="40"/>
      <c r="L711" s="40"/>
      <c r="M711" s="40"/>
      <c r="N711" s="40"/>
      <c r="O711" s="40"/>
    </row>
    <row r="712" spans="1:15">
      <c r="A712" s="40"/>
      <c r="I712" s="40"/>
      <c r="J712" s="40"/>
      <c r="K712" s="40"/>
      <c r="L712" s="40"/>
      <c r="M712" s="40"/>
      <c r="N712" s="40"/>
      <c r="O712" s="40"/>
    </row>
    <row r="713" spans="1:15">
      <c r="A713" s="40"/>
      <c r="I713" s="40"/>
      <c r="J713" s="40"/>
      <c r="K713" s="40"/>
      <c r="L713" s="40"/>
      <c r="M713" s="40"/>
      <c r="N713" s="40"/>
      <c r="O713" s="40"/>
    </row>
    <row r="714" spans="1:15">
      <c r="A714" s="40"/>
      <c r="I714" s="40"/>
      <c r="J714" s="40"/>
      <c r="K714" s="40"/>
      <c r="L714" s="40"/>
      <c r="M714" s="40"/>
      <c r="N714" s="40"/>
      <c r="O714" s="40"/>
    </row>
    <row r="715" spans="1:15">
      <c r="A715" s="40"/>
      <c r="I715" s="40"/>
      <c r="J715" s="40"/>
      <c r="K715" s="40"/>
      <c r="L715" s="40"/>
      <c r="M715" s="40"/>
      <c r="N715" s="40"/>
      <c r="O715" s="40"/>
    </row>
    <row r="716" spans="1:15">
      <c r="A716" s="40"/>
      <c r="I716" s="40"/>
      <c r="J716" s="40"/>
      <c r="K716" s="40"/>
      <c r="L716" s="40"/>
      <c r="M716" s="40"/>
      <c r="N716" s="40"/>
      <c r="O716" s="40"/>
    </row>
    <row r="717" spans="1:15">
      <c r="A717" s="40"/>
      <c r="I717" s="40"/>
      <c r="J717" s="40"/>
      <c r="K717" s="40"/>
      <c r="L717" s="40"/>
      <c r="M717" s="40"/>
      <c r="N717" s="40"/>
      <c r="O717" s="40"/>
    </row>
    <row r="718" spans="1:15">
      <c r="A718" s="40"/>
      <c r="I718" s="40"/>
      <c r="J718" s="40"/>
      <c r="K718" s="40"/>
      <c r="L718" s="40"/>
      <c r="M718" s="40"/>
      <c r="N718" s="40"/>
      <c r="O718" s="40"/>
    </row>
    <row r="719" spans="1:15">
      <c r="A719" s="40"/>
      <c r="I719" s="40"/>
      <c r="J719" s="40"/>
      <c r="K719" s="40"/>
      <c r="L719" s="40"/>
      <c r="M719" s="40"/>
      <c r="N719" s="40"/>
      <c r="O719" s="40"/>
    </row>
    <row r="720" spans="1:15">
      <c r="A720" s="40"/>
      <c r="I720" s="40"/>
      <c r="J720" s="40"/>
      <c r="K720" s="40"/>
      <c r="L720" s="40"/>
      <c r="M720" s="40"/>
      <c r="N720" s="40"/>
      <c r="O720" s="40"/>
    </row>
    <row r="721" spans="1:15">
      <c r="A721" s="40"/>
      <c r="I721" s="40"/>
      <c r="J721" s="40"/>
      <c r="K721" s="40"/>
      <c r="L721" s="40"/>
      <c r="M721" s="40"/>
      <c r="N721" s="40"/>
      <c r="O721" s="40"/>
    </row>
    <row r="722" spans="1:15">
      <c r="A722" s="40"/>
      <c r="I722" s="40"/>
      <c r="J722" s="40"/>
      <c r="K722" s="40"/>
      <c r="L722" s="40"/>
      <c r="M722" s="40"/>
      <c r="N722" s="40"/>
      <c r="O722" s="40"/>
    </row>
    <row r="723" spans="1:15">
      <c r="A723" s="40"/>
      <c r="I723" s="40"/>
      <c r="J723" s="40"/>
      <c r="K723" s="40"/>
      <c r="L723" s="40"/>
      <c r="M723" s="40"/>
      <c r="N723" s="40"/>
      <c r="O723" s="40"/>
    </row>
    <row r="724" spans="1:15">
      <c r="A724" s="40"/>
      <c r="I724" s="40"/>
      <c r="J724" s="40"/>
      <c r="K724" s="40"/>
      <c r="L724" s="40"/>
      <c r="M724" s="40"/>
      <c r="N724" s="40"/>
      <c r="O724" s="40"/>
    </row>
    <row r="725" spans="1:15">
      <c r="A725" s="40"/>
      <c r="I725" s="40"/>
      <c r="J725" s="40"/>
      <c r="K725" s="40"/>
      <c r="L725" s="40"/>
      <c r="M725" s="40"/>
      <c r="N725" s="40"/>
      <c r="O725" s="40"/>
    </row>
    <row r="726" spans="1:15">
      <c r="A726" s="40"/>
      <c r="I726" s="40"/>
      <c r="J726" s="40"/>
      <c r="K726" s="40"/>
      <c r="L726" s="40"/>
      <c r="M726" s="40"/>
      <c r="N726" s="40"/>
      <c r="O726" s="40"/>
    </row>
    <row r="727" spans="1:15">
      <c r="A727" s="40"/>
      <c r="I727" s="40"/>
      <c r="J727" s="40"/>
      <c r="K727" s="40"/>
      <c r="L727" s="40"/>
      <c r="M727" s="40"/>
      <c r="N727" s="40"/>
      <c r="O727" s="40"/>
    </row>
    <row r="728" spans="1:15">
      <c r="A728" s="40"/>
      <c r="I728" s="40"/>
      <c r="J728" s="40"/>
      <c r="K728" s="40"/>
      <c r="L728" s="40"/>
      <c r="M728" s="40"/>
      <c r="N728" s="40"/>
      <c r="O728" s="40"/>
    </row>
    <row r="729" spans="1:15">
      <c r="A729" s="40"/>
      <c r="I729" s="40"/>
      <c r="J729" s="40"/>
      <c r="K729" s="40"/>
      <c r="L729" s="40"/>
      <c r="M729" s="40"/>
      <c r="N729" s="40"/>
      <c r="O729" s="40"/>
    </row>
    <row r="730" spans="1:15">
      <c r="A730" s="40"/>
      <c r="I730" s="40"/>
      <c r="J730" s="40"/>
      <c r="K730" s="40"/>
      <c r="L730" s="40"/>
      <c r="M730" s="40"/>
      <c r="N730" s="40"/>
      <c r="O730" s="40"/>
    </row>
    <row r="731" spans="1:15">
      <c r="A731" s="40"/>
      <c r="I731" s="40"/>
      <c r="J731" s="40"/>
      <c r="K731" s="40"/>
      <c r="L731" s="40"/>
      <c r="M731" s="40"/>
      <c r="N731" s="40"/>
      <c r="O731" s="40"/>
    </row>
    <row r="732" spans="1:15">
      <c r="A732" s="40"/>
      <c r="I732" s="40"/>
      <c r="J732" s="40"/>
      <c r="K732" s="40"/>
      <c r="L732" s="40"/>
      <c r="M732" s="40"/>
      <c r="N732" s="40"/>
      <c r="O732" s="40"/>
    </row>
    <row r="733" spans="1:15">
      <c r="A733" s="40"/>
      <c r="I733" s="40"/>
      <c r="J733" s="40"/>
      <c r="K733" s="40"/>
      <c r="L733" s="40"/>
      <c r="M733" s="40"/>
      <c r="N733" s="40"/>
      <c r="O733" s="40"/>
    </row>
    <row r="734" spans="1:15">
      <c r="A734" s="40"/>
      <c r="I734" s="40"/>
      <c r="J734" s="40"/>
      <c r="K734" s="40"/>
      <c r="L734" s="40"/>
      <c r="M734" s="40"/>
      <c r="N734" s="40"/>
      <c r="O734" s="40"/>
    </row>
    <row r="735" spans="1:15">
      <c r="A735" s="40"/>
      <c r="I735" s="40"/>
      <c r="J735" s="40"/>
      <c r="K735" s="40"/>
      <c r="L735" s="40"/>
      <c r="M735" s="40"/>
      <c r="N735" s="40"/>
      <c r="O735" s="40"/>
    </row>
    <row r="736" spans="1:15">
      <c r="A736" s="40"/>
      <c r="I736" s="40"/>
      <c r="J736" s="40"/>
      <c r="K736" s="40"/>
      <c r="L736" s="40"/>
      <c r="M736" s="40"/>
      <c r="N736" s="40"/>
      <c r="O736" s="40"/>
    </row>
    <row r="737" spans="1:15">
      <c r="A737" s="40"/>
      <c r="I737" s="40"/>
      <c r="J737" s="40"/>
      <c r="K737" s="40"/>
      <c r="L737" s="40"/>
      <c r="M737" s="40"/>
      <c r="N737" s="40"/>
      <c r="O737" s="40"/>
    </row>
    <row r="738" spans="1:15">
      <c r="A738" s="40"/>
      <c r="I738" s="40"/>
      <c r="J738" s="40"/>
      <c r="K738" s="40"/>
      <c r="L738" s="40"/>
      <c r="M738" s="40"/>
      <c r="N738" s="40"/>
      <c r="O738" s="40"/>
    </row>
    <row r="739" spans="1:15">
      <c r="A739" s="40"/>
      <c r="I739" s="40"/>
      <c r="J739" s="40"/>
      <c r="K739" s="40"/>
      <c r="L739" s="40"/>
      <c r="M739" s="40"/>
      <c r="N739" s="40"/>
      <c r="O739" s="40"/>
    </row>
    <row r="740" spans="1:15">
      <c r="A740" s="40"/>
      <c r="I740" s="40"/>
      <c r="J740" s="40"/>
      <c r="K740" s="40"/>
      <c r="L740" s="40"/>
      <c r="M740" s="40"/>
      <c r="N740" s="40"/>
      <c r="O740" s="40"/>
    </row>
    <row r="741" spans="1:15">
      <c r="A741" s="40"/>
      <c r="I741" s="40"/>
      <c r="J741" s="40"/>
      <c r="K741" s="40"/>
      <c r="L741" s="40"/>
      <c r="M741" s="40"/>
      <c r="N741" s="40"/>
      <c r="O741" s="40"/>
    </row>
    <row r="742" spans="1:15">
      <c r="A742" s="40"/>
      <c r="I742" s="40"/>
      <c r="J742" s="40"/>
      <c r="K742" s="40"/>
      <c r="L742" s="40"/>
      <c r="M742" s="40"/>
      <c r="N742" s="40"/>
      <c r="O742" s="40"/>
    </row>
    <row r="743" spans="1:15">
      <c r="A743" s="40"/>
      <c r="I743" s="40"/>
      <c r="J743" s="40"/>
      <c r="K743" s="40"/>
      <c r="L743" s="40"/>
      <c r="M743" s="40"/>
      <c r="N743" s="40"/>
      <c r="O743" s="40"/>
    </row>
    <row r="744" spans="1:15">
      <c r="A744" s="40"/>
      <c r="I744" s="40"/>
      <c r="J744" s="40"/>
      <c r="K744" s="40"/>
      <c r="L744" s="40"/>
      <c r="M744" s="40"/>
      <c r="N744" s="40"/>
      <c r="O744" s="40"/>
    </row>
    <row r="745" spans="1:15">
      <c r="A745" s="40"/>
      <c r="I745" s="40"/>
      <c r="J745" s="40"/>
      <c r="K745" s="40"/>
      <c r="L745" s="40"/>
      <c r="M745" s="40"/>
      <c r="N745" s="40"/>
      <c r="O745" s="40"/>
    </row>
    <row r="746" spans="1:15">
      <c r="A746" s="40"/>
      <c r="I746" s="40"/>
      <c r="J746" s="40"/>
      <c r="K746" s="40"/>
      <c r="L746" s="40"/>
      <c r="M746" s="40"/>
      <c r="N746" s="40"/>
      <c r="O746" s="40"/>
    </row>
    <row r="747" spans="1:15">
      <c r="A747" s="40"/>
      <c r="I747" s="40"/>
      <c r="J747" s="40"/>
      <c r="K747" s="40"/>
      <c r="L747" s="40"/>
      <c r="M747" s="40"/>
      <c r="N747" s="40"/>
      <c r="O747" s="40"/>
    </row>
    <row r="748" spans="1:15">
      <c r="A748" s="40"/>
      <c r="I748" s="40"/>
      <c r="J748" s="40"/>
      <c r="K748" s="40"/>
      <c r="L748" s="40"/>
      <c r="M748" s="40"/>
      <c r="N748" s="40"/>
      <c r="O748" s="40"/>
    </row>
    <row r="749" spans="1:15">
      <c r="A749" s="40"/>
      <c r="I749" s="40"/>
      <c r="J749" s="40"/>
      <c r="K749" s="40"/>
      <c r="L749" s="40"/>
      <c r="M749" s="40"/>
      <c r="N749" s="40"/>
      <c r="O749" s="40"/>
    </row>
    <row r="750" spans="1:15">
      <c r="A750" s="40"/>
      <c r="I750" s="40"/>
      <c r="J750" s="40"/>
      <c r="K750" s="40"/>
      <c r="L750" s="40"/>
      <c r="M750" s="40"/>
      <c r="N750" s="40"/>
      <c r="O750" s="40"/>
    </row>
    <row r="751" spans="1:15">
      <c r="A751" s="40"/>
      <c r="I751" s="40"/>
      <c r="J751" s="40"/>
      <c r="K751" s="40"/>
      <c r="L751" s="40"/>
      <c r="M751" s="40"/>
      <c r="N751" s="40"/>
      <c r="O751" s="40"/>
    </row>
    <row r="752" spans="1:15">
      <c r="A752" s="40"/>
      <c r="I752" s="40"/>
      <c r="J752" s="40"/>
      <c r="K752" s="40"/>
      <c r="L752" s="40"/>
      <c r="M752" s="40"/>
      <c r="N752" s="40"/>
      <c r="O752" s="40"/>
    </row>
    <row r="753" spans="1:15">
      <c r="A753" s="40"/>
      <c r="I753" s="40"/>
      <c r="J753" s="40"/>
      <c r="K753" s="40"/>
      <c r="L753" s="40"/>
      <c r="M753" s="40"/>
      <c r="N753" s="40"/>
      <c r="O753" s="40"/>
    </row>
    <row r="754" spans="1:15">
      <c r="A754" s="40"/>
      <c r="I754" s="40"/>
      <c r="J754" s="40"/>
      <c r="K754" s="40"/>
      <c r="L754" s="40"/>
      <c r="M754" s="40"/>
      <c r="N754" s="40"/>
      <c r="O754" s="40"/>
    </row>
    <row r="755" spans="1:15">
      <c r="A755" s="40"/>
      <c r="I755" s="40"/>
      <c r="J755" s="40"/>
      <c r="K755" s="40"/>
      <c r="L755" s="40"/>
      <c r="M755" s="40"/>
      <c r="N755" s="40"/>
      <c r="O755" s="40"/>
    </row>
    <row r="756" spans="1:15">
      <c r="A756" s="40"/>
      <c r="I756" s="40"/>
      <c r="J756" s="40"/>
      <c r="K756" s="40"/>
      <c r="L756" s="40"/>
      <c r="M756" s="40"/>
      <c r="N756" s="40"/>
      <c r="O756" s="40"/>
    </row>
    <row r="757" spans="1:15">
      <c r="A757" s="40"/>
      <c r="I757" s="40"/>
      <c r="J757" s="40"/>
      <c r="K757" s="40"/>
      <c r="L757" s="40"/>
      <c r="M757" s="40"/>
      <c r="N757" s="40"/>
      <c r="O757" s="40"/>
    </row>
    <row r="758" spans="1:15">
      <c r="A758" s="40"/>
      <c r="I758" s="40"/>
      <c r="J758" s="40"/>
      <c r="K758" s="40"/>
      <c r="L758" s="40"/>
      <c r="M758" s="40"/>
      <c r="N758" s="40"/>
      <c r="O758" s="40"/>
    </row>
    <row r="759" spans="1:15">
      <c r="A759" s="40"/>
      <c r="I759" s="40"/>
      <c r="J759" s="40"/>
      <c r="K759" s="40"/>
      <c r="L759" s="40"/>
      <c r="M759" s="40"/>
      <c r="N759" s="40"/>
      <c r="O759" s="40"/>
    </row>
    <row r="760" spans="1:15">
      <c r="A760" s="40"/>
      <c r="I760" s="40"/>
      <c r="J760" s="40"/>
      <c r="K760" s="40"/>
      <c r="L760" s="40"/>
      <c r="M760" s="40"/>
      <c r="N760" s="40"/>
      <c r="O760" s="40"/>
    </row>
    <row r="761" spans="1:15">
      <c r="A761" s="40"/>
      <c r="I761" s="40"/>
      <c r="J761" s="40"/>
      <c r="K761" s="40"/>
      <c r="L761" s="40"/>
      <c r="M761" s="40"/>
      <c r="N761" s="40"/>
      <c r="O761" s="40"/>
    </row>
    <row r="762" spans="1:15">
      <c r="A762" s="40"/>
      <c r="I762" s="40"/>
      <c r="J762" s="40"/>
      <c r="K762" s="40"/>
      <c r="L762" s="40"/>
      <c r="M762" s="40"/>
      <c r="N762" s="40"/>
      <c r="O762" s="40"/>
    </row>
    <row r="763" spans="1:15">
      <c r="A763" s="40"/>
      <c r="I763" s="40"/>
      <c r="J763" s="40"/>
      <c r="K763" s="40"/>
      <c r="L763" s="40"/>
      <c r="M763" s="40"/>
      <c r="N763" s="40"/>
      <c r="O763" s="40"/>
    </row>
    <row r="764" spans="1:15">
      <c r="A764" s="40"/>
      <c r="I764" s="40"/>
      <c r="J764" s="40"/>
      <c r="K764" s="40"/>
      <c r="L764" s="40"/>
      <c r="M764" s="40"/>
      <c r="N764" s="40"/>
      <c r="O764" s="40"/>
    </row>
    <row r="765" spans="1:15">
      <c r="A765" s="40"/>
      <c r="I765" s="40"/>
      <c r="J765" s="40"/>
      <c r="K765" s="40"/>
      <c r="L765" s="40"/>
      <c r="M765" s="40"/>
      <c r="N765" s="40"/>
      <c r="O765" s="40"/>
    </row>
    <row r="766" spans="1:15">
      <c r="A766" s="40"/>
      <c r="I766" s="40"/>
      <c r="J766" s="40"/>
      <c r="K766" s="40"/>
      <c r="L766" s="40"/>
      <c r="M766" s="40"/>
      <c r="N766" s="40"/>
      <c r="O766" s="40"/>
    </row>
    <row r="767" spans="1:15">
      <c r="A767" s="40"/>
      <c r="I767" s="40"/>
      <c r="J767" s="40"/>
      <c r="K767" s="40"/>
      <c r="L767" s="40"/>
      <c r="M767" s="40"/>
      <c r="N767" s="40"/>
      <c r="O767" s="40"/>
    </row>
    <row r="768" spans="1:15">
      <c r="A768" s="40"/>
      <c r="I768" s="40"/>
      <c r="J768" s="40"/>
      <c r="K768" s="40"/>
      <c r="L768" s="40"/>
      <c r="M768" s="40"/>
      <c r="N768" s="40"/>
      <c r="O768" s="40"/>
    </row>
    <row r="769" spans="1:15">
      <c r="A769" s="40"/>
      <c r="I769" s="40"/>
      <c r="J769" s="40"/>
      <c r="K769" s="40"/>
      <c r="L769" s="40"/>
      <c r="M769" s="40"/>
      <c r="N769" s="40"/>
      <c r="O769" s="40"/>
    </row>
    <row r="770" spans="1:15">
      <c r="A770" s="40"/>
      <c r="I770" s="40"/>
      <c r="J770" s="40"/>
      <c r="K770" s="40"/>
      <c r="L770" s="40"/>
      <c r="M770" s="40"/>
      <c r="N770" s="40"/>
      <c r="O770" s="40"/>
    </row>
    <row r="771" spans="1:15">
      <c r="A771" s="40"/>
      <c r="I771" s="40"/>
      <c r="J771" s="40"/>
      <c r="K771" s="40"/>
      <c r="L771" s="40"/>
      <c r="M771" s="40"/>
      <c r="N771" s="40"/>
      <c r="O771" s="40"/>
    </row>
    <row r="772" spans="1:15">
      <c r="A772" s="40"/>
      <c r="I772" s="40"/>
      <c r="J772" s="40"/>
      <c r="K772" s="40"/>
      <c r="L772" s="40"/>
      <c r="M772" s="40"/>
      <c r="N772" s="40"/>
      <c r="O772" s="40"/>
    </row>
    <row r="773" spans="1:15">
      <c r="A773" s="40"/>
      <c r="I773" s="40"/>
      <c r="J773" s="40"/>
      <c r="K773" s="40"/>
      <c r="L773" s="40"/>
      <c r="M773" s="40"/>
      <c r="N773" s="40"/>
      <c r="O773" s="40"/>
    </row>
    <row r="774" spans="1:15">
      <c r="A774" s="40"/>
      <c r="I774" s="40"/>
      <c r="J774" s="40"/>
      <c r="K774" s="40"/>
      <c r="L774" s="40"/>
      <c r="M774" s="40"/>
      <c r="N774" s="40"/>
      <c r="O774" s="40"/>
    </row>
    <row r="775" spans="1:15">
      <c r="A775" s="40"/>
      <c r="I775" s="40"/>
      <c r="J775" s="40"/>
      <c r="K775" s="40"/>
      <c r="L775" s="40"/>
      <c r="M775" s="40"/>
      <c r="N775" s="40"/>
      <c r="O775" s="40"/>
    </row>
    <row r="776" spans="1:15">
      <c r="A776" s="40"/>
      <c r="I776" s="40"/>
      <c r="J776" s="40"/>
      <c r="K776" s="40"/>
      <c r="L776" s="40"/>
      <c r="M776" s="40"/>
      <c r="N776" s="40"/>
      <c r="O776" s="40"/>
    </row>
    <row r="777" spans="1:15">
      <c r="A777" s="40"/>
      <c r="I777" s="40"/>
      <c r="J777" s="40"/>
      <c r="K777" s="40"/>
      <c r="L777" s="40"/>
      <c r="M777" s="40"/>
      <c r="N777" s="40"/>
      <c r="O777" s="40"/>
    </row>
    <row r="778" spans="1:15">
      <c r="A778" s="40"/>
      <c r="I778" s="40"/>
      <c r="J778" s="40"/>
      <c r="K778" s="40"/>
      <c r="L778" s="40"/>
      <c r="M778" s="40"/>
      <c r="N778" s="40"/>
      <c r="O778" s="40"/>
    </row>
    <row r="779" spans="1:15">
      <c r="A779" s="40"/>
      <c r="I779" s="40"/>
      <c r="J779" s="40"/>
      <c r="K779" s="40"/>
      <c r="L779" s="40"/>
      <c r="M779" s="40"/>
      <c r="N779" s="40"/>
      <c r="O779" s="40"/>
    </row>
    <row r="780" spans="1:15">
      <c r="A780" s="40"/>
      <c r="I780" s="40"/>
      <c r="J780" s="40"/>
      <c r="K780" s="40"/>
      <c r="L780" s="40"/>
      <c r="M780" s="40"/>
      <c r="N780" s="40"/>
      <c r="O780" s="40"/>
    </row>
    <row r="781" spans="1:15">
      <c r="A781" s="40"/>
      <c r="I781" s="40"/>
      <c r="J781" s="40"/>
      <c r="K781" s="40"/>
      <c r="L781" s="40"/>
      <c r="M781" s="40"/>
      <c r="N781" s="40"/>
      <c r="O781" s="40"/>
    </row>
    <row r="782" spans="1:15">
      <c r="A782" s="40"/>
      <c r="I782" s="40"/>
      <c r="J782" s="40"/>
      <c r="K782" s="40"/>
      <c r="L782" s="40"/>
      <c r="M782" s="40"/>
      <c r="N782" s="40"/>
      <c r="O782" s="40"/>
    </row>
    <row r="783" spans="1:15">
      <c r="A783" s="40"/>
      <c r="I783" s="40"/>
      <c r="J783" s="40"/>
      <c r="K783" s="40"/>
      <c r="L783" s="40"/>
      <c r="M783" s="40"/>
      <c r="N783" s="40"/>
      <c r="O783" s="40"/>
    </row>
    <row r="784" spans="1:15">
      <c r="A784" s="40"/>
      <c r="I784" s="40"/>
      <c r="J784" s="40"/>
      <c r="K784" s="40"/>
      <c r="L784" s="40"/>
      <c r="M784" s="40"/>
      <c r="N784" s="40"/>
      <c r="O784" s="40"/>
    </row>
    <row r="785" spans="1:15">
      <c r="A785" s="40"/>
      <c r="I785" s="40"/>
      <c r="J785" s="40"/>
      <c r="K785" s="40"/>
      <c r="L785" s="40"/>
      <c r="M785" s="40"/>
      <c r="N785" s="40"/>
      <c r="O785" s="40"/>
    </row>
    <row r="786" spans="1:15">
      <c r="A786" s="40"/>
      <c r="I786" s="40"/>
      <c r="J786" s="40"/>
      <c r="K786" s="40"/>
      <c r="L786" s="40"/>
      <c r="M786" s="40"/>
      <c r="N786" s="40"/>
      <c r="O786" s="40"/>
    </row>
    <row r="787" spans="1:15">
      <c r="A787" s="40"/>
      <c r="I787" s="40"/>
      <c r="J787" s="40"/>
      <c r="K787" s="40"/>
      <c r="L787" s="40"/>
      <c r="M787" s="40"/>
      <c r="N787" s="40"/>
      <c r="O787" s="40"/>
    </row>
    <row r="788" spans="1:15">
      <c r="A788" s="40"/>
      <c r="I788" s="40"/>
      <c r="J788" s="40"/>
      <c r="K788" s="40"/>
      <c r="L788" s="40"/>
      <c r="M788" s="40"/>
      <c r="N788" s="40"/>
      <c r="O788" s="40"/>
    </row>
    <row r="789" spans="1:15">
      <c r="A789" s="40"/>
      <c r="I789" s="40"/>
      <c r="J789" s="40"/>
      <c r="K789" s="40"/>
      <c r="L789" s="40"/>
      <c r="M789" s="40"/>
      <c r="N789" s="40"/>
      <c r="O789" s="40"/>
    </row>
    <row r="790" spans="1:15">
      <c r="A790" s="40"/>
      <c r="I790" s="40"/>
      <c r="J790" s="40"/>
      <c r="K790" s="40"/>
      <c r="L790" s="40"/>
      <c r="M790" s="40"/>
      <c r="N790" s="40"/>
      <c r="O790" s="40"/>
    </row>
    <row r="791" spans="1:15">
      <c r="A791" s="40"/>
      <c r="I791" s="40"/>
      <c r="J791" s="40"/>
      <c r="K791" s="40"/>
      <c r="L791" s="40"/>
      <c r="M791" s="40"/>
      <c r="N791" s="40"/>
      <c r="O791" s="40"/>
    </row>
    <row r="792" spans="1:15">
      <c r="A792" s="40"/>
      <c r="I792" s="40"/>
      <c r="J792" s="40"/>
      <c r="K792" s="40"/>
      <c r="L792" s="40"/>
      <c r="M792" s="40"/>
      <c r="N792" s="40"/>
      <c r="O792" s="40"/>
    </row>
    <row r="793" spans="1:15">
      <c r="A793" s="40"/>
      <c r="I793" s="40"/>
      <c r="J793" s="40"/>
      <c r="K793" s="40"/>
      <c r="L793" s="40"/>
      <c r="M793" s="40"/>
      <c r="N793" s="40"/>
      <c r="O793" s="40"/>
    </row>
    <row r="794" spans="1:15">
      <c r="A794" s="40"/>
      <c r="I794" s="40"/>
      <c r="J794" s="40"/>
      <c r="K794" s="40"/>
      <c r="L794" s="40"/>
      <c r="M794" s="40"/>
      <c r="N794" s="40"/>
      <c r="O794" s="40"/>
    </row>
    <row r="795" spans="1:15">
      <c r="A795" s="40"/>
      <c r="I795" s="40"/>
      <c r="J795" s="40"/>
      <c r="K795" s="40"/>
      <c r="L795" s="40"/>
      <c r="M795" s="40"/>
      <c r="N795" s="40"/>
      <c r="O795" s="40"/>
    </row>
    <row r="796" spans="1:15">
      <c r="A796" s="40"/>
      <c r="I796" s="40"/>
      <c r="J796" s="40"/>
      <c r="K796" s="40"/>
      <c r="L796" s="40"/>
      <c r="M796" s="40"/>
      <c r="N796" s="40"/>
      <c r="O796" s="40"/>
    </row>
    <row r="797" spans="1:15">
      <c r="A797" s="40"/>
      <c r="I797" s="40"/>
      <c r="J797" s="40"/>
      <c r="K797" s="40"/>
      <c r="L797" s="40"/>
      <c r="M797" s="40"/>
      <c r="N797" s="40"/>
      <c r="O797" s="40"/>
    </row>
    <row r="798" spans="1:15">
      <c r="A798" s="40"/>
      <c r="I798" s="40"/>
      <c r="J798" s="40"/>
      <c r="K798" s="40"/>
      <c r="L798" s="40"/>
      <c r="M798" s="40"/>
      <c r="N798" s="40"/>
      <c r="O798" s="40"/>
    </row>
    <row r="799" spans="1:15">
      <c r="A799" s="40"/>
      <c r="I799" s="40"/>
      <c r="J799" s="40"/>
      <c r="K799" s="40"/>
      <c r="L799" s="40"/>
      <c r="M799" s="40"/>
      <c r="N799" s="40"/>
      <c r="O799" s="40"/>
    </row>
    <row r="800" spans="1:15">
      <c r="A800" s="40"/>
      <c r="I800" s="40"/>
      <c r="J800" s="40"/>
      <c r="K800" s="40"/>
      <c r="L800" s="40"/>
      <c r="M800" s="40"/>
      <c r="N800" s="40"/>
      <c r="O800" s="40"/>
    </row>
    <row r="801" spans="1:15">
      <c r="A801" s="40"/>
      <c r="I801" s="40"/>
      <c r="J801" s="40"/>
      <c r="K801" s="40"/>
      <c r="L801" s="40"/>
      <c r="M801" s="40"/>
      <c r="N801" s="40"/>
      <c r="O801" s="40"/>
    </row>
    <row r="802" spans="1:15">
      <c r="A802" s="40"/>
      <c r="I802" s="40"/>
      <c r="J802" s="40"/>
      <c r="K802" s="40"/>
      <c r="L802" s="40"/>
      <c r="M802" s="40"/>
      <c r="N802" s="40"/>
      <c r="O802" s="40"/>
    </row>
    <row r="803" spans="1:15">
      <c r="A803" s="40"/>
      <c r="I803" s="40"/>
      <c r="J803" s="40"/>
      <c r="K803" s="40"/>
      <c r="L803" s="40"/>
      <c r="M803" s="40"/>
      <c r="N803" s="40"/>
      <c r="O803" s="40"/>
    </row>
    <row r="804" spans="1:15">
      <c r="A804" s="40"/>
      <c r="I804" s="40"/>
      <c r="J804" s="40"/>
      <c r="K804" s="40"/>
      <c r="L804" s="40"/>
      <c r="M804" s="40"/>
      <c r="N804" s="40"/>
      <c r="O804" s="40"/>
    </row>
    <row r="805" spans="1:15">
      <c r="A805" s="40"/>
      <c r="I805" s="40"/>
      <c r="J805" s="40"/>
      <c r="K805" s="40"/>
      <c r="L805" s="40"/>
      <c r="M805" s="40"/>
      <c r="N805" s="40"/>
      <c r="O805" s="40"/>
    </row>
    <row r="806" spans="1:15">
      <c r="A806" s="40"/>
      <c r="I806" s="40"/>
      <c r="J806" s="40"/>
      <c r="K806" s="40"/>
      <c r="L806" s="40"/>
      <c r="M806" s="40"/>
      <c r="N806" s="40"/>
      <c r="O806" s="40"/>
    </row>
    <row r="807" spans="1:15">
      <c r="A807" s="40"/>
      <c r="I807" s="40"/>
      <c r="J807" s="40"/>
      <c r="K807" s="40"/>
      <c r="L807" s="40"/>
      <c r="M807" s="40"/>
      <c r="N807" s="40"/>
      <c r="O807" s="40"/>
    </row>
    <row r="808" spans="1:15">
      <c r="A808" s="40"/>
      <c r="I808" s="40"/>
      <c r="J808" s="40"/>
      <c r="K808" s="40"/>
      <c r="L808" s="40"/>
      <c r="M808" s="40"/>
      <c r="N808" s="40"/>
      <c r="O808" s="40"/>
    </row>
    <row r="809" spans="1:15">
      <c r="A809" s="40"/>
      <c r="I809" s="40"/>
      <c r="J809" s="40"/>
      <c r="K809" s="40"/>
      <c r="L809" s="40"/>
      <c r="M809" s="40"/>
      <c r="N809" s="40"/>
      <c r="O809" s="40"/>
    </row>
    <row r="810" spans="1:15">
      <c r="A810" s="40"/>
      <c r="I810" s="40"/>
      <c r="J810" s="40"/>
      <c r="K810" s="40"/>
      <c r="L810" s="40"/>
      <c r="M810" s="40"/>
      <c r="N810" s="40"/>
      <c r="O810" s="40"/>
    </row>
    <row r="811" spans="1:15">
      <c r="A811" s="40"/>
      <c r="I811" s="40"/>
      <c r="J811" s="40"/>
      <c r="K811" s="40"/>
      <c r="L811" s="40"/>
      <c r="M811" s="40"/>
      <c r="N811" s="40"/>
      <c r="O811" s="40"/>
    </row>
    <row r="812" spans="1:15">
      <c r="A812" s="40"/>
      <c r="I812" s="40"/>
      <c r="J812" s="40"/>
      <c r="K812" s="40"/>
      <c r="L812" s="40"/>
      <c r="M812" s="40"/>
      <c r="N812" s="40"/>
      <c r="O812" s="40"/>
    </row>
    <row r="813" spans="1:15">
      <c r="A813" s="40"/>
      <c r="I813" s="40"/>
      <c r="J813" s="40"/>
      <c r="K813" s="40"/>
      <c r="L813" s="40"/>
      <c r="M813" s="40"/>
      <c r="N813" s="40"/>
      <c r="O813" s="40"/>
    </row>
    <row r="814" spans="1:15">
      <c r="A814" s="40"/>
      <c r="I814" s="40"/>
      <c r="J814" s="40"/>
      <c r="K814" s="40"/>
      <c r="L814" s="40"/>
      <c r="M814" s="40"/>
      <c r="N814" s="40"/>
      <c r="O814" s="40"/>
    </row>
    <row r="815" spans="1:15">
      <c r="A815" s="40"/>
      <c r="I815" s="40"/>
      <c r="J815" s="40"/>
      <c r="K815" s="40"/>
      <c r="L815" s="40"/>
      <c r="M815" s="40"/>
      <c r="N815" s="40"/>
      <c r="O815" s="40"/>
    </row>
    <row r="816" spans="1:15">
      <c r="A816" s="40"/>
      <c r="I816" s="40"/>
      <c r="J816" s="40"/>
      <c r="K816" s="40"/>
      <c r="L816" s="40"/>
      <c r="M816" s="40"/>
      <c r="N816" s="40"/>
      <c r="O816" s="40"/>
    </row>
    <row r="817" spans="1:15">
      <c r="A817" s="40"/>
      <c r="I817" s="40"/>
      <c r="J817" s="40"/>
      <c r="K817" s="40"/>
      <c r="L817" s="40"/>
      <c r="M817" s="40"/>
      <c r="N817" s="40"/>
      <c r="O817" s="40"/>
    </row>
    <row r="818" spans="1:15">
      <c r="A818" s="40"/>
      <c r="I818" s="40"/>
      <c r="J818" s="40"/>
      <c r="K818" s="40"/>
      <c r="L818" s="40"/>
      <c r="M818" s="40"/>
      <c r="N818" s="40"/>
      <c r="O818" s="40"/>
    </row>
    <row r="819" spans="1:15">
      <c r="A819" s="40"/>
      <c r="I819" s="40"/>
      <c r="J819" s="40"/>
      <c r="K819" s="40"/>
      <c r="L819" s="40"/>
      <c r="M819" s="40"/>
      <c r="N819" s="40"/>
      <c r="O819" s="40"/>
    </row>
    <row r="820" spans="1:15">
      <c r="A820" s="40"/>
      <c r="I820" s="40"/>
      <c r="J820" s="40"/>
      <c r="K820" s="40"/>
      <c r="L820" s="40"/>
      <c r="M820" s="40"/>
      <c r="N820" s="40"/>
      <c r="O820" s="40"/>
    </row>
    <row r="821" spans="1:15">
      <c r="A821" s="40"/>
      <c r="I821" s="40"/>
      <c r="J821" s="40"/>
      <c r="K821" s="40"/>
      <c r="L821" s="40"/>
      <c r="M821" s="40"/>
      <c r="N821" s="40"/>
      <c r="O821" s="40"/>
    </row>
    <row r="822" spans="1:15">
      <c r="A822" s="40"/>
      <c r="I822" s="40"/>
      <c r="J822" s="40"/>
      <c r="K822" s="40"/>
      <c r="L822" s="40"/>
      <c r="M822" s="40"/>
      <c r="N822" s="40"/>
      <c r="O822" s="40"/>
    </row>
    <row r="823" spans="1:15">
      <c r="A823" s="40"/>
      <c r="I823" s="40"/>
      <c r="J823" s="40"/>
      <c r="K823" s="40"/>
      <c r="L823" s="40"/>
      <c r="M823" s="40"/>
      <c r="N823" s="40"/>
      <c r="O823" s="40"/>
    </row>
    <row r="824" spans="1:15">
      <c r="A824" s="40"/>
      <c r="I824" s="40"/>
      <c r="J824" s="40"/>
      <c r="K824" s="40"/>
      <c r="L824" s="40"/>
      <c r="M824" s="40"/>
      <c r="N824" s="40"/>
      <c r="O824" s="40"/>
    </row>
    <row r="825" spans="1:15">
      <c r="A825" s="40"/>
      <c r="I825" s="40"/>
      <c r="J825" s="40"/>
      <c r="K825" s="40"/>
      <c r="L825" s="40"/>
      <c r="M825" s="40"/>
      <c r="N825" s="40"/>
      <c r="O825" s="40"/>
    </row>
    <row r="826" spans="1:15">
      <c r="A826" s="40"/>
      <c r="I826" s="40"/>
      <c r="J826" s="40"/>
      <c r="K826" s="40"/>
      <c r="L826" s="40"/>
      <c r="M826" s="40"/>
      <c r="N826" s="40"/>
      <c r="O826" s="40"/>
    </row>
    <row r="827" spans="1:15">
      <c r="A827" s="40"/>
      <c r="I827" s="40"/>
      <c r="J827" s="40"/>
      <c r="K827" s="40"/>
      <c r="L827" s="40"/>
      <c r="M827" s="40"/>
      <c r="N827" s="40"/>
      <c r="O827" s="40"/>
    </row>
    <row r="828" spans="1:15">
      <c r="A828" s="40"/>
      <c r="I828" s="40"/>
      <c r="J828" s="40"/>
      <c r="K828" s="40"/>
      <c r="L828" s="40"/>
      <c r="M828" s="40"/>
      <c r="N828" s="40"/>
      <c r="O828" s="40"/>
    </row>
    <row r="829" spans="1:15">
      <c r="A829" s="40"/>
      <c r="I829" s="40"/>
      <c r="J829" s="40"/>
      <c r="K829" s="40"/>
      <c r="L829" s="40"/>
      <c r="M829" s="40"/>
      <c r="N829" s="40"/>
      <c r="O829" s="40"/>
    </row>
    <row r="830" spans="1:15">
      <c r="A830" s="40"/>
      <c r="I830" s="40"/>
      <c r="J830" s="40"/>
      <c r="K830" s="40"/>
      <c r="L830" s="40"/>
      <c r="M830" s="40"/>
      <c r="N830" s="40"/>
      <c r="O830" s="40"/>
    </row>
    <row r="831" spans="1:15">
      <c r="A831" s="40"/>
      <c r="I831" s="40"/>
      <c r="J831" s="40"/>
      <c r="K831" s="40"/>
      <c r="L831" s="40"/>
      <c r="M831" s="40"/>
      <c r="N831" s="40"/>
      <c r="O831" s="40"/>
    </row>
    <row r="832" spans="1:15">
      <c r="A832" s="40"/>
      <c r="I832" s="40"/>
      <c r="J832" s="40"/>
      <c r="K832" s="40"/>
      <c r="L832" s="40"/>
      <c r="M832" s="40"/>
      <c r="N832" s="40"/>
      <c r="O832" s="40"/>
    </row>
    <row r="833" spans="1:15">
      <c r="A833" s="40"/>
      <c r="I833" s="40"/>
      <c r="J833" s="40"/>
      <c r="K833" s="40"/>
      <c r="L833" s="40"/>
      <c r="M833" s="40"/>
      <c r="N833" s="40"/>
      <c r="O833" s="40"/>
    </row>
    <row r="834" spans="1:15">
      <c r="A834" s="40"/>
      <c r="I834" s="40"/>
      <c r="J834" s="40"/>
      <c r="K834" s="40"/>
      <c r="L834" s="40"/>
      <c r="M834" s="40"/>
      <c r="N834" s="40"/>
      <c r="O834" s="40"/>
    </row>
    <row r="835" spans="1:15">
      <c r="A835" s="40"/>
      <c r="I835" s="40"/>
      <c r="J835" s="40"/>
      <c r="K835" s="40"/>
      <c r="L835" s="40"/>
      <c r="M835" s="40"/>
      <c r="N835" s="40"/>
      <c r="O835" s="40"/>
    </row>
    <row r="836" spans="1:15">
      <c r="A836" s="40"/>
      <c r="I836" s="40"/>
      <c r="J836" s="40"/>
      <c r="K836" s="40"/>
      <c r="L836" s="40"/>
      <c r="M836" s="40"/>
      <c r="N836" s="40"/>
      <c r="O836" s="40"/>
    </row>
    <row r="837" spans="1:15">
      <c r="A837" s="40"/>
      <c r="I837" s="40"/>
      <c r="J837" s="40"/>
      <c r="K837" s="40"/>
      <c r="L837" s="40"/>
      <c r="M837" s="40"/>
      <c r="N837" s="40"/>
      <c r="O837" s="40"/>
    </row>
    <row r="838" spans="1:15">
      <c r="A838" s="40"/>
      <c r="I838" s="40"/>
      <c r="J838" s="40"/>
      <c r="K838" s="40"/>
      <c r="L838" s="40"/>
      <c r="M838" s="40"/>
      <c r="N838" s="40"/>
      <c r="O838" s="40"/>
    </row>
    <row r="839" spans="1:15">
      <c r="A839" s="40"/>
      <c r="I839" s="40"/>
      <c r="J839" s="40"/>
      <c r="K839" s="40"/>
      <c r="L839" s="40"/>
      <c r="M839" s="40"/>
      <c r="N839" s="40"/>
      <c r="O839" s="40"/>
    </row>
    <row r="840" spans="1:15">
      <c r="A840" s="40"/>
      <c r="I840" s="40"/>
      <c r="J840" s="40"/>
      <c r="K840" s="40"/>
      <c r="L840" s="40"/>
      <c r="M840" s="40"/>
      <c r="N840" s="40"/>
      <c r="O840" s="40"/>
    </row>
    <row r="841" spans="1:15">
      <c r="A841" s="40"/>
      <c r="I841" s="40"/>
      <c r="J841" s="40"/>
      <c r="K841" s="40"/>
      <c r="L841" s="40"/>
      <c r="M841" s="40"/>
      <c r="N841" s="40"/>
      <c r="O841" s="40"/>
    </row>
    <row r="842" spans="1:15">
      <c r="A842" s="40"/>
      <c r="I842" s="40"/>
      <c r="J842" s="40"/>
      <c r="K842" s="40"/>
      <c r="L842" s="40"/>
      <c r="M842" s="40"/>
      <c r="N842" s="40"/>
      <c r="O842" s="40"/>
    </row>
    <row r="843" spans="1:15">
      <c r="A843" s="40"/>
      <c r="I843" s="40"/>
      <c r="J843" s="40"/>
      <c r="K843" s="40"/>
      <c r="L843" s="40"/>
      <c r="M843" s="40"/>
      <c r="N843" s="40"/>
      <c r="O843" s="40"/>
    </row>
    <row r="844" spans="1:15">
      <c r="A844" s="40"/>
      <c r="I844" s="40"/>
      <c r="J844" s="40"/>
      <c r="K844" s="40"/>
      <c r="L844" s="40"/>
      <c r="M844" s="40"/>
      <c r="N844" s="40"/>
      <c r="O844" s="40"/>
    </row>
    <row r="845" spans="1:15">
      <c r="A845" s="40"/>
      <c r="I845" s="40"/>
      <c r="J845" s="40"/>
      <c r="K845" s="40"/>
      <c r="L845" s="40"/>
      <c r="M845" s="40"/>
      <c r="N845" s="40"/>
      <c r="O845" s="40"/>
    </row>
    <row r="846" spans="1:15">
      <c r="A846" s="40"/>
      <c r="I846" s="40"/>
      <c r="J846" s="40"/>
      <c r="K846" s="40"/>
      <c r="L846" s="40"/>
      <c r="M846" s="40"/>
      <c r="N846" s="40"/>
      <c r="O846" s="40"/>
    </row>
    <row r="847" spans="1:15">
      <c r="A847" s="40"/>
      <c r="I847" s="40"/>
      <c r="J847" s="40"/>
      <c r="K847" s="40"/>
      <c r="L847" s="40"/>
      <c r="M847" s="40"/>
      <c r="N847" s="40"/>
      <c r="O847" s="40"/>
    </row>
    <row r="848" spans="1:15">
      <c r="A848" s="40"/>
      <c r="I848" s="40"/>
      <c r="J848" s="40"/>
      <c r="K848" s="40"/>
      <c r="L848" s="40"/>
      <c r="M848" s="40"/>
      <c r="N848" s="40"/>
      <c r="O848" s="40"/>
    </row>
    <row r="849" spans="1:15">
      <c r="A849" s="40"/>
      <c r="I849" s="40"/>
      <c r="J849" s="40"/>
      <c r="K849" s="40"/>
      <c r="L849" s="40"/>
      <c r="M849" s="40"/>
      <c r="N849" s="40"/>
      <c r="O849" s="40"/>
    </row>
    <row r="850" spans="1:15">
      <c r="A850" s="40"/>
      <c r="I850" s="40"/>
      <c r="J850" s="40"/>
      <c r="K850" s="40"/>
      <c r="L850" s="40"/>
      <c r="M850" s="40"/>
      <c r="N850" s="40"/>
      <c r="O850" s="40"/>
    </row>
    <row r="851" spans="1:15">
      <c r="A851" s="40"/>
      <c r="I851" s="40"/>
      <c r="J851" s="40"/>
      <c r="K851" s="40"/>
      <c r="L851" s="40"/>
      <c r="M851" s="40"/>
      <c r="N851" s="40"/>
      <c r="O851" s="40"/>
    </row>
    <row r="852" spans="1:15">
      <c r="A852" s="40"/>
      <c r="I852" s="40"/>
      <c r="J852" s="40"/>
      <c r="K852" s="40"/>
      <c r="L852" s="40"/>
      <c r="M852" s="40"/>
      <c r="N852" s="40"/>
      <c r="O852" s="40"/>
    </row>
    <row r="853" spans="1:15">
      <c r="A853" s="40"/>
      <c r="I853" s="40"/>
      <c r="J853" s="40"/>
      <c r="K853" s="40"/>
      <c r="L853" s="40"/>
      <c r="M853" s="40"/>
      <c r="N853" s="40"/>
      <c r="O853" s="40"/>
    </row>
    <row r="854" spans="1:15">
      <c r="A854" s="40"/>
      <c r="I854" s="40"/>
      <c r="J854" s="40"/>
      <c r="K854" s="40"/>
      <c r="L854" s="40"/>
      <c r="M854" s="40"/>
      <c r="N854" s="40"/>
      <c r="O854" s="40"/>
    </row>
    <row r="855" spans="1:15">
      <c r="A855" s="40"/>
      <c r="I855" s="40"/>
      <c r="J855" s="40"/>
      <c r="K855" s="40"/>
      <c r="L855" s="40"/>
      <c r="M855" s="40"/>
      <c r="N855" s="40"/>
      <c r="O855" s="40"/>
    </row>
    <row r="856" spans="1:15">
      <c r="A856" s="40"/>
      <c r="I856" s="40"/>
      <c r="J856" s="40"/>
      <c r="K856" s="40"/>
      <c r="L856" s="40"/>
      <c r="M856" s="40"/>
      <c r="N856" s="40"/>
      <c r="O856" s="40"/>
    </row>
    <row r="857" spans="1:15">
      <c r="A857" s="40"/>
      <c r="I857" s="40"/>
      <c r="J857" s="40"/>
      <c r="K857" s="40"/>
      <c r="L857" s="40"/>
      <c r="M857" s="40"/>
      <c r="N857" s="40"/>
      <c r="O857" s="40"/>
    </row>
    <row r="858" spans="1:15">
      <c r="A858" s="40"/>
      <c r="I858" s="40"/>
      <c r="J858" s="40"/>
      <c r="K858" s="40"/>
      <c r="L858" s="40"/>
      <c r="M858" s="40"/>
      <c r="N858" s="40"/>
      <c r="O858" s="40"/>
    </row>
    <row r="859" spans="1:15">
      <c r="A859" s="40"/>
      <c r="I859" s="40"/>
      <c r="J859" s="40"/>
      <c r="K859" s="40"/>
      <c r="L859" s="40"/>
      <c r="M859" s="40"/>
      <c r="N859" s="40"/>
      <c r="O859" s="40"/>
    </row>
    <row r="860" spans="1:15">
      <c r="A860" s="40"/>
      <c r="I860" s="40"/>
      <c r="J860" s="40"/>
      <c r="K860" s="40"/>
      <c r="L860" s="40"/>
      <c r="M860" s="40"/>
      <c r="N860" s="40"/>
      <c r="O860" s="40"/>
    </row>
    <row r="861" spans="1:15">
      <c r="A861" s="40"/>
      <c r="I861" s="40"/>
      <c r="J861" s="40"/>
      <c r="K861" s="40"/>
      <c r="L861" s="40"/>
      <c r="M861" s="40"/>
      <c r="N861" s="40"/>
      <c r="O861" s="40"/>
    </row>
    <row r="862" spans="1:15">
      <c r="A862" s="40"/>
      <c r="I862" s="40"/>
      <c r="J862" s="40"/>
      <c r="K862" s="40"/>
      <c r="L862" s="40"/>
      <c r="M862" s="40"/>
      <c r="N862" s="40"/>
      <c r="O862" s="40"/>
    </row>
    <row r="863" spans="1:15">
      <c r="A863" s="40"/>
      <c r="I863" s="40"/>
      <c r="J863" s="40"/>
      <c r="K863" s="40"/>
      <c r="L863" s="40"/>
      <c r="M863" s="40"/>
      <c r="N863" s="40"/>
      <c r="O863" s="40"/>
    </row>
    <row r="864" spans="1:15">
      <c r="A864" s="40"/>
      <c r="I864" s="40"/>
      <c r="J864" s="40"/>
      <c r="K864" s="40"/>
      <c r="L864" s="40"/>
      <c r="M864" s="40"/>
      <c r="N864" s="40"/>
      <c r="O864" s="40"/>
    </row>
    <row r="865" spans="1:15">
      <c r="A865" s="40"/>
      <c r="I865" s="40"/>
      <c r="J865" s="40"/>
      <c r="K865" s="40"/>
      <c r="L865" s="40"/>
      <c r="M865" s="40"/>
      <c r="N865" s="40"/>
      <c r="O865" s="40"/>
    </row>
    <row r="866" spans="1:15">
      <c r="A866" s="40"/>
      <c r="I866" s="40"/>
      <c r="J866" s="40"/>
      <c r="K866" s="40"/>
      <c r="L866" s="40"/>
      <c r="M866" s="40"/>
      <c r="N866" s="40"/>
      <c r="O866" s="40"/>
    </row>
    <row r="867" spans="1:15">
      <c r="A867" s="40"/>
      <c r="I867" s="40"/>
      <c r="J867" s="40"/>
      <c r="K867" s="40"/>
      <c r="L867" s="40"/>
      <c r="M867" s="40"/>
      <c r="N867" s="40"/>
      <c r="O867" s="40"/>
    </row>
    <row r="868" spans="1:15">
      <c r="A868" s="40"/>
      <c r="I868" s="40"/>
      <c r="J868" s="40"/>
      <c r="K868" s="40"/>
      <c r="L868" s="40"/>
      <c r="M868" s="40"/>
      <c r="N868" s="40"/>
      <c r="O868" s="40"/>
    </row>
    <row r="869" spans="1:15">
      <c r="A869" s="40"/>
      <c r="I869" s="40"/>
      <c r="J869" s="40"/>
      <c r="K869" s="40"/>
      <c r="L869" s="40"/>
      <c r="M869" s="40"/>
      <c r="N869" s="40"/>
      <c r="O869" s="40"/>
    </row>
    <row r="870" spans="1:15">
      <c r="A870" s="40"/>
      <c r="I870" s="40"/>
      <c r="J870" s="40"/>
      <c r="K870" s="40"/>
      <c r="L870" s="40"/>
      <c r="M870" s="40"/>
      <c r="N870" s="40"/>
      <c r="O870" s="40"/>
    </row>
    <row r="871" spans="1:15">
      <c r="A871" s="40"/>
      <c r="I871" s="40"/>
      <c r="J871" s="40"/>
      <c r="K871" s="40"/>
      <c r="L871" s="40"/>
      <c r="M871" s="40"/>
      <c r="N871" s="40"/>
      <c r="O871" s="40"/>
    </row>
    <row r="872" spans="1:15">
      <c r="A872" s="40"/>
      <c r="I872" s="40"/>
      <c r="J872" s="40"/>
      <c r="K872" s="40"/>
      <c r="L872" s="40"/>
      <c r="M872" s="40"/>
      <c r="N872" s="40"/>
      <c r="O872" s="40"/>
    </row>
    <row r="873" spans="1:15">
      <c r="A873" s="40"/>
      <c r="I873" s="40"/>
      <c r="J873" s="40"/>
      <c r="K873" s="40"/>
      <c r="L873" s="40"/>
      <c r="M873" s="40"/>
      <c r="N873" s="40"/>
      <c r="O873" s="40"/>
    </row>
    <row r="874" spans="1:15">
      <c r="A874" s="40"/>
      <c r="I874" s="40"/>
      <c r="J874" s="40"/>
      <c r="K874" s="40"/>
      <c r="L874" s="40"/>
      <c r="M874" s="40"/>
      <c r="N874" s="40"/>
      <c r="O874" s="40"/>
    </row>
    <row r="875" spans="1:15">
      <c r="A875" s="40"/>
      <c r="I875" s="40"/>
      <c r="J875" s="40"/>
      <c r="K875" s="40"/>
      <c r="L875" s="40"/>
      <c r="M875" s="40"/>
      <c r="N875" s="40"/>
      <c r="O875" s="40"/>
    </row>
    <row r="876" spans="1:15">
      <c r="A876" s="40"/>
      <c r="I876" s="40"/>
      <c r="J876" s="40"/>
      <c r="K876" s="40"/>
      <c r="L876" s="40"/>
      <c r="M876" s="40"/>
      <c r="N876" s="40"/>
      <c r="O876" s="40"/>
    </row>
    <row r="877" spans="1:15">
      <c r="A877" s="40"/>
      <c r="I877" s="40"/>
      <c r="J877" s="40"/>
      <c r="K877" s="40"/>
      <c r="L877" s="40"/>
      <c r="M877" s="40"/>
      <c r="N877" s="40"/>
      <c r="O877" s="40"/>
    </row>
    <row r="878" spans="1:15">
      <c r="A878" s="40"/>
      <c r="I878" s="40"/>
      <c r="J878" s="40"/>
      <c r="K878" s="40"/>
      <c r="L878" s="40"/>
      <c r="M878" s="40"/>
      <c r="N878" s="40"/>
      <c r="O878" s="40"/>
    </row>
    <row r="879" spans="1:15">
      <c r="A879" s="40"/>
      <c r="I879" s="40"/>
      <c r="J879" s="40"/>
      <c r="K879" s="40"/>
      <c r="L879" s="40"/>
      <c r="M879" s="40"/>
      <c r="N879" s="40"/>
      <c r="O879" s="40"/>
    </row>
    <row r="880" spans="1:15">
      <c r="A880" s="40"/>
      <c r="I880" s="40"/>
      <c r="J880" s="40"/>
      <c r="K880" s="40"/>
      <c r="L880" s="40"/>
      <c r="M880" s="40"/>
      <c r="N880" s="40"/>
      <c r="O880" s="40"/>
    </row>
    <row r="881" spans="1:15">
      <c r="A881" s="40"/>
      <c r="I881" s="40"/>
      <c r="J881" s="40"/>
      <c r="K881" s="40"/>
      <c r="L881" s="40"/>
      <c r="M881" s="40"/>
      <c r="N881" s="40"/>
      <c r="O881" s="40"/>
    </row>
    <row r="882" spans="1:15">
      <c r="A882" s="40"/>
      <c r="I882" s="40"/>
      <c r="J882" s="40"/>
      <c r="K882" s="40"/>
      <c r="L882" s="40"/>
      <c r="M882" s="40"/>
      <c r="N882" s="40"/>
      <c r="O882" s="40"/>
    </row>
    <row r="883" spans="1:15">
      <c r="A883" s="40"/>
      <c r="I883" s="40"/>
      <c r="J883" s="40"/>
      <c r="K883" s="40"/>
      <c r="L883" s="40"/>
      <c r="M883" s="40"/>
      <c r="N883" s="40"/>
      <c r="O883" s="40"/>
    </row>
    <row r="884" spans="1:15">
      <c r="A884" s="40"/>
      <c r="I884" s="40"/>
      <c r="J884" s="40"/>
      <c r="K884" s="40"/>
      <c r="L884" s="40"/>
      <c r="M884" s="40"/>
      <c r="N884" s="40"/>
      <c r="O884" s="40"/>
    </row>
    <row r="885" spans="1:15">
      <c r="A885" s="40"/>
      <c r="I885" s="40"/>
      <c r="J885" s="40"/>
      <c r="K885" s="40"/>
      <c r="L885" s="40"/>
      <c r="M885" s="40"/>
      <c r="N885" s="40"/>
      <c r="O885" s="40"/>
    </row>
    <row r="886" spans="1:15">
      <c r="A886" s="40"/>
      <c r="I886" s="40"/>
      <c r="J886" s="40"/>
      <c r="K886" s="40"/>
      <c r="L886" s="40"/>
      <c r="M886" s="40"/>
      <c r="N886" s="40"/>
      <c r="O886" s="40"/>
    </row>
    <row r="887" spans="1:15">
      <c r="A887" s="40"/>
      <c r="I887" s="40"/>
      <c r="J887" s="40"/>
      <c r="K887" s="40"/>
      <c r="L887" s="40"/>
      <c r="M887" s="40"/>
      <c r="N887" s="40"/>
      <c r="O887" s="40"/>
    </row>
    <row r="888" spans="1:15">
      <c r="A888" s="40"/>
      <c r="I888" s="40"/>
      <c r="J888" s="40"/>
      <c r="K888" s="40"/>
      <c r="L888" s="40"/>
      <c r="M888" s="40"/>
      <c r="N888" s="40"/>
      <c r="O888" s="40"/>
    </row>
    <row r="889" spans="1:15">
      <c r="A889" s="40"/>
      <c r="I889" s="40"/>
      <c r="J889" s="40"/>
      <c r="K889" s="40"/>
      <c r="L889" s="40"/>
      <c r="M889" s="40"/>
      <c r="N889" s="40"/>
      <c r="O889" s="40"/>
    </row>
    <row r="890" spans="1:15">
      <c r="A890" s="40"/>
      <c r="I890" s="40"/>
      <c r="J890" s="40"/>
      <c r="K890" s="40"/>
      <c r="L890" s="40"/>
      <c r="M890" s="40"/>
      <c r="N890" s="40"/>
      <c r="O890" s="40"/>
    </row>
    <row r="891" spans="1:15">
      <c r="A891" s="40"/>
      <c r="I891" s="40"/>
      <c r="J891" s="40"/>
      <c r="K891" s="40"/>
      <c r="L891" s="40"/>
      <c r="M891" s="40"/>
      <c r="N891" s="40"/>
      <c r="O891" s="40"/>
    </row>
    <row r="892" spans="1:15">
      <c r="A892" s="40"/>
      <c r="I892" s="40"/>
      <c r="J892" s="40"/>
      <c r="K892" s="40"/>
      <c r="L892" s="40"/>
      <c r="M892" s="40"/>
      <c r="N892" s="40"/>
      <c r="O892" s="40"/>
    </row>
    <row r="893" spans="1:15">
      <c r="A893" s="40"/>
      <c r="I893" s="40"/>
      <c r="J893" s="40"/>
      <c r="K893" s="40"/>
      <c r="L893" s="40"/>
      <c r="M893" s="40"/>
      <c r="N893" s="40"/>
      <c r="O893" s="40"/>
    </row>
    <row r="894" spans="1:15">
      <c r="A894" s="40"/>
      <c r="I894" s="40"/>
      <c r="J894" s="40"/>
      <c r="K894" s="40"/>
      <c r="L894" s="40"/>
      <c r="M894" s="40"/>
      <c r="N894" s="40"/>
      <c r="O894" s="40"/>
    </row>
    <row r="895" spans="1:15">
      <c r="A895" s="40"/>
      <c r="I895" s="40"/>
      <c r="J895" s="40"/>
      <c r="K895" s="40"/>
      <c r="L895" s="40"/>
      <c r="M895" s="40"/>
      <c r="N895" s="40"/>
      <c r="O895" s="40"/>
    </row>
    <row r="896" spans="1:15">
      <c r="A896" s="40"/>
      <c r="I896" s="40"/>
      <c r="J896" s="40"/>
      <c r="K896" s="40"/>
      <c r="L896" s="40"/>
      <c r="M896" s="40"/>
      <c r="N896" s="40"/>
      <c r="O896" s="40"/>
    </row>
    <row r="897" spans="1:15">
      <c r="A897" s="40"/>
      <c r="I897" s="40"/>
      <c r="J897" s="40"/>
      <c r="K897" s="40"/>
      <c r="L897" s="40"/>
      <c r="M897" s="40"/>
      <c r="N897" s="40"/>
      <c r="O897" s="40"/>
    </row>
    <row r="898" spans="1:15">
      <c r="A898" s="40"/>
      <c r="I898" s="40"/>
      <c r="J898" s="40"/>
      <c r="K898" s="40"/>
      <c r="L898" s="40"/>
      <c r="M898" s="40"/>
      <c r="N898" s="40"/>
      <c r="O898" s="40"/>
    </row>
    <row r="899" spans="1:15">
      <c r="A899" s="40"/>
      <c r="I899" s="40"/>
      <c r="J899" s="40"/>
      <c r="K899" s="40"/>
      <c r="L899" s="40"/>
      <c r="M899" s="40"/>
      <c r="N899" s="40"/>
      <c r="O899" s="40"/>
    </row>
    <row r="900" spans="1:15">
      <c r="A900" s="40"/>
      <c r="I900" s="40"/>
      <c r="J900" s="40"/>
      <c r="K900" s="40"/>
      <c r="L900" s="40"/>
      <c r="M900" s="40"/>
      <c r="N900" s="40"/>
      <c r="O900" s="40"/>
    </row>
    <row r="901" spans="1:15">
      <c r="A901" s="40"/>
      <c r="I901" s="40"/>
      <c r="J901" s="40"/>
      <c r="K901" s="40"/>
      <c r="L901" s="40"/>
      <c r="M901" s="40"/>
      <c r="N901" s="40"/>
      <c r="O901" s="40"/>
    </row>
    <row r="902" spans="1:15">
      <c r="A902" s="40"/>
      <c r="I902" s="40"/>
      <c r="J902" s="40"/>
      <c r="K902" s="40"/>
      <c r="L902" s="40"/>
      <c r="M902" s="40"/>
      <c r="N902" s="40"/>
      <c r="O902" s="40"/>
    </row>
    <row r="903" spans="1:15">
      <c r="A903" s="40"/>
      <c r="I903" s="40"/>
      <c r="J903" s="40"/>
      <c r="K903" s="40"/>
      <c r="L903" s="40"/>
      <c r="M903" s="40"/>
      <c r="N903" s="40"/>
      <c r="O903" s="40"/>
    </row>
    <row r="904" spans="1:15">
      <c r="A904" s="40"/>
      <c r="I904" s="40"/>
      <c r="J904" s="40"/>
      <c r="K904" s="40"/>
      <c r="L904" s="40"/>
      <c r="M904" s="40"/>
      <c r="N904" s="40"/>
      <c r="O904" s="40"/>
    </row>
    <row r="905" spans="1:15">
      <c r="A905" s="40"/>
      <c r="I905" s="40"/>
      <c r="J905" s="40"/>
      <c r="K905" s="40"/>
      <c r="L905" s="40"/>
      <c r="M905" s="40"/>
      <c r="N905" s="40"/>
      <c r="O905" s="40"/>
    </row>
    <row r="906" spans="1:15">
      <c r="A906" s="40"/>
      <c r="I906" s="40"/>
      <c r="J906" s="40"/>
      <c r="K906" s="40"/>
      <c r="L906" s="40"/>
      <c r="M906" s="40"/>
      <c r="N906" s="40"/>
      <c r="O906" s="40"/>
    </row>
    <row r="907" spans="1:15">
      <c r="A907" s="40"/>
      <c r="I907" s="40"/>
      <c r="J907" s="40"/>
      <c r="K907" s="40"/>
      <c r="L907" s="40"/>
      <c r="M907" s="40"/>
      <c r="N907" s="40"/>
      <c r="O907" s="40"/>
    </row>
    <row r="908" spans="1:15">
      <c r="A908" s="40"/>
      <c r="I908" s="40"/>
      <c r="J908" s="40"/>
      <c r="K908" s="40"/>
      <c r="L908" s="40"/>
      <c r="M908" s="40"/>
      <c r="N908" s="40"/>
      <c r="O908" s="40"/>
    </row>
    <row r="909" spans="1:15">
      <c r="A909" s="40"/>
      <c r="I909" s="40"/>
      <c r="J909" s="40"/>
      <c r="K909" s="40"/>
      <c r="L909" s="40"/>
      <c r="M909" s="40"/>
      <c r="N909" s="40"/>
      <c r="O909" s="40"/>
    </row>
    <row r="910" spans="1:15">
      <c r="A910" s="40"/>
      <c r="I910" s="40"/>
      <c r="J910" s="40"/>
      <c r="K910" s="40"/>
      <c r="L910" s="40"/>
      <c r="M910" s="40"/>
      <c r="N910" s="40"/>
      <c r="O910" s="40"/>
    </row>
    <row r="911" spans="1:15">
      <c r="A911" s="40"/>
      <c r="I911" s="40"/>
      <c r="J911" s="40"/>
      <c r="K911" s="40"/>
      <c r="L911" s="40"/>
      <c r="M911" s="40"/>
      <c r="N911" s="40"/>
      <c r="O911" s="40"/>
    </row>
    <row r="912" spans="1:15">
      <c r="A912" s="40"/>
      <c r="I912" s="40"/>
      <c r="J912" s="40"/>
      <c r="K912" s="40"/>
      <c r="L912" s="40"/>
      <c r="M912" s="40"/>
      <c r="N912" s="40"/>
      <c r="O912" s="40"/>
    </row>
    <row r="913" spans="1:15">
      <c r="A913" s="40"/>
      <c r="I913" s="40"/>
      <c r="J913" s="40"/>
      <c r="K913" s="40"/>
      <c r="L913" s="40"/>
      <c r="M913" s="40"/>
      <c r="N913" s="40"/>
      <c r="O913" s="40"/>
    </row>
    <row r="914" spans="1:15">
      <c r="A914" s="40"/>
      <c r="I914" s="40"/>
      <c r="J914" s="40"/>
      <c r="K914" s="40"/>
      <c r="L914" s="40"/>
      <c r="M914" s="40"/>
      <c r="N914" s="40"/>
      <c r="O914" s="40"/>
    </row>
    <row r="915" spans="1:15">
      <c r="A915" s="40"/>
      <c r="I915" s="40"/>
      <c r="J915" s="40"/>
      <c r="K915" s="40"/>
      <c r="L915" s="40"/>
      <c r="M915" s="40"/>
      <c r="N915" s="40"/>
      <c r="O915" s="40"/>
    </row>
    <row r="916" spans="1:15">
      <c r="A916" s="40"/>
      <c r="I916" s="40"/>
      <c r="J916" s="40"/>
      <c r="K916" s="40"/>
      <c r="L916" s="40"/>
      <c r="M916" s="40"/>
      <c r="N916" s="40"/>
      <c r="O916" s="40"/>
    </row>
    <row r="917" spans="1:15">
      <c r="A917" s="40"/>
      <c r="I917" s="40"/>
      <c r="J917" s="40"/>
      <c r="K917" s="40"/>
      <c r="L917" s="40"/>
      <c r="M917" s="40"/>
      <c r="N917" s="40"/>
      <c r="O917" s="40"/>
    </row>
    <row r="918" spans="1:15">
      <c r="A918" s="40"/>
      <c r="I918" s="40"/>
      <c r="J918" s="40"/>
      <c r="K918" s="40"/>
      <c r="L918" s="40"/>
      <c r="M918" s="40"/>
      <c r="N918" s="40"/>
      <c r="O918" s="40"/>
    </row>
    <row r="919" spans="1:15">
      <c r="A919" s="40"/>
      <c r="I919" s="40"/>
      <c r="J919" s="40"/>
      <c r="K919" s="40"/>
      <c r="L919" s="40"/>
      <c r="M919" s="40"/>
      <c r="N919" s="40"/>
      <c r="O919" s="40"/>
    </row>
    <row r="920" spans="1:15">
      <c r="A920" s="40"/>
      <c r="I920" s="40"/>
      <c r="J920" s="40"/>
      <c r="K920" s="40"/>
      <c r="L920" s="40"/>
      <c r="M920" s="40"/>
      <c r="N920" s="40"/>
      <c r="O920" s="40"/>
    </row>
    <row r="921" spans="1:15">
      <c r="A921" s="40"/>
      <c r="I921" s="40"/>
      <c r="J921" s="40"/>
      <c r="K921" s="40"/>
      <c r="L921" s="40"/>
      <c r="M921" s="40"/>
      <c r="N921" s="40"/>
      <c r="O921" s="40"/>
    </row>
    <row r="922" spans="1:15">
      <c r="A922" s="40"/>
      <c r="I922" s="40"/>
      <c r="J922" s="40"/>
      <c r="K922" s="40"/>
      <c r="L922" s="40"/>
      <c r="M922" s="40"/>
      <c r="N922" s="40"/>
      <c r="O922" s="40"/>
    </row>
    <row r="923" spans="1:15">
      <c r="A923" s="40"/>
      <c r="I923" s="40"/>
      <c r="J923" s="40"/>
      <c r="K923" s="40"/>
      <c r="L923" s="40"/>
      <c r="M923" s="40"/>
      <c r="N923" s="40"/>
      <c r="O923" s="40"/>
    </row>
    <row r="924" spans="1:15">
      <c r="A924" s="40"/>
      <c r="I924" s="40"/>
      <c r="J924" s="40"/>
      <c r="K924" s="40"/>
      <c r="L924" s="40"/>
      <c r="M924" s="40"/>
      <c r="N924" s="40"/>
      <c r="O924" s="40"/>
    </row>
    <row r="925" spans="1:15">
      <c r="A925" s="40"/>
      <c r="I925" s="40"/>
      <c r="J925" s="40"/>
      <c r="K925" s="40"/>
      <c r="L925" s="40"/>
      <c r="M925" s="40"/>
      <c r="N925" s="40"/>
      <c r="O925" s="40"/>
    </row>
    <row r="926" spans="1:15">
      <c r="A926" s="40"/>
      <c r="I926" s="40"/>
      <c r="J926" s="40"/>
      <c r="K926" s="40"/>
      <c r="L926" s="40"/>
      <c r="M926" s="40"/>
      <c r="N926" s="40"/>
      <c r="O926" s="40"/>
    </row>
    <row r="927" spans="1:15">
      <c r="A927" s="40"/>
      <c r="I927" s="40"/>
      <c r="J927" s="40"/>
      <c r="K927" s="40"/>
      <c r="L927" s="40"/>
      <c r="M927" s="40"/>
      <c r="N927" s="40"/>
      <c r="O927" s="40"/>
    </row>
    <row r="928" spans="1:15">
      <c r="A928" s="40"/>
      <c r="I928" s="40"/>
      <c r="J928" s="40"/>
      <c r="K928" s="40"/>
      <c r="L928" s="40"/>
      <c r="M928" s="40"/>
      <c r="N928" s="40"/>
      <c r="O928" s="40"/>
    </row>
    <row r="929" spans="1:15">
      <c r="A929" s="40"/>
      <c r="I929" s="40"/>
      <c r="J929" s="40"/>
      <c r="K929" s="40"/>
      <c r="L929" s="40"/>
      <c r="M929" s="40"/>
      <c r="N929" s="40"/>
      <c r="O929" s="40"/>
    </row>
    <row r="930" spans="1:15">
      <c r="A930" s="40"/>
      <c r="I930" s="40"/>
      <c r="J930" s="40"/>
      <c r="K930" s="40"/>
      <c r="L930" s="40"/>
      <c r="M930" s="40"/>
      <c r="N930" s="40"/>
      <c r="O930" s="40"/>
    </row>
    <row r="931" spans="1:15">
      <c r="A931" s="40"/>
      <c r="I931" s="40"/>
      <c r="J931" s="40"/>
      <c r="K931" s="40"/>
      <c r="L931" s="40"/>
      <c r="M931" s="40"/>
      <c r="N931" s="40"/>
      <c r="O931" s="40"/>
    </row>
    <row r="932" spans="1:15">
      <c r="A932" s="40"/>
      <c r="I932" s="40"/>
      <c r="J932" s="40"/>
      <c r="K932" s="40"/>
      <c r="L932" s="40"/>
      <c r="M932" s="40"/>
      <c r="N932" s="40"/>
      <c r="O932" s="40"/>
    </row>
    <row r="933" spans="1:15">
      <c r="A933" s="40"/>
      <c r="I933" s="40"/>
      <c r="J933" s="40"/>
      <c r="K933" s="40"/>
      <c r="L933" s="40"/>
      <c r="M933" s="40"/>
      <c r="N933" s="40"/>
      <c r="O933" s="40"/>
    </row>
    <row r="934" spans="1:15">
      <c r="A934" s="40"/>
      <c r="I934" s="40"/>
      <c r="J934" s="40"/>
      <c r="K934" s="40"/>
      <c r="L934" s="40"/>
      <c r="M934" s="40"/>
      <c r="N934" s="40"/>
      <c r="O934" s="40"/>
    </row>
    <row r="935" spans="1:15">
      <c r="A935" s="40"/>
      <c r="I935" s="40"/>
      <c r="J935" s="40"/>
      <c r="K935" s="40"/>
      <c r="L935" s="40"/>
      <c r="M935" s="40"/>
      <c r="N935" s="40"/>
      <c r="O935" s="40"/>
    </row>
    <row r="936" spans="1:15">
      <c r="A936" s="40"/>
      <c r="I936" s="40"/>
      <c r="J936" s="40"/>
      <c r="K936" s="40"/>
      <c r="L936" s="40"/>
      <c r="M936" s="40"/>
      <c r="N936" s="40"/>
      <c r="O936" s="40"/>
    </row>
    <row r="937" spans="1:15">
      <c r="A937" s="40"/>
      <c r="I937" s="40"/>
      <c r="J937" s="40"/>
      <c r="K937" s="40"/>
      <c r="L937" s="40"/>
      <c r="M937" s="40"/>
      <c r="N937" s="40"/>
      <c r="O937" s="40"/>
    </row>
    <row r="938" spans="1:15">
      <c r="A938" s="40"/>
      <c r="I938" s="40"/>
      <c r="J938" s="40"/>
      <c r="K938" s="40"/>
      <c r="L938" s="40"/>
      <c r="M938" s="40"/>
      <c r="N938" s="40"/>
      <c r="O938" s="40"/>
    </row>
    <row r="939" spans="1:15">
      <c r="A939" s="40"/>
      <c r="I939" s="40"/>
      <c r="J939" s="40"/>
      <c r="K939" s="40"/>
      <c r="L939" s="40"/>
      <c r="M939" s="40"/>
      <c r="N939" s="40"/>
      <c r="O939" s="40"/>
    </row>
    <row r="940" spans="1:15">
      <c r="A940" s="40"/>
      <c r="I940" s="40"/>
      <c r="J940" s="40"/>
      <c r="K940" s="40"/>
      <c r="L940" s="40"/>
      <c r="M940" s="40"/>
      <c r="N940" s="40"/>
      <c r="O940" s="40"/>
    </row>
    <row r="941" spans="1:15">
      <c r="A941" s="40"/>
      <c r="I941" s="40"/>
      <c r="J941" s="40"/>
      <c r="K941" s="40"/>
      <c r="L941" s="40"/>
      <c r="M941" s="40"/>
      <c r="N941" s="40"/>
      <c r="O941" s="40"/>
    </row>
    <row r="942" spans="1:15">
      <c r="A942" s="40"/>
      <c r="I942" s="40"/>
      <c r="J942" s="40"/>
      <c r="K942" s="40"/>
      <c r="L942" s="40"/>
      <c r="M942" s="40"/>
      <c r="N942" s="40"/>
      <c r="O942" s="40"/>
    </row>
    <row r="943" spans="1:15">
      <c r="A943" s="40"/>
      <c r="I943" s="40"/>
      <c r="J943" s="40"/>
      <c r="K943" s="40"/>
      <c r="L943" s="40"/>
      <c r="M943" s="40"/>
      <c r="N943" s="40"/>
      <c r="O943" s="40"/>
    </row>
    <row r="944" spans="1:15">
      <c r="A944" s="40"/>
      <c r="I944" s="40"/>
      <c r="J944" s="40"/>
      <c r="K944" s="40"/>
      <c r="L944" s="40"/>
      <c r="M944" s="40"/>
      <c r="N944" s="40"/>
      <c r="O944" s="40"/>
    </row>
    <row r="945" spans="1:15">
      <c r="A945" s="40"/>
      <c r="I945" s="40"/>
      <c r="J945" s="40"/>
      <c r="K945" s="40"/>
      <c r="L945" s="40"/>
      <c r="M945" s="40"/>
      <c r="N945" s="40"/>
      <c r="O945" s="40"/>
    </row>
    <row r="946" spans="1:15">
      <c r="A946" s="40"/>
      <c r="I946" s="40"/>
      <c r="J946" s="40"/>
      <c r="K946" s="40"/>
      <c r="L946" s="40"/>
      <c r="M946" s="40"/>
      <c r="N946" s="40"/>
      <c r="O946" s="40"/>
    </row>
    <row r="947" spans="1:15">
      <c r="A947" s="40"/>
      <c r="I947" s="40"/>
      <c r="J947" s="40"/>
      <c r="K947" s="40"/>
      <c r="L947" s="40"/>
      <c r="M947" s="40"/>
      <c r="N947" s="40"/>
      <c r="O947" s="40"/>
    </row>
    <row r="948" spans="1:15">
      <c r="A948" s="40"/>
      <c r="I948" s="40"/>
      <c r="J948" s="40"/>
      <c r="K948" s="40"/>
      <c r="L948" s="40"/>
      <c r="M948" s="40"/>
      <c r="N948" s="40"/>
      <c r="O948" s="40"/>
    </row>
    <row r="949" spans="1:15">
      <c r="A949" s="40"/>
      <c r="I949" s="40"/>
      <c r="J949" s="40"/>
      <c r="K949" s="40"/>
      <c r="L949" s="40"/>
      <c r="M949" s="40"/>
      <c r="N949" s="40"/>
      <c r="O949" s="40"/>
    </row>
    <row r="950" spans="1:15">
      <c r="A950" s="40"/>
      <c r="I950" s="40"/>
      <c r="J950" s="40"/>
      <c r="K950" s="40"/>
      <c r="L950" s="40"/>
      <c r="M950" s="40"/>
      <c r="N950" s="40"/>
      <c r="O950" s="40"/>
    </row>
    <row r="951" spans="1:15">
      <c r="A951" s="40"/>
      <c r="I951" s="40"/>
      <c r="J951" s="40"/>
      <c r="K951" s="40"/>
      <c r="L951" s="40"/>
      <c r="M951" s="40"/>
      <c r="N951" s="40"/>
      <c r="O951" s="40"/>
    </row>
    <row r="952" spans="1:15">
      <c r="A952" s="40"/>
      <c r="I952" s="40"/>
      <c r="J952" s="40"/>
      <c r="K952" s="40"/>
      <c r="L952" s="40"/>
      <c r="M952" s="40"/>
      <c r="N952" s="40"/>
      <c r="O952" s="40"/>
    </row>
    <row r="953" spans="1:15">
      <c r="A953" s="40"/>
      <c r="I953" s="40"/>
      <c r="J953" s="40"/>
      <c r="K953" s="40"/>
      <c r="L953" s="40"/>
      <c r="M953" s="40"/>
      <c r="N953" s="40"/>
      <c r="O953" s="40"/>
    </row>
    <row r="954" spans="1:15">
      <c r="A954" s="40"/>
      <c r="I954" s="40"/>
      <c r="J954" s="40"/>
      <c r="K954" s="40"/>
      <c r="L954" s="40"/>
      <c r="M954" s="40"/>
      <c r="N954" s="40"/>
      <c r="O954" s="40"/>
    </row>
    <row r="955" spans="1:15">
      <c r="A955" s="40"/>
      <c r="I955" s="40"/>
      <c r="J955" s="40"/>
      <c r="K955" s="40"/>
      <c r="L955" s="40"/>
      <c r="M955" s="40"/>
      <c r="N955" s="40"/>
      <c r="O955" s="40"/>
    </row>
    <row r="956" spans="1:15">
      <c r="A956" s="40"/>
      <c r="I956" s="40"/>
      <c r="J956" s="40"/>
      <c r="K956" s="40"/>
      <c r="L956" s="40"/>
      <c r="M956" s="40"/>
      <c r="N956" s="40"/>
      <c r="O956" s="40"/>
    </row>
    <row r="957" spans="1:15">
      <c r="A957" s="40"/>
      <c r="I957" s="40"/>
      <c r="J957" s="40"/>
      <c r="K957" s="40"/>
      <c r="L957" s="40"/>
      <c r="M957" s="40"/>
      <c r="N957" s="40"/>
      <c r="O957" s="40"/>
    </row>
    <row r="958" spans="1:15">
      <c r="A958" s="40"/>
      <c r="I958" s="40"/>
      <c r="J958" s="40"/>
      <c r="K958" s="40"/>
      <c r="L958" s="40"/>
      <c r="M958" s="40"/>
      <c r="N958" s="40"/>
      <c r="O958" s="40"/>
    </row>
    <row r="959" spans="1:15">
      <c r="A959" s="40"/>
      <c r="I959" s="40"/>
      <c r="J959" s="40"/>
      <c r="K959" s="40"/>
      <c r="L959" s="40"/>
      <c r="M959" s="40"/>
      <c r="N959" s="40"/>
      <c r="O959" s="40"/>
    </row>
    <row r="960" spans="1:15">
      <c r="A960" s="40"/>
      <c r="I960" s="40"/>
      <c r="J960" s="40"/>
      <c r="K960" s="40"/>
      <c r="L960" s="40"/>
      <c r="M960" s="40"/>
      <c r="N960" s="40"/>
      <c r="O960" s="40"/>
    </row>
    <row r="961" spans="1:15">
      <c r="A961" s="40"/>
      <c r="I961" s="40"/>
      <c r="J961" s="40"/>
      <c r="K961" s="40"/>
      <c r="L961" s="40"/>
      <c r="M961" s="40"/>
      <c r="N961" s="40"/>
      <c r="O961" s="40"/>
    </row>
    <row r="962" spans="1:15">
      <c r="A962" s="40"/>
      <c r="I962" s="40"/>
      <c r="J962" s="40"/>
      <c r="K962" s="40"/>
      <c r="L962" s="40"/>
      <c r="M962" s="40"/>
      <c r="N962" s="40"/>
      <c r="O962" s="40"/>
    </row>
    <row r="963" spans="1:15">
      <c r="A963" s="40"/>
      <c r="I963" s="40"/>
      <c r="J963" s="40"/>
      <c r="K963" s="40"/>
      <c r="L963" s="40"/>
      <c r="M963" s="40"/>
      <c r="N963" s="40"/>
      <c r="O963" s="40"/>
    </row>
    <row r="964" spans="1:15">
      <c r="A964" s="40"/>
      <c r="I964" s="40"/>
      <c r="J964" s="40"/>
      <c r="K964" s="40"/>
      <c r="L964" s="40"/>
      <c r="M964" s="40"/>
      <c r="N964" s="40"/>
      <c r="O964" s="40"/>
    </row>
    <row r="965" spans="1:15">
      <c r="A965" s="40"/>
      <c r="I965" s="40"/>
      <c r="J965" s="40"/>
      <c r="K965" s="40"/>
      <c r="L965" s="40"/>
      <c r="M965" s="40"/>
      <c r="N965" s="40"/>
      <c r="O965" s="40"/>
    </row>
    <row r="966" spans="1:15">
      <c r="A966" s="40"/>
      <c r="I966" s="40"/>
      <c r="J966" s="40"/>
      <c r="K966" s="40"/>
      <c r="L966" s="40"/>
      <c r="M966" s="40"/>
      <c r="N966" s="40"/>
      <c r="O966" s="40"/>
    </row>
    <row r="967" spans="1:15">
      <c r="A967" s="40"/>
      <c r="I967" s="40"/>
      <c r="J967" s="40"/>
      <c r="K967" s="40"/>
      <c r="L967" s="40"/>
      <c r="M967" s="40"/>
      <c r="N967" s="40"/>
      <c r="O967" s="40"/>
    </row>
    <row r="968" spans="1:15">
      <c r="A968" s="40"/>
      <c r="I968" s="40"/>
      <c r="J968" s="40"/>
      <c r="K968" s="40"/>
      <c r="L968" s="40"/>
      <c r="M968" s="40"/>
      <c r="N968" s="40"/>
      <c r="O968" s="40"/>
    </row>
    <row r="969" spans="1:15">
      <c r="A969" s="40"/>
      <c r="I969" s="40"/>
      <c r="J969" s="40"/>
      <c r="K969" s="40"/>
      <c r="L969" s="40"/>
      <c r="M969" s="40"/>
      <c r="N969" s="40"/>
      <c r="O969" s="40"/>
    </row>
    <row r="970" spans="1:15">
      <c r="A970" s="40"/>
      <c r="I970" s="40"/>
      <c r="J970" s="40"/>
      <c r="K970" s="40"/>
      <c r="L970" s="40"/>
      <c r="M970" s="40"/>
      <c r="N970" s="40"/>
      <c r="O970" s="40"/>
    </row>
    <row r="971" spans="1:15">
      <c r="A971" s="40"/>
      <c r="I971" s="40"/>
      <c r="J971" s="40"/>
      <c r="K971" s="40"/>
      <c r="L971" s="40"/>
      <c r="M971" s="40"/>
      <c r="N971" s="40"/>
      <c r="O971" s="40"/>
    </row>
    <row r="972" spans="1:15">
      <c r="A972" s="40"/>
      <c r="I972" s="40"/>
      <c r="J972" s="40"/>
      <c r="K972" s="40"/>
      <c r="L972" s="40"/>
      <c r="M972" s="40"/>
      <c r="N972" s="40"/>
      <c r="O972" s="40"/>
    </row>
    <row r="973" spans="1:15">
      <c r="A973" s="40"/>
      <c r="I973" s="40"/>
      <c r="J973" s="40"/>
      <c r="K973" s="40"/>
      <c r="L973" s="40"/>
      <c r="M973" s="40"/>
      <c r="N973" s="40"/>
      <c r="O973" s="40"/>
    </row>
    <row r="974" spans="1:15">
      <c r="A974" s="40"/>
      <c r="I974" s="40"/>
      <c r="J974" s="40"/>
      <c r="K974" s="40"/>
      <c r="L974" s="40"/>
      <c r="M974" s="40"/>
      <c r="N974" s="40"/>
      <c r="O974" s="40"/>
    </row>
    <row r="975" spans="1:15">
      <c r="A975" s="40"/>
      <c r="I975" s="40"/>
      <c r="J975" s="40"/>
      <c r="K975" s="40"/>
      <c r="L975" s="40"/>
      <c r="M975" s="40"/>
      <c r="N975" s="40"/>
      <c r="O975" s="40"/>
    </row>
    <row r="976" spans="1:15">
      <c r="A976" s="40"/>
      <c r="I976" s="40"/>
      <c r="J976" s="40"/>
      <c r="K976" s="40"/>
      <c r="L976" s="40"/>
      <c r="M976" s="40"/>
      <c r="N976" s="40"/>
      <c r="O976" s="40"/>
    </row>
    <row r="977" spans="1:15">
      <c r="A977" s="40"/>
      <c r="I977" s="40"/>
      <c r="J977" s="40"/>
      <c r="K977" s="40"/>
      <c r="L977" s="40"/>
      <c r="M977" s="40"/>
      <c r="N977" s="40"/>
      <c r="O977" s="40"/>
    </row>
    <row r="978" spans="1:15">
      <c r="A978" s="40"/>
      <c r="I978" s="40"/>
      <c r="J978" s="40"/>
      <c r="K978" s="40"/>
      <c r="L978" s="40"/>
      <c r="M978" s="40"/>
      <c r="N978" s="40"/>
      <c r="O978" s="40"/>
    </row>
    <row r="979" spans="1:15">
      <c r="A979" s="40"/>
      <c r="I979" s="40"/>
      <c r="J979" s="40"/>
      <c r="K979" s="40"/>
      <c r="L979" s="40"/>
      <c r="M979" s="40"/>
      <c r="N979" s="40"/>
      <c r="O979" s="40"/>
    </row>
    <row r="980" spans="1:15">
      <c r="A980" s="40"/>
      <c r="I980" s="40"/>
      <c r="J980" s="40"/>
      <c r="K980" s="40"/>
      <c r="L980" s="40"/>
      <c r="M980" s="40"/>
      <c r="N980" s="40"/>
      <c r="O980" s="40"/>
    </row>
    <row r="981" spans="1:15">
      <c r="A981" s="40"/>
      <c r="I981" s="40"/>
      <c r="J981" s="40"/>
      <c r="K981" s="40"/>
      <c r="L981" s="40"/>
      <c r="M981" s="40"/>
      <c r="N981" s="40"/>
      <c r="O981" s="40"/>
    </row>
    <row r="982" spans="1:15">
      <c r="A982" s="40"/>
      <c r="I982" s="40"/>
      <c r="J982" s="40"/>
      <c r="K982" s="40"/>
      <c r="L982" s="40"/>
      <c r="M982" s="40"/>
      <c r="N982" s="40"/>
      <c r="O982" s="40"/>
    </row>
    <row r="983" spans="1:15">
      <c r="A983" s="40"/>
      <c r="I983" s="40"/>
      <c r="J983" s="40"/>
      <c r="K983" s="40"/>
      <c r="L983" s="40"/>
      <c r="M983" s="40"/>
      <c r="N983" s="40"/>
      <c r="O983" s="40"/>
    </row>
    <row r="984" spans="1:15">
      <c r="A984" s="40"/>
      <c r="I984" s="40"/>
      <c r="J984" s="40"/>
      <c r="K984" s="40"/>
      <c r="L984" s="40"/>
      <c r="M984" s="40"/>
      <c r="N984" s="40"/>
      <c r="O984" s="40"/>
    </row>
    <row r="985" spans="1:15">
      <c r="A985" s="40"/>
      <c r="I985" s="40"/>
      <c r="J985" s="40"/>
      <c r="K985" s="40"/>
      <c r="L985" s="40"/>
      <c r="M985" s="40"/>
      <c r="N985" s="40"/>
      <c r="O985" s="40"/>
    </row>
    <row r="986" spans="1:15">
      <c r="A986" s="40"/>
      <c r="I986" s="40"/>
      <c r="J986" s="40"/>
      <c r="K986" s="40"/>
      <c r="L986" s="40"/>
      <c r="M986" s="40"/>
      <c r="N986" s="40"/>
      <c r="O986" s="40"/>
    </row>
    <row r="987" spans="1:15">
      <c r="A987" s="40"/>
      <c r="I987" s="40"/>
      <c r="J987" s="40"/>
      <c r="K987" s="40"/>
      <c r="L987" s="40"/>
      <c r="M987" s="40"/>
      <c r="N987" s="40"/>
      <c r="O987" s="40"/>
    </row>
    <row r="988" spans="1:15">
      <c r="A988" s="40"/>
      <c r="I988" s="40"/>
      <c r="J988" s="40"/>
      <c r="K988" s="40"/>
      <c r="L988" s="40"/>
      <c r="M988" s="40"/>
      <c r="N988" s="40"/>
      <c r="O988" s="40"/>
    </row>
    <row r="989" spans="1:15">
      <c r="A989" s="40"/>
      <c r="I989" s="40"/>
      <c r="J989" s="40"/>
      <c r="K989" s="40"/>
      <c r="L989" s="40"/>
      <c r="M989" s="40"/>
      <c r="N989" s="40"/>
      <c r="O989" s="40"/>
    </row>
    <row r="990" spans="1:15">
      <c r="A990" s="40"/>
      <c r="I990" s="40"/>
      <c r="J990" s="40"/>
      <c r="K990" s="40"/>
      <c r="L990" s="40"/>
      <c r="M990" s="40"/>
      <c r="N990" s="40"/>
      <c r="O990" s="40"/>
    </row>
    <row r="991" spans="1:15">
      <c r="A991" s="40"/>
      <c r="I991" s="40"/>
      <c r="J991" s="40"/>
      <c r="K991" s="40"/>
      <c r="L991" s="40"/>
      <c r="M991" s="40"/>
      <c r="N991" s="40"/>
      <c r="O991" s="40"/>
    </row>
    <row r="992" spans="1:15">
      <c r="A992" s="40"/>
      <c r="I992" s="40"/>
      <c r="J992" s="40"/>
      <c r="K992" s="40"/>
      <c r="L992" s="40"/>
      <c r="M992" s="40"/>
      <c r="N992" s="40"/>
      <c r="O992" s="40"/>
    </row>
    <row r="993" spans="1:15">
      <c r="A993" s="40"/>
      <c r="I993" s="40"/>
      <c r="J993" s="40"/>
      <c r="K993" s="40"/>
      <c r="L993" s="40"/>
      <c r="M993" s="40"/>
      <c r="N993" s="40"/>
      <c r="O993" s="40"/>
    </row>
    <row r="994" spans="1:15">
      <c r="A994" s="40"/>
      <c r="I994" s="40"/>
      <c r="J994" s="40"/>
      <c r="K994" s="40"/>
      <c r="L994" s="40"/>
      <c r="M994" s="40"/>
      <c r="N994" s="40"/>
      <c r="O994" s="40"/>
    </row>
    <row r="995" spans="1:15">
      <c r="A995" s="40"/>
      <c r="I995" s="40"/>
      <c r="J995" s="40"/>
      <c r="K995" s="40"/>
      <c r="L995" s="40"/>
      <c r="M995" s="40"/>
      <c r="N995" s="40"/>
      <c r="O995" s="40"/>
    </row>
    <row r="996" spans="1:15">
      <c r="A996" s="40"/>
      <c r="I996" s="40"/>
      <c r="J996" s="40"/>
      <c r="K996" s="40"/>
      <c r="L996" s="40"/>
      <c r="M996" s="40"/>
      <c r="N996" s="40"/>
      <c r="O996" s="40"/>
    </row>
    <row r="997" spans="1:15">
      <c r="A997" s="40"/>
      <c r="I997" s="40"/>
      <c r="J997" s="40"/>
      <c r="K997" s="40"/>
      <c r="L997" s="40"/>
      <c r="M997" s="40"/>
      <c r="N997" s="40"/>
      <c r="O997" s="40"/>
    </row>
    <row r="998" spans="1:15">
      <c r="A998" s="40"/>
      <c r="I998" s="40"/>
      <c r="J998" s="40"/>
      <c r="K998" s="40"/>
      <c r="L998" s="40"/>
      <c r="M998" s="40"/>
      <c r="N998" s="40"/>
      <c r="O998" s="40"/>
    </row>
    <row r="999" spans="1:15">
      <c r="A999" s="40"/>
      <c r="I999" s="40"/>
      <c r="J999" s="40"/>
      <c r="K999" s="40"/>
      <c r="L999" s="40"/>
      <c r="M999" s="40"/>
      <c r="N999" s="40"/>
      <c r="O999" s="40"/>
    </row>
    <row r="1000" spans="1:15">
      <c r="A1000" s="40"/>
      <c r="I1000" s="40"/>
      <c r="J1000" s="40"/>
      <c r="K1000" s="40"/>
      <c r="L1000" s="40"/>
      <c r="M1000" s="40"/>
      <c r="N1000" s="40"/>
      <c r="O1000" s="40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703125" defaultRowHeight="15.75" customHeight="1"/>
  <cols>
    <col min="1" max="1" width="11.140625" customWidth="1"/>
    <col min="2" max="2" width="16.85546875" customWidth="1"/>
  </cols>
  <sheetData>
    <row r="1" spans="1:20">
      <c r="A1" s="21"/>
      <c r="B1" s="22"/>
      <c r="C1" s="22"/>
      <c r="D1" s="22"/>
      <c r="E1" s="22"/>
      <c r="F1" s="23" t="s">
        <v>49</v>
      </c>
      <c r="G1" s="23" t="s">
        <v>52</v>
      </c>
      <c r="H1" s="24" t="s">
        <v>496</v>
      </c>
      <c r="I1" s="24" t="s">
        <v>54</v>
      </c>
      <c r="J1" s="24" t="s">
        <v>497</v>
      </c>
      <c r="K1" s="24" t="s">
        <v>619</v>
      </c>
      <c r="L1" s="24" t="s">
        <v>498</v>
      </c>
      <c r="M1" s="24" t="s">
        <v>499</v>
      </c>
      <c r="N1" s="24" t="s">
        <v>500</v>
      </c>
      <c r="O1" s="24" t="s">
        <v>57</v>
      </c>
      <c r="P1" s="24" t="s">
        <v>501</v>
      </c>
      <c r="Q1" s="24" t="s">
        <v>502</v>
      </c>
      <c r="R1" s="25" t="s">
        <v>59</v>
      </c>
      <c r="S1" t="s">
        <v>72</v>
      </c>
      <c r="T1" t="s">
        <v>604</v>
      </c>
    </row>
    <row r="2" spans="1:20">
      <c r="A2" s="21"/>
      <c r="B2" s="22"/>
      <c r="C2" s="22"/>
      <c r="D2" s="22"/>
      <c r="E2" s="22"/>
      <c r="F2" s="23" t="s">
        <v>96</v>
      </c>
      <c r="G2" s="23" t="s">
        <v>94</v>
      </c>
      <c r="H2" s="24" t="s">
        <v>98</v>
      </c>
      <c r="I2" s="24" t="s">
        <v>98</v>
      </c>
      <c r="J2" s="24" t="s">
        <v>98</v>
      </c>
      <c r="K2" s="24" t="s">
        <v>98</v>
      </c>
      <c r="L2" s="24" t="s">
        <v>98</v>
      </c>
      <c r="M2" s="24" t="s">
        <v>98</v>
      </c>
      <c r="N2" s="24" t="s">
        <v>98</v>
      </c>
      <c r="O2" s="24" t="s">
        <v>98</v>
      </c>
      <c r="P2" s="24" t="s">
        <v>98</v>
      </c>
      <c r="Q2" s="24" t="s">
        <v>98</v>
      </c>
      <c r="R2" s="24" t="s">
        <v>98</v>
      </c>
      <c r="S2" t="s">
        <v>99</v>
      </c>
      <c r="T2" t="s">
        <v>100</v>
      </c>
    </row>
    <row r="3" spans="1:20">
      <c r="A3" s="26"/>
      <c r="B3" s="26"/>
      <c r="C3" s="27"/>
      <c r="D3" s="27"/>
      <c r="E3" s="27"/>
      <c r="F3" s="28">
        <f t="shared" ref="F3:R3" ca="1" si="0">DATEDIF(F4,NOW(),"M")</f>
        <v>1</v>
      </c>
      <c r="G3" s="28">
        <f t="shared" ca="1" si="0"/>
        <v>0</v>
      </c>
      <c r="H3" s="29">
        <f t="shared" ca="1" si="0"/>
        <v>8</v>
      </c>
      <c r="I3" s="29">
        <f t="shared" ca="1" si="0"/>
        <v>7</v>
      </c>
      <c r="J3" s="29">
        <f t="shared" ca="1" si="0"/>
        <v>6</v>
      </c>
      <c r="K3" s="29">
        <f t="shared" ca="1" si="0"/>
        <v>6</v>
      </c>
      <c r="L3" s="29">
        <f t="shared" ca="1" si="0"/>
        <v>6</v>
      </c>
      <c r="M3" s="29">
        <f t="shared" ca="1" si="0"/>
        <v>5</v>
      </c>
      <c r="N3" s="29">
        <f t="shared" ca="1" si="0"/>
        <v>4</v>
      </c>
      <c r="O3" s="29">
        <f t="shared" ca="1" si="0"/>
        <v>4</v>
      </c>
      <c r="P3" s="29">
        <f t="shared" ca="1" si="0"/>
        <v>4</v>
      </c>
      <c r="Q3" s="29">
        <f t="shared" ca="1" si="0"/>
        <v>2</v>
      </c>
      <c r="R3" s="30">
        <f t="shared" ca="1" si="0"/>
        <v>1</v>
      </c>
    </row>
    <row r="4" spans="1:20">
      <c r="A4" s="26"/>
      <c r="B4" s="26"/>
      <c r="C4" s="60" t="s">
        <v>101</v>
      </c>
      <c r="D4" s="61"/>
      <c r="E4" s="62"/>
      <c r="F4" s="31">
        <v>45870</v>
      </c>
      <c r="G4" s="31">
        <v>45901</v>
      </c>
      <c r="H4" s="32">
        <v>45658</v>
      </c>
      <c r="I4" s="32">
        <v>45689</v>
      </c>
      <c r="J4" s="32">
        <v>45717</v>
      </c>
      <c r="K4" s="32">
        <v>45717</v>
      </c>
      <c r="L4" s="32">
        <v>45717</v>
      </c>
      <c r="M4" s="32">
        <v>45748</v>
      </c>
      <c r="N4" s="32">
        <v>45778</v>
      </c>
      <c r="O4" s="32">
        <v>45778</v>
      </c>
      <c r="P4" s="32">
        <v>45778</v>
      </c>
      <c r="Q4" s="32">
        <v>45839</v>
      </c>
      <c r="R4" s="33">
        <v>45870</v>
      </c>
    </row>
    <row r="5" spans="1:20">
      <c r="A5" s="26"/>
      <c r="B5" s="26"/>
      <c r="C5" s="63"/>
      <c r="D5" s="64"/>
      <c r="E5" s="65"/>
      <c r="F5" s="34">
        <v>2025</v>
      </c>
      <c r="G5" s="34">
        <v>2025</v>
      </c>
      <c r="H5" s="29">
        <v>2025</v>
      </c>
      <c r="I5" s="29">
        <v>2025</v>
      </c>
      <c r="J5" s="29">
        <v>2025</v>
      </c>
      <c r="K5" s="29">
        <v>2025</v>
      </c>
      <c r="L5" s="29">
        <v>2025</v>
      </c>
      <c r="M5" s="29">
        <v>2025</v>
      </c>
      <c r="N5" s="29">
        <v>2025</v>
      </c>
      <c r="O5" s="29">
        <v>2025</v>
      </c>
      <c r="P5" s="29">
        <v>2025</v>
      </c>
      <c r="Q5" s="29"/>
      <c r="R5" s="30">
        <v>2025</v>
      </c>
    </row>
    <row r="6" spans="1:20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 t="s">
        <v>18</v>
      </c>
      <c r="G6" s="28" t="s">
        <v>18</v>
      </c>
      <c r="H6" s="37" t="s">
        <v>15</v>
      </c>
      <c r="I6" s="37" t="s">
        <v>15</v>
      </c>
      <c r="J6" s="37" t="s">
        <v>15</v>
      </c>
      <c r="K6" s="37" t="s">
        <v>15</v>
      </c>
      <c r="L6" s="37" t="s">
        <v>15</v>
      </c>
      <c r="M6" s="37" t="s">
        <v>15</v>
      </c>
      <c r="N6" s="37" t="s">
        <v>15</v>
      </c>
      <c r="O6" s="37" t="s">
        <v>107</v>
      </c>
      <c r="P6" s="37" t="s">
        <v>107</v>
      </c>
      <c r="Q6" s="37" t="s">
        <v>15</v>
      </c>
      <c r="R6" s="30" t="s">
        <v>107</v>
      </c>
      <c r="S6" t="s">
        <v>18</v>
      </c>
      <c r="T6" t="s">
        <v>18</v>
      </c>
    </row>
    <row r="7" spans="1:20">
      <c r="A7" s="38">
        <v>1</v>
      </c>
      <c r="B7" s="39" t="s">
        <v>28</v>
      </c>
      <c r="C7" s="38">
        <f ca="1">COUNTIFS(F7:R7,"&gt;0",$F$3:R$3,"&lt;13")</f>
        <v>8</v>
      </c>
      <c r="D7" s="38">
        <f ca="1">SUMIF($F$3:R$3,"&lt;13",F7:R7)</f>
        <v>4400</v>
      </c>
      <c r="E7" s="38">
        <f ca="1">IFERROR(__xludf.DUMMYFUNCTION("ARRAY_CONSTRAIN(ARRAYFORMULA(SUMPRODUCT(LARGE(FILTER(F7:R7, F$3:R$3 &lt; 13),{1,2,3,4,5,6,7}))), 1, 1)"),4100)</f>
        <v>4100</v>
      </c>
      <c r="F7" s="38">
        <v>0</v>
      </c>
      <c r="G7" s="38">
        <v>0</v>
      </c>
      <c r="H7" s="40">
        <v>0</v>
      </c>
      <c r="I7" s="40">
        <v>500</v>
      </c>
      <c r="J7" s="40">
        <v>500</v>
      </c>
      <c r="K7" s="40">
        <v>0</v>
      </c>
      <c r="L7" s="40">
        <v>350</v>
      </c>
      <c r="M7" s="40">
        <v>0</v>
      </c>
      <c r="N7" s="40">
        <v>300</v>
      </c>
      <c r="O7" s="40">
        <v>1000</v>
      </c>
      <c r="P7" s="40">
        <v>1000</v>
      </c>
      <c r="Q7" s="40">
        <v>350</v>
      </c>
      <c r="R7" s="40">
        <v>400</v>
      </c>
      <c r="S7">
        <v>0</v>
      </c>
      <c r="T7">
        <v>0</v>
      </c>
    </row>
    <row r="8" spans="1:20">
      <c r="A8" s="38">
        <v>3</v>
      </c>
      <c r="B8" s="39" t="s">
        <v>30</v>
      </c>
      <c r="C8" s="38">
        <f ca="1">COUNTIFS(F8:R8,"&gt;0",$F$3:R$3,"&lt;13")</f>
        <v>8</v>
      </c>
      <c r="D8" s="38">
        <f ca="1">SUMIF($F$3:R$3,"&lt;13",F8:R8)</f>
        <v>2340</v>
      </c>
      <c r="E8" s="38">
        <f ca="1">IFERROR(__xludf.DUMMYFUNCTION("ARRAY_CONSTRAIN(ARRAYFORMULA(SUMPRODUCT(LARGE(FILTER(F8:R8, F$3:R$3 &lt; 13),{1,2,3,4,5,6,7}))), 1, 1)"),2140)</f>
        <v>2140</v>
      </c>
      <c r="F8" s="38">
        <v>0</v>
      </c>
      <c r="G8" s="38">
        <v>0</v>
      </c>
      <c r="H8" s="40">
        <v>0</v>
      </c>
      <c r="I8" s="40">
        <v>300</v>
      </c>
      <c r="J8" s="40">
        <v>200</v>
      </c>
      <c r="K8" s="40">
        <v>200</v>
      </c>
      <c r="L8" s="40">
        <v>0</v>
      </c>
      <c r="M8" s="40">
        <v>300</v>
      </c>
      <c r="N8" s="40">
        <v>240</v>
      </c>
      <c r="O8" s="40">
        <v>0</v>
      </c>
      <c r="P8" s="40">
        <v>500</v>
      </c>
      <c r="Q8" s="40">
        <v>200</v>
      </c>
      <c r="R8" s="40">
        <v>400</v>
      </c>
      <c r="S8">
        <v>0</v>
      </c>
      <c r="T8">
        <v>0</v>
      </c>
    </row>
    <row r="9" spans="1:20">
      <c r="A9" s="38">
        <v>2</v>
      </c>
      <c r="B9" s="39" t="s">
        <v>29</v>
      </c>
      <c r="C9" s="38">
        <f ca="1">COUNTIFS(F9:R9,"&gt;0",$F$3:R$3,"&lt;13")</f>
        <v>4</v>
      </c>
      <c r="D9" s="38">
        <f ca="1">SUMIF($F$3:R$3,"&lt;13",F9:R9)</f>
        <v>1150</v>
      </c>
      <c r="E9" s="38">
        <f ca="1">IFERROR(__xludf.DUMMYFUNCTION("ARRAY_CONSTRAIN(ARRAYFORMULA(SUMPRODUCT(LARGE(FILTER(F9:R9, F$3:R$3 &lt; 13),{1,2,3,4,5,6,7}))), 1, 1)"),1150)</f>
        <v>1150</v>
      </c>
      <c r="F9" s="38">
        <v>0</v>
      </c>
      <c r="G9" s="38">
        <v>90</v>
      </c>
      <c r="H9" s="40">
        <v>0</v>
      </c>
      <c r="I9" s="40">
        <v>360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500</v>
      </c>
      <c r="P9" s="40">
        <v>0</v>
      </c>
      <c r="Q9" s="40">
        <v>0</v>
      </c>
      <c r="R9" s="40">
        <v>200</v>
      </c>
      <c r="S9">
        <v>100</v>
      </c>
      <c r="T9">
        <v>0</v>
      </c>
    </row>
    <row r="10" spans="1:20">
      <c r="A10" s="38">
        <v>4</v>
      </c>
      <c r="B10" s="39" t="s">
        <v>503</v>
      </c>
      <c r="C10" s="38">
        <f ca="1">COUNTIFS(F10:R10,"&gt;0",$F$3:R$3,"&lt;13")</f>
        <v>5</v>
      </c>
      <c r="D10" s="38">
        <f ca="1">SUMIF($F$3:R$3,"&lt;13",F10:R10)</f>
        <v>1140</v>
      </c>
      <c r="E10" s="38">
        <f ca="1">IFERROR(__xludf.DUMMYFUNCTION("ARRAY_CONSTRAIN(ARRAYFORMULA(SUMPRODUCT(LARGE(FILTER(F10:R10, F$3:R$3 &lt; 13),{1,2,3,4,5,6,7}))), 1, 1)"),1140)</f>
        <v>1140</v>
      </c>
      <c r="F10" s="38">
        <v>100</v>
      </c>
      <c r="G10" s="38">
        <v>0</v>
      </c>
      <c r="H10" s="40">
        <v>240</v>
      </c>
      <c r="I10" s="40">
        <v>300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300</v>
      </c>
      <c r="P10" s="40">
        <v>0</v>
      </c>
      <c r="Q10" s="40">
        <v>0</v>
      </c>
      <c r="R10" s="40">
        <v>200</v>
      </c>
      <c r="S10">
        <v>0</v>
      </c>
      <c r="T10">
        <v>0</v>
      </c>
    </row>
    <row r="11" spans="1:20">
      <c r="A11" s="38">
        <v>5</v>
      </c>
      <c r="B11" s="39" t="s">
        <v>504</v>
      </c>
      <c r="C11" s="38">
        <f ca="1">COUNTIFS(F11:R11,"&gt;0",$F$3:R$3,"&lt;13")</f>
        <v>4</v>
      </c>
      <c r="D11" s="38">
        <f ca="1">SUMIF($F$3:R$3,"&lt;13",F11:R11)</f>
        <v>790</v>
      </c>
      <c r="E11" s="38">
        <f ca="1">IFERROR(__xludf.DUMMYFUNCTION("ARRAY_CONSTRAIN(ARRAYFORMULA(SUMPRODUCT(LARGE(FILTER(F11:R11, F$3:R$3 &lt; 13),{1,2,3,4,5,6,7}))), 1, 1)"),790)</f>
        <v>790</v>
      </c>
      <c r="F11" s="38">
        <v>0</v>
      </c>
      <c r="G11" s="38">
        <v>100</v>
      </c>
      <c r="H11" s="40">
        <v>0</v>
      </c>
      <c r="I11" s="40">
        <v>240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250</v>
      </c>
      <c r="R11" s="40">
        <v>200</v>
      </c>
      <c r="S11">
        <v>90</v>
      </c>
      <c r="T11">
        <v>0</v>
      </c>
    </row>
    <row r="12" spans="1:20">
      <c r="A12" s="38">
        <v>6</v>
      </c>
      <c r="B12" s="39" t="s">
        <v>506</v>
      </c>
      <c r="C12" s="38">
        <f ca="1">COUNTIFS(F12:R12,"&gt;0",$F$3:R$3,"&lt;13")</f>
        <v>3</v>
      </c>
      <c r="D12" s="38">
        <f ca="1">SUMIF($F$3:R$3,"&lt;13",F12:R12)</f>
        <v>450</v>
      </c>
      <c r="E12" s="38">
        <f ca="1">IFERROR(__xludf.DUMMYFUNCTION("ARRAY_CONSTRAIN(ARRAYFORMULA(SUMPRODUCT(LARGE(FILTER(F12:R12, F$3:R$3 &lt; 13),{1,2,3,4,5,6,7}))), 1, 1)"),450)</f>
        <v>450</v>
      </c>
      <c r="F12" s="38">
        <v>0</v>
      </c>
      <c r="G12" s="38">
        <v>70</v>
      </c>
      <c r="H12" s="40">
        <v>0</v>
      </c>
      <c r="I12" s="40">
        <v>180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200</v>
      </c>
      <c r="R12" s="40">
        <v>0</v>
      </c>
      <c r="S12">
        <v>0</v>
      </c>
      <c r="T12">
        <v>0</v>
      </c>
    </row>
    <row r="13" spans="1:20">
      <c r="A13" s="38">
        <v>7</v>
      </c>
      <c r="B13" s="39" t="s">
        <v>507</v>
      </c>
      <c r="C13" s="38">
        <f ca="1">COUNTIFS(F13:R13,"&gt;0",$F$3:R$3,"&lt;13")</f>
        <v>2</v>
      </c>
      <c r="D13" s="38">
        <f ca="1">SUMIF($F$3:R$3,"&lt;13",F13:R13)</f>
        <v>380</v>
      </c>
      <c r="E13" s="38">
        <f ca="1">IFERROR(__xludf.DUMMYFUNCTION("ARRAY_CONSTRAIN(ARRAYFORMULA(SUMPRODUCT(LARGE(FILTER(F13:R13, F$3:R$3 &lt; 13),{1,2,3,4,5,6,7}))), 1, 1)"),380)</f>
        <v>380</v>
      </c>
      <c r="F13" s="38">
        <v>0</v>
      </c>
      <c r="G13" s="38">
        <v>0</v>
      </c>
      <c r="H13" s="40">
        <v>0</v>
      </c>
      <c r="I13" s="40">
        <v>180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200</v>
      </c>
      <c r="R13" s="40">
        <v>0</v>
      </c>
      <c r="S13">
        <v>0</v>
      </c>
      <c r="T13">
        <v>0</v>
      </c>
    </row>
    <row r="14" spans="1:20">
      <c r="A14" s="38">
        <v>8</v>
      </c>
      <c r="B14" s="39" t="s">
        <v>505</v>
      </c>
      <c r="C14" s="38">
        <f ca="1">COUNTIFS(F14:R14,"&gt;0",$F$3:R$3,"&lt;13")</f>
        <v>2</v>
      </c>
      <c r="D14" s="38">
        <f ca="1">SUMIF($F$3:R$3,"&lt;13",F14:R14)</f>
        <v>360</v>
      </c>
      <c r="E14" s="38">
        <f ca="1">IFERROR(__xludf.DUMMYFUNCTION("ARRAY_CONSTRAIN(ARRAYFORMULA(SUMPRODUCT(LARGE(FILTER(F14:R14, F$3:R$3 &lt; 13),{1,2,3,4,5,6,7}))), 1, 1)"),360)</f>
        <v>360</v>
      </c>
      <c r="F14" s="38">
        <v>0</v>
      </c>
      <c r="G14" s="38">
        <v>60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300</v>
      </c>
      <c r="P14" s="40">
        <v>0</v>
      </c>
      <c r="Q14" s="40">
        <v>0</v>
      </c>
      <c r="R14" s="40">
        <v>0</v>
      </c>
      <c r="S14">
        <v>80</v>
      </c>
      <c r="T14">
        <v>0</v>
      </c>
    </row>
    <row r="15" spans="1:20">
      <c r="A15" s="38">
        <v>9</v>
      </c>
      <c r="B15" s="39" t="s">
        <v>44</v>
      </c>
      <c r="C15" s="38">
        <f ca="1">COUNTIFS(F15:R15,"&gt;0",$F$3:R$3,"&lt;13")</f>
        <v>3</v>
      </c>
      <c r="D15" s="38">
        <f ca="1">SUMIF($F$3:R$3,"&lt;13",F15:R15)</f>
        <v>350</v>
      </c>
      <c r="E15" s="38">
        <f ca="1">IFERROR(__xludf.DUMMYFUNCTION("ARRAY_CONSTRAIN(ARRAYFORMULA(SUMPRODUCT(LARGE(FILTER(F15:R15, F$3:R$3 &lt; 13),{1,2,3,4,5,6,7}))), 1, 1)"),350)</f>
        <v>350</v>
      </c>
      <c r="F15" s="38">
        <v>90</v>
      </c>
      <c r="G15" s="38">
        <v>80</v>
      </c>
      <c r="H15" s="40">
        <v>0</v>
      </c>
      <c r="I15" s="40">
        <v>180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>
        <v>0</v>
      </c>
      <c r="T15">
        <v>0</v>
      </c>
    </row>
    <row r="16" spans="1:20">
      <c r="A16" s="38">
        <v>10</v>
      </c>
      <c r="B16" s="41" t="s">
        <v>510</v>
      </c>
      <c r="C16" s="38">
        <f ca="1">COUNTIFS(F16:R16,"&gt;0",$F$3:R$3,"&lt;13")</f>
        <v>2</v>
      </c>
      <c r="D16" s="38">
        <f ca="1">SUMIF($F$3:R$3,"&lt;13",F16:R16)</f>
        <v>240</v>
      </c>
      <c r="E16" s="38">
        <f ca="1">IFERROR(__xludf.DUMMYFUNCTION("ARRAY_CONSTRAIN(ARRAYFORMULA(SUMPRODUCT(LARGE(FILTER(F16:R16, F$3:R$3 &lt; 13),{1,2,3,4,5,6,7}))), 1, 1)"),240)</f>
        <v>240</v>
      </c>
      <c r="F16" s="38">
        <v>0</v>
      </c>
      <c r="G16" s="38">
        <v>60</v>
      </c>
      <c r="H16" s="40">
        <v>0</v>
      </c>
      <c r="I16" s="40">
        <v>180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>
        <v>0</v>
      </c>
      <c r="T16">
        <v>0</v>
      </c>
    </row>
    <row r="17" spans="1:20">
      <c r="A17" s="38">
        <v>14</v>
      </c>
      <c r="B17" s="41" t="s">
        <v>620</v>
      </c>
      <c r="C17" s="38">
        <f ca="1">COUNTIFS(F17:R17,"&gt;0",$F$3:R$3,"&lt;13")</f>
        <v>1</v>
      </c>
      <c r="D17" s="38">
        <f ca="1">SUMIF($F$3:R$3,"&lt;13",F17:R17)</f>
        <v>80</v>
      </c>
      <c r="E17" s="38">
        <f ca="1">IFERROR(__xludf.DUMMYFUNCTION("ARRAY_CONSTRAIN(ARRAYFORMULA(SUMPRODUCT(LARGE(FILTER(F17:R17, F$3:R$3 &lt; 13),{1,2,3,4,5,6,7}))), 1, 1)"),80)</f>
        <v>80</v>
      </c>
      <c r="F17" s="38">
        <v>80</v>
      </c>
      <c r="G17" s="38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>
        <v>0</v>
      </c>
      <c r="T17">
        <v>0</v>
      </c>
    </row>
    <row r="18" spans="1:20">
      <c r="A18" s="38">
        <v>15</v>
      </c>
      <c r="B18" s="39" t="s">
        <v>519</v>
      </c>
      <c r="C18" s="38">
        <f ca="1">COUNTIFS(F18:R18,"&gt;0",$F$3:R$3,"&lt;13")</f>
        <v>1</v>
      </c>
      <c r="D18" s="38">
        <f ca="1">SUMIF($F$3:R$3,"&lt;13",F18:R18)</f>
        <v>60</v>
      </c>
      <c r="E18" s="38">
        <f ca="1">IFERROR(__xludf.DUMMYFUNCTION("ARRAY_CONSTRAIN(ARRAYFORMULA(SUMPRODUCT(LARGE(FILTER(F18:R18, F$3:R$3 &lt; 13),{1,2,3,4,5,6,7}))), 1, 1)"),60)</f>
        <v>60</v>
      </c>
      <c r="F18" s="38">
        <v>0</v>
      </c>
      <c r="G18" s="38">
        <v>60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>
        <v>0</v>
      </c>
      <c r="T18">
        <v>0</v>
      </c>
    </row>
    <row r="19" spans="1:20">
      <c r="A19" s="38">
        <v>11</v>
      </c>
      <c r="B19" s="41" t="s">
        <v>512</v>
      </c>
      <c r="C19" s="38">
        <f ca="1">COUNTIFS(F19:R19,"&gt;0",$F$3:R$3,"&lt;13")</f>
        <v>1</v>
      </c>
      <c r="D19" s="38">
        <f ca="1">SUMIF($F$3:R$3,"&lt;13",F19:R19)</f>
        <v>60</v>
      </c>
      <c r="E19" s="38">
        <f ca="1">IFERROR(__xludf.DUMMYFUNCTION("ARRAY_CONSTRAIN(ARRAYFORMULA(SUMPRODUCT(LARGE(FILTER(F19:R19, F$3:R$3 &lt; 13),{1,2,3,4,5,6,7}))), 1, 1)"),60)</f>
        <v>60</v>
      </c>
      <c r="F19" s="38">
        <v>0</v>
      </c>
      <c r="G19" s="38">
        <v>60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>
        <v>0</v>
      </c>
      <c r="T19">
        <v>0</v>
      </c>
    </row>
    <row r="20" spans="1:20">
      <c r="A20" s="38">
        <v>12</v>
      </c>
      <c r="B20" s="39" t="s">
        <v>558</v>
      </c>
      <c r="C20" s="38">
        <f ca="1">COUNTIFS(F20:R20,"&gt;0",$F$3:R$3,"&lt;13")</f>
        <v>1</v>
      </c>
      <c r="D20" s="38">
        <f ca="1">SUMIF($F$3:R$3,"&lt;13",F20:R20)</f>
        <v>50</v>
      </c>
      <c r="E20" s="38">
        <f ca="1">IFERROR(__xludf.DUMMYFUNCTION("ARRAY_CONSTRAIN(ARRAYFORMULA(SUMPRODUCT(LARGE(FILTER(F20:R20, F$3:R$3 &lt; 13),{1,2,3,4,5,6,7}))), 1, 1)"),50)</f>
        <v>50</v>
      </c>
      <c r="F20" s="38">
        <v>0</v>
      </c>
      <c r="G20" s="38">
        <v>50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>
        <v>0</v>
      </c>
      <c r="T20">
        <v>0</v>
      </c>
    </row>
    <row r="21" spans="1:20">
      <c r="A21" s="38">
        <v>16</v>
      </c>
      <c r="B21" s="41" t="s">
        <v>527</v>
      </c>
      <c r="C21" s="38">
        <f ca="1">COUNTIFS(F21:R21,"&gt;0",$F$3:R$3,"&lt;13")</f>
        <v>1</v>
      </c>
      <c r="D21" s="38">
        <f ca="1">SUMIF($F$3:R$3,"&lt;13",F21:R21)</f>
        <v>50</v>
      </c>
      <c r="E21" s="38">
        <f ca="1">IFERROR(__xludf.DUMMYFUNCTION("ARRAY_CONSTRAIN(ARRAYFORMULA(SUMPRODUCT(LARGE(FILTER(F21:R21, F$3:R$3 &lt; 13),{1,2,3,4,5,6,7}))), 1, 1)"),50)</f>
        <v>50</v>
      </c>
      <c r="F21" s="38">
        <v>0</v>
      </c>
      <c r="G21" s="38">
        <v>50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>
        <v>0</v>
      </c>
      <c r="T21">
        <v>0</v>
      </c>
    </row>
    <row r="22" spans="1:20">
      <c r="A22" s="38">
        <v>17</v>
      </c>
      <c r="B22" s="41" t="s">
        <v>513</v>
      </c>
      <c r="C22" s="38">
        <f ca="1">COUNTIFS(F22:R22,"&gt;0",$F$3:R$3,"&lt;13")</f>
        <v>1</v>
      </c>
      <c r="D22" s="38">
        <f ca="1">SUMIF($F$3:R$3,"&lt;13",F22:R22)</f>
        <v>50</v>
      </c>
      <c r="E22" s="38">
        <f ca="1">IFERROR(__xludf.DUMMYFUNCTION("ARRAY_CONSTRAIN(ARRAYFORMULA(SUMPRODUCT(LARGE(FILTER(F22:R22, F$3:R$3 &lt; 13),{1,2,3,4,5,6,7}))), 1, 1)"),50)</f>
        <v>50</v>
      </c>
      <c r="F22" s="38">
        <v>0</v>
      </c>
      <c r="G22" s="40">
        <v>50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>
        <v>0</v>
      </c>
      <c r="T22">
        <v>0</v>
      </c>
    </row>
    <row r="23" spans="1:20">
      <c r="A23" s="38">
        <v>18</v>
      </c>
      <c r="B23" s="41" t="s">
        <v>515</v>
      </c>
      <c r="C23" s="38">
        <f ca="1">COUNTIFS(F23:R23,"&gt;0",$F$3:R$3,"&lt;13")</f>
        <v>1</v>
      </c>
      <c r="D23" s="38">
        <f ca="1">SUMIF($F$3:R$3,"&lt;13",F23:R23)</f>
        <v>50</v>
      </c>
      <c r="E23" s="38">
        <f ca="1">IFERROR(__xludf.DUMMYFUNCTION("ARRAY_CONSTRAIN(ARRAYFORMULA(SUMPRODUCT(LARGE(FILTER(F23:R23, F$3:R$3 &lt; 13),{1,2,3,4,5,6,7}))), 1, 1)"),50)</f>
        <v>50</v>
      </c>
      <c r="F23" s="38">
        <v>0</v>
      </c>
      <c r="G23" s="40">
        <v>50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>
        <v>70</v>
      </c>
      <c r="T23">
        <v>0</v>
      </c>
    </row>
    <row r="24" spans="1:20">
      <c r="A24" s="38">
        <v>19</v>
      </c>
      <c r="B24" s="39" t="s">
        <v>554</v>
      </c>
      <c r="C24" s="38">
        <f>COUNTIFS(F24:R24,"&gt;0",$F$3:R$3,"&lt;13")</f>
        <v>0</v>
      </c>
      <c r="D24" s="38">
        <f ca="1">SUMIF($F$3:R$3,"&lt;13",F24:R24)</f>
        <v>0</v>
      </c>
      <c r="E24" s="38">
        <f ca="1">IFERROR(__xludf.DUMMYFUNCTION("ARRAY_CONSTRAIN(ARRAYFORMULA(SUMPRODUCT(LARGE(FILTER(F24:R24, F$3:R$3 &lt; 13),{1,2,3,4,5,6,7}))), 1, 1)"),0)</f>
        <v>0</v>
      </c>
      <c r="F24" s="38">
        <v>0</v>
      </c>
      <c r="G24" s="38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>
        <v>0</v>
      </c>
      <c r="T24">
        <v>0</v>
      </c>
    </row>
    <row r="25" spans="1:20">
      <c r="A25" s="38">
        <v>13</v>
      </c>
      <c r="B25" s="39" t="s">
        <v>534</v>
      </c>
      <c r="C25" s="38">
        <f>COUNTIFS(F25:R25,"&gt;0",$F$3:R$3,"&lt;13")</f>
        <v>0</v>
      </c>
      <c r="D25" s="38">
        <f ca="1">SUMIF($F$3:R$3,"&lt;13",F25:R25)</f>
        <v>0</v>
      </c>
      <c r="E25" s="38">
        <f ca="1">IFERROR(__xludf.DUMMYFUNCTION("ARRAY_CONSTRAIN(ARRAYFORMULA(SUMPRODUCT(LARGE(FILTER(F25:R25, F$3:R$3 &lt; 13),{1,2,3,4,5,6,7}))), 1, 1)"),0)</f>
        <v>0</v>
      </c>
      <c r="F25" s="38">
        <v>0</v>
      </c>
      <c r="G25" s="38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>
        <v>0</v>
      </c>
      <c r="T25">
        <v>0</v>
      </c>
    </row>
    <row r="26" spans="1:20">
      <c r="A26" s="38">
        <v>20</v>
      </c>
      <c r="B26" s="39" t="s">
        <v>539</v>
      </c>
      <c r="C26" s="38">
        <f>COUNTIFS(F26:R26,"&gt;0",$F$3:R$3,"&lt;13")</f>
        <v>0</v>
      </c>
      <c r="D26" s="38">
        <f ca="1">SUMIF($F$3:R$3,"&lt;13",F26:R26)</f>
        <v>0</v>
      </c>
      <c r="E26" s="38">
        <f ca="1">IFERROR(__xludf.DUMMYFUNCTION("ARRAY_CONSTRAIN(ARRAYFORMULA(SUMPRODUCT(LARGE(FILTER(F26:R26, F$3:R$3 &lt; 13),{1,2,3,4,5,6,7}))), 1, 1)"),0)</f>
        <v>0</v>
      </c>
      <c r="F26" s="38">
        <v>0</v>
      </c>
      <c r="G26" s="38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>
        <v>0</v>
      </c>
      <c r="T26">
        <v>0</v>
      </c>
    </row>
    <row r="27" spans="1:20">
      <c r="A27" s="38">
        <v>21</v>
      </c>
      <c r="B27" s="39" t="s">
        <v>526</v>
      </c>
      <c r="C27" s="38">
        <f>COUNTIFS(F27:R27,"&gt;0",$F$3:R$3,"&lt;13")</f>
        <v>0</v>
      </c>
      <c r="D27" s="38">
        <f ca="1">SUMIF($F$3:R$3,"&lt;13",F27:R27)</f>
        <v>0</v>
      </c>
      <c r="E27" s="38">
        <f ca="1">IFERROR(__xludf.DUMMYFUNCTION("ARRAY_CONSTRAIN(ARRAYFORMULA(SUMPRODUCT(LARGE(FILTER(F27:R27, F$3:R$3 &lt; 13),{1,2,3,4,5,6,7}))), 1, 1)"),0)</f>
        <v>0</v>
      </c>
      <c r="F27" s="38">
        <v>0</v>
      </c>
      <c r="G27" s="38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40">
        <v>0</v>
      </c>
      <c r="S27">
        <v>0</v>
      </c>
      <c r="T27">
        <v>0</v>
      </c>
    </row>
    <row r="28" spans="1:20">
      <c r="A28" s="38">
        <v>22</v>
      </c>
      <c r="B28" s="39" t="s">
        <v>524</v>
      </c>
      <c r="C28" s="38">
        <f>COUNTIFS(F28:R28,"&gt;0",$F$3:R$3,"&lt;13")</f>
        <v>0</v>
      </c>
      <c r="D28" s="38">
        <f ca="1">SUMIF($F$3:R$3,"&lt;13",F28:R28)</f>
        <v>0</v>
      </c>
      <c r="E28" s="38">
        <f ca="1">IFERROR(__xludf.DUMMYFUNCTION("ARRAY_CONSTRAIN(ARRAYFORMULA(SUMPRODUCT(LARGE(FILTER(F28:R28, F$3:R$3 &lt; 13),{1,2,3,4,5,6,7}))), 1, 1)"),0)</f>
        <v>0</v>
      </c>
      <c r="F28" s="38">
        <v>0</v>
      </c>
      <c r="G28" s="38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>
        <v>0</v>
      </c>
      <c r="T28">
        <v>0</v>
      </c>
    </row>
    <row r="29" spans="1:20">
      <c r="A29" s="38">
        <v>23</v>
      </c>
      <c r="B29" s="39" t="s">
        <v>516</v>
      </c>
      <c r="C29" s="38">
        <f>COUNTIFS(F29:R29,"&gt;0",$F$3:R$3,"&lt;13")</f>
        <v>0</v>
      </c>
      <c r="D29" s="38">
        <f ca="1">SUMIF($F$3:R$3,"&lt;13",F29:R29)</f>
        <v>0</v>
      </c>
      <c r="E29" s="38">
        <f ca="1">IFERROR(__xludf.DUMMYFUNCTION("ARRAY_CONSTRAIN(ARRAYFORMULA(SUMPRODUCT(LARGE(FILTER(F29:R29, F$3:R$3 &lt; 13),{1,2,3,4,5,6,7}))), 1, 1)"),0)</f>
        <v>0</v>
      </c>
      <c r="F29" s="38">
        <v>0</v>
      </c>
      <c r="G29" s="38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>
        <v>60</v>
      </c>
      <c r="T29">
        <v>0</v>
      </c>
    </row>
    <row r="30" spans="1:20">
      <c r="A30" s="38">
        <v>24</v>
      </c>
      <c r="B30" s="39" t="s">
        <v>530</v>
      </c>
      <c r="C30" s="38">
        <f>COUNTIFS(F30:R30,"&gt;0",$F$3:R$3,"&lt;13")</f>
        <v>0</v>
      </c>
      <c r="D30" s="38">
        <f ca="1">SUMIF($F$3:R$3,"&lt;13",F30:R30)</f>
        <v>0</v>
      </c>
      <c r="E30" s="38">
        <f ca="1">IFERROR(__xludf.DUMMYFUNCTION("ARRAY_CONSTRAIN(ARRAYFORMULA(SUMPRODUCT(LARGE(FILTER(F30:R30, F$3:R$3 &lt; 13),{1,2,3,4,5,6,7}))), 1, 1)"),0)</f>
        <v>0</v>
      </c>
      <c r="F30" s="38">
        <v>0</v>
      </c>
      <c r="G30" s="38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>
        <v>0</v>
      </c>
      <c r="T30">
        <v>0</v>
      </c>
    </row>
    <row r="31" spans="1:20">
      <c r="A31" s="38">
        <v>25</v>
      </c>
      <c r="B31" s="39" t="s">
        <v>518</v>
      </c>
      <c r="C31" s="38">
        <f>COUNTIFS(F31:R31,"&gt;0",$F$3:R$3,"&lt;13")</f>
        <v>0</v>
      </c>
      <c r="D31" s="38">
        <f ca="1">SUMIF($F$3:R$3,"&lt;13",F31:R31)</f>
        <v>0</v>
      </c>
      <c r="E31" s="38">
        <f ca="1">IFERROR(__xludf.DUMMYFUNCTION("ARRAY_CONSTRAIN(ARRAYFORMULA(SUMPRODUCT(LARGE(FILTER(F31:R31, F$3:R$3 &lt; 13),{1,2,3,4,5,6,7}))), 1, 1)"),0)</f>
        <v>0</v>
      </c>
      <c r="F31" s="38">
        <v>0</v>
      </c>
      <c r="G31" s="38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>
        <v>60</v>
      </c>
      <c r="T31">
        <v>0</v>
      </c>
    </row>
    <row r="32" spans="1:20">
      <c r="A32" s="38">
        <v>26</v>
      </c>
      <c r="B32" s="39" t="s">
        <v>621</v>
      </c>
      <c r="C32" s="38">
        <f>COUNTIFS(F32:R32,"&gt;0",$F$3:R$3,"&lt;13")</f>
        <v>0</v>
      </c>
      <c r="D32" s="38">
        <f ca="1">SUMIF($F$3:R$3,"&lt;13",F32:R32)</f>
        <v>0</v>
      </c>
      <c r="E32" s="38">
        <f ca="1">IFERROR(__xludf.DUMMYFUNCTION("ARRAY_CONSTRAIN(ARRAYFORMULA(SUMPRODUCT(LARGE(FILTER(F32:R32, F$3:R$3 &lt; 13),{1,2,3,4,5,6,7}))), 1, 1)"),0)</f>
        <v>0</v>
      </c>
      <c r="F32" s="38">
        <v>0</v>
      </c>
      <c r="G32" s="38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>
        <v>0</v>
      </c>
      <c r="T32">
        <v>0</v>
      </c>
    </row>
    <row r="33" spans="1:20">
      <c r="A33" s="40">
        <v>27</v>
      </c>
      <c r="B33" s="41" t="s">
        <v>622</v>
      </c>
      <c r="C33" s="38">
        <f>COUNTIFS(F33:R33,"&gt;0",$F$3:R$3,"&lt;13")</f>
        <v>0</v>
      </c>
      <c r="D33" s="38">
        <f ca="1">SUMIF($F$3:R$3,"&lt;13",F33:R33)</f>
        <v>0</v>
      </c>
      <c r="E33" s="38">
        <f ca="1">IFERROR(__xludf.DUMMYFUNCTION("ARRAY_CONSTRAIN(ARRAYFORMULA(SUMPRODUCT(LARGE(FILTER(F33:R33, F$3:R$3 &lt; 13),{1,2,3,4,5,6,7}))), 1, 1)"),0)</f>
        <v>0</v>
      </c>
      <c r="F33" s="38">
        <v>0</v>
      </c>
      <c r="G33" s="38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>
        <v>0</v>
      </c>
      <c r="T33">
        <v>0</v>
      </c>
    </row>
    <row r="34" spans="1:20">
      <c r="A34" s="40">
        <v>28</v>
      </c>
      <c r="B34" s="39" t="s">
        <v>623</v>
      </c>
      <c r="C34" s="38">
        <f>COUNTIFS(F34:R34,"&gt;0",$F$3:R$3,"&lt;13")</f>
        <v>0</v>
      </c>
      <c r="D34" s="38">
        <f ca="1">SUMIF($F$3:R$3,"&lt;13",F34:R34)</f>
        <v>0</v>
      </c>
      <c r="E34" s="38">
        <f ca="1">IFERROR(__xludf.DUMMYFUNCTION("ARRAY_CONSTRAIN(ARRAYFORMULA(SUMPRODUCT(LARGE(FILTER(F34:R34, F$3:R$3 &lt; 13),{1,2,3,4,5,6,7}))), 1, 1)"),0)</f>
        <v>0</v>
      </c>
      <c r="F34" s="38">
        <v>0</v>
      </c>
      <c r="G34" s="38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>
        <v>0</v>
      </c>
      <c r="T34">
        <v>100</v>
      </c>
    </row>
    <row r="35" spans="1:20">
      <c r="A35" s="40">
        <v>29</v>
      </c>
      <c r="B35" s="39" t="s">
        <v>624</v>
      </c>
      <c r="C35" s="38">
        <f>COUNTIFS(F35:R35,"&gt;0",$F$3:R$3,"&lt;13")</f>
        <v>0</v>
      </c>
      <c r="D35" s="38">
        <f ca="1">SUMIF($F$3:R$3,"&lt;13",F35:R35)</f>
        <v>0</v>
      </c>
      <c r="E35" s="38">
        <f ca="1">IFERROR(__xludf.DUMMYFUNCTION("ARRAY_CONSTRAIN(ARRAYFORMULA(SUMPRODUCT(LARGE(FILTER(F35:R35, F$3:R$3 &lt; 13),{1,2,3,4,5,6,7}))), 1, 1)"),0)</f>
        <v>0</v>
      </c>
      <c r="F35" s="38">
        <v>0</v>
      </c>
      <c r="G35" s="38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>
        <v>0</v>
      </c>
      <c r="T35">
        <v>90</v>
      </c>
    </row>
    <row r="36" spans="1:20">
      <c r="A36" s="40">
        <v>30</v>
      </c>
      <c r="B36" s="39" t="s">
        <v>625</v>
      </c>
      <c r="C36" s="38">
        <f>COUNTIFS(F36:R36,"&gt;0",$F$3:R$3,"&lt;13")</f>
        <v>0</v>
      </c>
      <c r="D36" s="38">
        <f ca="1">SUMIF($F$3:R$3,"&lt;13",F36:R36)</f>
        <v>0</v>
      </c>
      <c r="E36" s="38">
        <f ca="1">IFERROR(__xludf.DUMMYFUNCTION("ARRAY_CONSTRAIN(ARRAYFORMULA(SUMPRODUCT(LARGE(FILTER(F36:R36, F$3:R$3 &lt; 13),{1,2,3,4,5,6,7}))), 1, 1)"),0)</f>
        <v>0</v>
      </c>
      <c r="F36" s="38">
        <v>0</v>
      </c>
      <c r="G36" s="38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>
        <v>0</v>
      </c>
      <c r="T36">
        <v>0</v>
      </c>
    </row>
    <row r="37" spans="1:20">
      <c r="A37" s="40">
        <v>31</v>
      </c>
      <c r="B37" s="41" t="s">
        <v>529</v>
      </c>
      <c r="C37" s="38">
        <f>COUNTIFS(F37:R37,"&gt;0",$F$3:R$3,"&lt;13")</f>
        <v>0</v>
      </c>
      <c r="D37" s="38">
        <f ca="1">SUMIF($F$3:R$3,"&lt;13",F37:R37)</f>
        <v>0</v>
      </c>
      <c r="E37" s="38">
        <f ca="1">IFERROR(__xludf.DUMMYFUNCTION("ARRAY_CONSTRAIN(ARRAYFORMULA(SUMPRODUCT(LARGE(FILTER(F37:R37, F$3:R$3 &lt; 13),{1,2,3,4,5,6,7}))), 1, 1)"),0)</f>
        <v>0</v>
      </c>
      <c r="F37" s="38">
        <v>0</v>
      </c>
      <c r="G37" s="38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>
        <v>0</v>
      </c>
      <c r="T37">
        <v>0</v>
      </c>
    </row>
    <row r="38" spans="1:20">
      <c r="A38" s="40">
        <v>32</v>
      </c>
      <c r="B38" s="39" t="s">
        <v>576</v>
      </c>
      <c r="C38" s="38">
        <f>COUNTIFS(F38:R38,"&gt;0",$F$3:R$3,"&lt;13")</f>
        <v>0</v>
      </c>
      <c r="D38" s="38">
        <f ca="1">SUMIF($F$3:R$3,"&lt;13",F38:R38)</f>
        <v>0</v>
      </c>
      <c r="E38" s="38">
        <f ca="1">IFERROR(__xludf.DUMMYFUNCTION("ARRAY_CONSTRAIN(ARRAYFORMULA(SUMPRODUCT(LARGE(FILTER(F38:R38, F$3:R$3 &lt; 13),{1,2,3,4,5,6,7}))), 1, 1)"),0)</f>
        <v>0</v>
      </c>
      <c r="F38" s="38">
        <v>0</v>
      </c>
      <c r="G38" s="38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>
        <v>0</v>
      </c>
      <c r="T38">
        <v>0</v>
      </c>
    </row>
    <row r="39" spans="1:20">
      <c r="A39" s="40">
        <v>34</v>
      </c>
      <c r="B39" t="s">
        <v>511</v>
      </c>
      <c r="C39" s="38"/>
      <c r="D39" s="38"/>
      <c r="E39" s="38"/>
      <c r="F39" s="40"/>
      <c r="G39" s="40"/>
      <c r="H39" s="40"/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>
        <v>60</v>
      </c>
      <c r="T39">
        <v>0</v>
      </c>
    </row>
    <row r="40" spans="1:20">
      <c r="A40" s="40">
        <v>35</v>
      </c>
      <c r="B40" t="s">
        <v>626</v>
      </c>
      <c r="H40" s="40"/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>
        <v>60</v>
      </c>
      <c r="T40">
        <v>0</v>
      </c>
    </row>
    <row r="41" spans="1:20">
      <c r="A41" s="40">
        <v>36</v>
      </c>
      <c r="B41" t="s">
        <v>627</v>
      </c>
      <c r="H41" s="40"/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>
        <v>0</v>
      </c>
      <c r="T41">
        <v>90</v>
      </c>
    </row>
    <row r="42" spans="1:20">
      <c r="A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20">
      <c r="A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</row>
    <row r="44" spans="1:20">
      <c r="A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</row>
    <row r="45" spans="1:20">
      <c r="A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</row>
    <row r="46" spans="1:20">
      <c r="A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</row>
    <row r="47" spans="1:20">
      <c r="A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</row>
    <row r="48" spans="1:20">
      <c r="A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</row>
    <row r="49" spans="1:18">
      <c r="A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</row>
    <row r="50" spans="1:18">
      <c r="A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spans="1:18">
      <c r="A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</row>
    <row r="52" spans="1:18">
      <c r="A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</row>
    <row r="53" spans="1:18">
      <c r="A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</row>
    <row r="54" spans="1:18">
      <c r="A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</row>
    <row r="55" spans="1:18">
      <c r="A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</row>
    <row r="56" spans="1:18">
      <c r="A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</row>
    <row r="57" spans="1:18">
      <c r="A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</row>
    <row r="58" spans="1:18">
      <c r="A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</row>
    <row r="59" spans="1:18">
      <c r="A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</row>
    <row r="60" spans="1:18">
      <c r="A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</row>
    <row r="61" spans="1:18">
      <c r="A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</row>
    <row r="62" spans="1:18">
      <c r="A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</row>
    <row r="63" spans="1:18">
      <c r="A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</row>
    <row r="64" spans="1:18">
      <c r="A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</row>
    <row r="65" spans="1:18">
      <c r="A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</row>
    <row r="66" spans="1:18">
      <c r="A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</row>
    <row r="67" spans="1:18">
      <c r="A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</row>
    <row r="68" spans="1:18">
      <c r="A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</row>
    <row r="69" spans="1:18">
      <c r="A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</row>
    <row r="70" spans="1:18">
      <c r="A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</row>
    <row r="71" spans="1:18">
      <c r="A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</row>
    <row r="72" spans="1:18">
      <c r="A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</row>
    <row r="73" spans="1:18">
      <c r="A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</row>
    <row r="74" spans="1:18">
      <c r="A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</row>
    <row r="75" spans="1:18">
      <c r="A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</row>
    <row r="76" spans="1:18">
      <c r="A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</row>
    <row r="77" spans="1:18">
      <c r="A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</row>
    <row r="78" spans="1:18">
      <c r="A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</row>
    <row r="79" spans="1:18">
      <c r="A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</row>
    <row r="80" spans="1:18">
      <c r="A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</row>
    <row r="81" spans="1:18">
      <c r="A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</row>
    <row r="82" spans="1:18">
      <c r="A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</row>
    <row r="83" spans="1:18">
      <c r="A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</row>
    <row r="84" spans="1:18">
      <c r="A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</row>
    <row r="85" spans="1:18">
      <c r="A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</row>
    <row r="86" spans="1:18">
      <c r="A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</row>
    <row r="87" spans="1:18">
      <c r="A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</row>
    <row r="88" spans="1:18">
      <c r="A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</row>
    <row r="89" spans="1:18">
      <c r="A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</row>
    <row r="90" spans="1:18">
      <c r="A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</row>
    <row r="91" spans="1:18">
      <c r="A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</row>
    <row r="92" spans="1:18">
      <c r="A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</row>
    <row r="93" spans="1:18">
      <c r="A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</row>
    <row r="94" spans="1:18">
      <c r="A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</row>
    <row r="95" spans="1:18">
      <c r="A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</row>
    <row r="96" spans="1:18">
      <c r="A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</row>
    <row r="97" spans="1:18">
      <c r="A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</row>
    <row r="98" spans="1:18">
      <c r="A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</row>
    <row r="99" spans="1:18">
      <c r="A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</row>
    <row r="100" spans="1:18">
      <c r="A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</row>
    <row r="101" spans="1:18">
      <c r="A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</row>
    <row r="102" spans="1:18">
      <c r="A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</row>
    <row r="103" spans="1:18">
      <c r="A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</row>
    <row r="104" spans="1:18">
      <c r="A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</row>
    <row r="105" spans="1:18">
      <c r="A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</row>
    <row r="106" spans="1:18">
      <c r="A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</row>
    <row r="107" spans="1:18">
      <c r="A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</row>
    <row r="108" spans="1:18">
      <c r="A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</row>
    <row r="109" spans="1:18">
      <c r="A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</row>
    <row r="110" spans="1:18">
      <c r="A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</row>
    <row r="111" spans="1:18">
      <c r="A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</row>
    <row r="112" spans="1:18">
      <c r="A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1:18">
      <c r="A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1:18">
      <c r="A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1:18">
      <c r="A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</row>
    <row r="116" spans="1:18">
      <c r="A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</row>
    <row r="117" spans="1:18">
      <c r="A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</row>
    <row r="118" spans="1:18">
      <c r="A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</row>
    <row r="119" spans="1:18">
      <c r="A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</row>
    <row r="120" spans="1:18">
      <c r="A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</row>
    <row r="121" spans="1:18">
      <c r="A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</row>
    <row r="122" spans="1:18">
      <c r="A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1:18">
      <c r="A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1:18">
      <c r="A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1:18">
      <c r="A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1:18">
      <c r="A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</row>
    <row r="127" spans="1:18">
      <c r="A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</row>
    <row r="128" spans="1:18">
      <c r="A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1:18">
      <c r="A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1:18">
      <c r="A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1:18">
      <c r="A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1:18">
      <c r="A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1:18">
      <c r="A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1:18">
      <c r="A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1:18">
      <c r="A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1:18">
      <c r="A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1:18">
      <c r="A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1:18">
      <c r="A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1:18">
      <c r="A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1:18">
      <c r="A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1:18">
      <c r="A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1:18">
      <c r="A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1:18">
      <c r="A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1:18">
      <c r="A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1:18">
      <c r="A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1:18">
      <c r="A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1:18">
      <c r="A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1:18">
      <c r="A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1:18">
      <c r="A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1:18">
      <c r="A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1:18">
      <c r="A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1:18">
      <c r="A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1:18">
      <c r="A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1:18">
      <c r="A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1:18">
      <c r="A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1:18">
      <c r="A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:18">
      <c r="A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:18">
      <c r="A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1:18">
      <c r="A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1:18">
      <c r="A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1:18">
      <c r="A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1:18">
      <c r="A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1:18">
      <c r="A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1:18">
      <c r="A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1:18">
      <c r="A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:18">
      <c r="A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:18">
      <c r="A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:18">
      <c r="A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:18">
      <c r="A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1:18">
      <c r="A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1:18">
      <c r="A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1:18">
      <c r="A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1:18">
      <c r="A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1:18">
      <c r="A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:18">
      <c r="A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1:18">
      <c r="A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1:18">
      <c r="A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1:18">
      <c r="A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1:18">
      <c r="A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:18">
      <c r="A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:18">
      <c r="A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1:18">
      <c r="A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:18">
      <c r="A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:18">
      <c r="A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:18">
      <c r="A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1:18">
      <c r="A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:18">
      <c r="A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1:18">
      <c r="A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1:18">
      <c r="A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1:18">
      <c r="A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1:18">
      <c r="A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:18">
      <c r="A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:18">
      <c r="A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1:18">
      <c r="A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1:18">
      <c r="A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1:18">
      <c r="A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1:18">
      <c r="A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:18">
      <c r="A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:18">
      <c r="A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:18">
      <c r="A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1:18">
      <c r="A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1:18">
      <c r="A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:18">
      <c r="A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:18">
      <c r="A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:18">
      <c r="A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:18">
      <c r="A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:18">
      <c r="A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:18">
      <c r="A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1:18">
      <c r="A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1:18">
      <c r="A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1:18">
      <c r="A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1:18">
      <c r="A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1:18">
      <c r="A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1:18">
      <c r="A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1:18">
      <c r="A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1:18">
      <c r="A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1:18">
      <c r="A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1:18">
      <c r="A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1:18">
      <c r="A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1:18">
      <c r="A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1:18">
      <c r="A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1:18">
      <c r="A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1:18">
      <c r="A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1:18">
      <c r="A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1:18">
      <c r="A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1:18">
      <c r="A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1:18">
      <c r="A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1:18">
      <c r="A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1:18">
      <c r="A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1:18">
      <c r="A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1:18">
      <c r="A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1:18">
      <c r="A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1:18">
      <c r="A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1:18">
      <c r="A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1:18">
      <c r="A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1:18">
      <c r="A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1:18">
      <c r="A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1:18">
      <c r="A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1:18">
      <c r="A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1:18">
      <c r="A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1:18">
      <c r="A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1:18">
      <c r="A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1:18">
      <c r="A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1:18">
      <c r="A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1:18">
      <c r="A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1:18">
      <c r="A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1:18">
      <c r="A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1:18">
      <c r="A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1:18">
      <c r="A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1:18">
      <c r="A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1:18">
      <c r="A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1:18">
      <c r="A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1:18">
      <c r="A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1:18">
      <c r="A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1:18">
      <c r="A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1:18">
      <c r="A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1:18">
      <c r="A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1:18">
      <c r="A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1:18">
      <c r="A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1:18">
      <c r="A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1:18">
      <c r="A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1:18">
      <c r="A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1:18">
      <c r="A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1:18">
      <c r="A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1:18">
      <c r="A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1:18">
      <c r="A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1:18">
      <c r="A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1:18">
      <c r="A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1:18">
      <c r="A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1:18">
      <c r="A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1:18">
      <c r="A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1:18">
      <c r="A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1:18">
      <c r="A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1:18">
      <c r="A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1:18">
      <c r="A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1:18">
      <c r="A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1:18">
      <c r="A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1:18">
      <c r="A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1:18">
      <c r="A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1:18">
      <c r="A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1:18">
      <c r="A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1:18">
      <c r="A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1:18">
      <c r="A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1:18">
      <c r="A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1:18">
      <c r="A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1:18">
      <c r="A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1:18">
      <c r="A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1:18">
      <c r="A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:18">
      <c r="A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:18">
      <c r="A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:18">
      <c r="A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:18">
      <c r="A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:18">
      <c r="A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:18">
      <c r="A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:18">
      <c r="A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:18">
      <c r="A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:18">
      <c r="A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:18">
      <c r="A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:18">
      <c r="A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:18">
      <c r="A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:18">
      <c r="A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:18">
      <c r="A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:18">
      <c r="A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:18">
      <c r="A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:18">
      <c r="A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:18">
      <c r="A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:18">
      <c r="A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:18">
      <c r="A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:18">
      <c r="A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:18">
      <c r="A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:18">
      <c r="A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:18">
      <c r="A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:18">
      <c r="A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:18">
      <c r="A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:18">
      <c r="A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:18">
      <c r="A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:18">
      <c r="A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:18">
      <c r="A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:18">
      <c r="A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:18">
      <c r="A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:18">
      <c r="A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:18">
      <c r="A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:18">
      <c r="A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:18">
      <c r="A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:18">
      <c r="A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:18">
      <c r="A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:18">
      <c r="A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:18">
      <c r="A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:18">
      <c r="A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:18">
      <c r="A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:18">
      <c r="A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:18">
      <c r="A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:18">
      <c r="A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:18">
      <c r="A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:18">
      <c r="A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:18">
      <c r="A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:18">
      <c r="A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:18">
      <c r="A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:18">
      <c r="A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:18">
      <c r="A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:18">
      <c r="A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:18">
      <c r="A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:18">
      <c r="A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:18">
      <c r="A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:18">
      <c r="A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:18">
      <c r="A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:18">
      <c r="A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:18">
      <c r="A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:18">
      <c r="A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:18">
      <c r="A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:18">
      <c r="A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:18">
      <c r="A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:18">
      <c r="A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:18">
      <c r="A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:18">
      <c r="A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:18">
      <c r="A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:18">
      <c r="A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:18">
      <c r="A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:18">
      <c r="A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:18">
      <c r="A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:18">
      <c r="A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:18">
      <c r="A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:18">
      <c r="A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:18">
      <c r="A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:18">
      <c r="A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:18">
      <c r="A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:18">
      <c r="A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:18">
      <c r="A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:18">
      <c r="A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:18">
      <c r="A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:18">
      <c r="A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:18">
      <c r="A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:18">
      <c r="A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:18">
      <c r="A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:18">
      <c r="A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:18">
      <c r="A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:18">
      <c r="A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:18">
      <c r="A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:18">
      <c r="A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:18">
      <c r="A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:18">
      <c r="A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:18">
      <c r="A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:18">
      <c r="A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:18">
      <c r="A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:18">
      <c r="A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:18">
      <c r="A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:18">
      <c r="A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:18">
      <c r="A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:18">
      <c r="A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:18">
      <c r="A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:18">
      <c r="A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:18">
      <c r="A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:18">
      <c r="A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:18">
      <c r="A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:18">
      <c r="A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:18">
      <c r="A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:18">
      <c r="A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:18">
      <c r="A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:18">
      <c r="A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:18">
      <c r="A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:18">
      <c r="A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:18">
      <c r="A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:18">
      <c r="A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:18">
      <c r="A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:18">
      <c r="A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:18">
      <c r="A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:18">
      <c r="A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:18">
      <c r="A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:18">
      <c r="A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:18">
      <c r="A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:18">
      <c r="A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:18">
      <c r="A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:18">
      <c r="A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:18">
      <c r="A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:18">
      <c r="A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:18">
      <c r="A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:18">
      <c r="A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:18">
      <c r="A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:18">
      <c r="A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:18">
      <c r="A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:18">
      <c r="A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:18">
      <c r="A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:18">
      <c r="A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:18">
      <c r="A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:18">
      <c r="A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:18">
      <c r="A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:18">
      <c r="A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:18">
      <c r="A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:18">
      <c r="A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:18">
      <c r="A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:18">
      <c r="A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:18">
      <c r="A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:18">
      <c r="A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:18">
      <c r="A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:18">
      <c r="A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:18">
      <c r="A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:18">
      <c r="A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:18">
      <c r="A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:18">
      <c r="A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:18">
      <c r="A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:18">
      <c r="A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:18">
      <c r="A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:18">
      <c r="A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:18">
      <c r="A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:18">
      <c r="A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:18">
      <c r="A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:18">
      <c r="A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:18">
      <c r="A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:18">
      <c r="A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:18">
      <c r="A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:18">
      <c r="A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:18">
      <c r="A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:18">
      <c r="A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:18">
      <c r="A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:18">
      <c r="A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:18">
      <c r="A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:18">
      <c r="A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:18">
      <c r="A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:18">
      <c r="A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:18">
      <c r="A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:18">
      <c r="A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:18">
      <c r="A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:18">
      <c r="A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:18">
      <c r="A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:18">
      <c r="A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:18">
      <c r="A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:18">
      <c r="A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:18">
      <c r="A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:18">
      <c r="A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:18">
      <c r="A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:18">
      <c r="A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:18">
      <c r="A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:18">
      <c r="A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:18">
      <c r="A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:18">
      <c r="A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:18">
      <c r="A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:18">
      <c r="A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:18">
      <c r="A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:18">
      <c r="A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:18">
      <c r="A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:18">
      <c r="A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:18">
      <c r="A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:18">
      <c r="A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:18">
      <c r="A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:18">
      <c r="A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:18">
      <c r="A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:18">
      <c r="A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:18">
      <c r="A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:18">
      <c r="A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:18">
      <c r="A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:18">
      <c r="A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:18">
      <c r="A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:18">
      <c r="A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:18">
      <c r="A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:18">
      <c r="A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:18">
      <c r="A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:18">
      <c r="A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:18">
      <c r="A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:18">
      <c r="A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:18">
      <c r="A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:18">
      <c r="A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:18">
      <c r="A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:18">
      <c r="A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:18">
      <c r="A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:18">
      <c r="A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:18">
      <c r="A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:18">
      <c r="A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:18">
      <c r="A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:18">
      <c r="A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:18">
      <c r="A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:18">
      <c r="A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:18">
      <c r="A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:18">
      <c r="A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:18">
      <c r="A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:18">
      <c r="A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:18">
      <c r="A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:18">
      <c r="A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:18">
      <c r="A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:18">
      <c r="A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:18">
      <c r="A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:18">
      <c r="A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:18">
      <c r="A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:18">
      <c r="A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:18">
      <c r="A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:18">
      <c r="A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:18">
      <c r="A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:18">
      <c r="A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:18">
      <c r="A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:18">
      <c r="A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:18">
      <c r="A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:18">
      <c r="A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:18">
      <c r="A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:18">
      <c r="A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:18">
      <c r="A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:18">
      <c r="A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:18">
      <c r="A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:18">
      <c r="A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:18">
      <c r="A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:18">
      <c r="A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:18">
      <c r="A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:18">
      <c r="A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:18">
      <c r="A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:18">
      <c r="A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:18">
      <c r="A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:18">
      <c r="A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:18">
      <c r="A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:18">
      <c r="A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:18">
      <c r="A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:18">
      <c r="A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:18">
      <c r="A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:18">
      <c r="A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:18">
      <c r="A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:18">
      <c r="A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:18">
      <c r="A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:18">
      <c r="A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:18">
      <c r="A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:18">
      <c r="A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:18">
      <c r="A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:18">
      <c r="A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:18">
      <c r="A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:18">
      <c r="A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:18">
      <c r="A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:18">
      <c r="A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:18">
      <c r="A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:18">
      <c r="A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:18">
      <c r="A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:18">
      <c r="A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:18">
      <c r="A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:18">
      <c r="A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:18">
      <c r="A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:18">
      <c r="A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:18">
      <c r="A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:18">
      <c r="A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:18">
      <c r="A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:18">
      <c r="A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:18">
      <c r="A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:18">
      <c r="A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:18">
      <c r="A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:18">
      <c r="A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:18">
      <c r="A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:18">
      <c r="A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:18">
      <c r="A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:18">
      <c r="A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:18">
      <c r="A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:18">
      <c r="A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:18">
      <c r="A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:18">
      <c r="A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:18">
      <c r="A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:18">
      <c r="A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:18">
      <c r="A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:18">
      <c r="A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:18">
      <c r="A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:18">
      <c r="A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:18">
      <c r="A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:18">
      <c r="A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:18">
      <c r="A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:18">
      <c r="A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:18">
      <c r="A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:18">
      <c r="A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:18">
      <c r="A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:18">
      <c r="A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:18">
      <c r="A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:18">
      <c r="A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:18">
      <c r="A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:18">
      <c r="A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:18">
      <c r="A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:18">
      <c r="A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:18">
      <c r="A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:18">
      <c r="A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:18">
      <c r="A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:18">
      <c r="A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:18">
      <c r="A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:18">
      <c r="A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:18">
      <c r="A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:18">
      <c r="A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:18">
      <c r="A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:18">
      <c r="A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:18">
      <c r="A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:18">
      <c r="A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:18">
      <c r="A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:18">
      <c r="A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:18">
      <c r="A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:18">
      <c r="A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:18">
      <c r="A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:18">
      <c r="A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:18">
      <c r="A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:18">
      <c r="A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:18">
      <c r="A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:18">
      <c r="A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:18">
      <c r="A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:18">
      <c r="A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:18">
      <c r="A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:18">
      <c r="A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:18">
      <c r="A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:18">
      <c r="A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:18">
      <c r="A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:18">
      <c r="A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:18">
      <c r="A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:18">
      <c r="A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:18">
      <c r="A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:18">
      <c r="A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:18">
      <c r="A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:18">
      <c r="A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:18">
      <c r="A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:18">
      <c r="A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:18">
      <c r="A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:18">
      <c r="A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:18">
      <c r="A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:18">
      <c r="A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:18">
      <c r="A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:18">
      <c r="A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:18">
      <c r="A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:18">
      <c r="A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:18">
      <c r="A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:18">
      <c r="A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:18">
      <c r="A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:18">
      <c r="A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:18">
      <c r="A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:18">
      <c r="A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:18">
      <c r="A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:18">
      <c r="A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:18">
      <c r="A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:18">
      <c r="A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:18">
      <c r="A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:18">
      <c r="A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:18">
      <c r="A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:18">
      <c r="A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:18">
      <c r="A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:18">
      <c r="A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:18">
      <c r="A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:18">
      <c r="A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:18">
      <c r="A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:18">
      <c r="A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:18">
      <c r="A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:18">
      <c r="A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:18">
      <c r="A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:18">
      <c r="A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:18">
      <c r="A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:18">
      <c r="A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:18">
      <c r="A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:18">
      <c r="A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:18">
      <c r="A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:18">
      <c r="A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:18">
      <c r="A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:18">
      <c r="A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:18">
      <c r="A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:18">
      <c r="A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:18">
      <c r="A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:18">
      <c r="A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:18">
      <c r="A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:18">
      <c r="A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:18">
      <c r="A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:18">
      <c r="A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:18">
      <c r="A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:18">
      <c r="A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:18">
      <c r="A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:18">
      <c r="A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:18">
      <c r="A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:18">
      <c r="A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:18">
      <c r="A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:18">
      <c r="A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:18">
      <c r="A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:18">
      <c r="A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:18">
      <c r="A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:18">
      <c r="A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:18">
      <c r="A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:18">
      <c r="A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:18">
      <c r="A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:18">
      <c r="A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:18">
      <c r="A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:18">
      <c r="A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:18">
      <c r="A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:18">
      <c r="A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:18">
      <c r="A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:18">
      <c r="A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:18">
      <c r="A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:18">
      <c r="A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:18">
      <c r="A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:18">
      <c r="A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:18">
      <c r="A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:18">
      <c r="A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:18">
      <c r="A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:18">
      <c r="A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:18">
      <c r="A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:18">
      <c r="A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:18">
      <c r="A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:18">
      <c r="A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:18">
      <c r="A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:18">
      <c r="A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:18">
      <c r="A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:18">
      <c r="A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:18">
      <c r="A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:18">
      <c r="A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:18">
      <c r="A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:18">
      <c r="A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:18">
      <c r="A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:18">
      <c r="A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:18">
      <c r="A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:18">
      <c r="A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:18">
      <c r="A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:18">
      <c r="A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:18">
      <c r="A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:18">
      <c r="A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:18">
      <c r="A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:18">
      <c r="A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:18">
      <c r="A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:18">
      <c r="A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:18">
      <c r="A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:18">
      <c r="A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:18">
      <c r="A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:18">
      <c r="A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:18">
      <c r="A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:18">
      <c r="A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:18">
      <c r="A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:18">
      <c r="A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:18">
      <c r="A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:18">
      <c r="A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:18">
      <c r="A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:18">
      <c r="A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:18">
      <c r="A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:18">
      <c r="A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:18">
      <c r="A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:18">
      <c r="A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:18">
      <c r="A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:18">
      <c r="A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:18">
      <c r="A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:18">
      <c r="A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:18">
      <c r="A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:18">
      <c r="A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:18">
      <c r="A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:18">
      <c r="A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:18">
      <c r="A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:18">
      <c r="A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:18">
      <c r="A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:18">
      <c r="A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:18">
      <c r="A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:18">
      <c r="A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:18">
      <c r="A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:18">
      <c r="A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:18">
      <c r="A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:18">
      <c r="A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:18">
      <c r="A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:18">
      <c r="A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:18">
      <c r="A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:18">
      <c r="A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:18">
      <c r="A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:18">
      <c r="A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:18">
      <c r="A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:18">
      <c r="A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:18">
      <c r="A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:18">
      <c r="A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:18">
      <c r="A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:18">
      <c r="A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:18">
      <c r="A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:18">
      <c r="A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:18">
      <c r="A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:18">
      <c r="A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:18">
      <c r="A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:18">
      <c r="A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:18">
      <c r="A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:18">
      <c r="A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:18">
      <c r="A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:18">
      <c r="A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:18">
      <c r="A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:18">
      <c r="A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:18">
      <c r="A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:18">
      <c r="A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:18">
      <c r="A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:18">
      <c r="A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:18">
      <c r="A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:18">
      <c r="A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:18">
      <c r="A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:18">
      <c r="A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:18">
      <c r="A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:18">
      <c r="A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:18">
      <c r="A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:18">
      <c r="A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:18">
      <c r="A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:18">
      <c r="A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:18">
      <c r="A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:18">
      <c r="A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:18">
      <c r="A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:18">
      <c r="A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:18">
      <c r="A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:18">
      <c r="A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:18">
      <c r="A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:18">
      <c r="A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:18">
      <c r="A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:18">
      <c r="A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:18">
      <c r="A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:18">
      <c r="A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:18">
      <c r="A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:18">
      <c r="A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:18">
      <c r="A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:18">
      <c r="A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:18">
      <c r="A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:18">
      <c r="A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:18">
      <c r="A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:18">
      <c r="A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:18">
      <c r="A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:18">
      <c r="A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:18">
      <c r="A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:18">
      <c r="A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:18">
      <c r="A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:18">
      <c r="A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:18">
      <c r="A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:18">
      <c r="A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:18">
      <c r="A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:18">
      <c r="A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:18">
      <c r="A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:18">
      <c r="A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:18">
      <c r="A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:18">
      <c r="A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:18">
      <c r="A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:18">
      <c r="A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:18">
      <c r="A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:18">
      <c r="A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:18">
      <c r="A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:18">
      <c r="A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:18">
      <c r="A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:18">
      <c r="A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:18">
      <c r="A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:18">
      <c r="A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:18">
      <c r="A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:18">
      <c r="A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:18">
      <c r="A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:18">
      <c r="A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:18">
      <c r="A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:18">
      <c r="A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:18">
      <c r="A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:18">
      <c r="A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:18">
      <c r="A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:18">
      <c r="A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:18">
      <c r="A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:18">
      <c r="A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:18">
      <c r="A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:18">
      <c r="A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:18">
      <c r="A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:18">
      <c r="A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:18">
      <c r="A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:18">
      <c r="A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:18">
      <c r="A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:18">
      <c r="A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:18">
      <c r="A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:18">
      <c r="A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:18">
      <c r="A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:18">
      <c r="A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:18">
      <c r="A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:18">
      <c r="A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:18">
      <c r="A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:18">
      <c r="A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:18">
      <c r="A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:18">
      <c r="A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:18">
      <c r="A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:18">
      <c r="A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:18">
      <c r="A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:18">
      <c r="A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:18">
      <c r="A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:18">
      <c r="A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:18">
      <c r="A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:18">
      <c r="A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:18">
      <c r="A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:18">
      <c r="A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:18">
      <c r="A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:18">
      <c r="A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:18">
      <c r="A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:18">
      <c r="A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:18">
      <c r="A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:18">
      <c r="A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:18">
      <c r="A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:18">
      <c r="A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:18">
      <c r="A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:18">
      <c r="A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:18">
      <c r="A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:18">
      <c r="A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:18">
      <c r="A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:18">
      <c r="A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:18">
      <c r="A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:18">
      <c r="A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:18">
      <c r="A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:18">
      <c r="A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:18">
      <c r="A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:18">
      <c r="A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:18">
      <c r="A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:18">
      <c r="A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:18">
      <c r="A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:18">
      <c r="A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:18">
      <c r="A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:18">
      <c r="A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:18">
      <c r="A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:18">
      <c r="A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:18">
      <c r="A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:18">
      <c r="A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:18">
      <c r="A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:18">
      <c r="A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:18">
      <c r="A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:18">
      <c r="A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:18">
      <c r="A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:18">
      <c r="A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:18">
      <c r="A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:18">
      <c r="A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:18">
      <c r="A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:18">
      <c r="A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:18">
      <c r="A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:18">
      <c r="A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:18">
      <c r="A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:18">
      <c r="A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:18">
      <c r="A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:18">
      <c r="A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:18">
      <c r="A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:18">
      <c r="A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:18">
      <c r="A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:18">
      <c r="A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:18">
      <c r="A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:18">
      <c r="A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:18">
      <c r="A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:18">
      <c r="A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:18">
      <c r="A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:18">
      <c r="A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:18">
      <c r="A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:18">
      <c r="A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:18">
      <c r="A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:18">
      <c r="A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:18">
      <c r="A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:18">
      <c r="A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:18">
      <c r="A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:18">
      <c r="A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:18">
      <c r="A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:18">
      <c r="A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:18">
      <c r="A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:18">
      <c r="A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:18">
      <c r="A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:18">
      <c r="A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:18">
      <c r="A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:18">
      <c r="A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:18">
      <c r="A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:18">
      <c r="A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:18">
      <c r="A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:18">
      <c r="A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:18">
      <c r="A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:18">
      <c r="A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:18">
      <c r="A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:18">
      <c r="A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:18">
      <c r="A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:18">
      <c r="A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:18">
      <c r="A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:18">
      <c r="A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:18">
      <c r="A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:18">
      <c r="A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:18">
      <c r="A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:18">
      <c r="A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:18">
      <c r="A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:18">
      <c r="A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703125" defaultRowHeight="15.75" customHeight="1"/>
  <cols>
    <col min="1" max="1" width="12.85546875" customWidth="1"/>
    <col min="2" max="2" width="18.7109375" customWidth="1"/>
  </cols>
  <sheetData>
    <row r="1" spans="1:22">
      <c r="A1" s="21"/>
      <c r="B1" s="22"/>
      <c r="C1" s="22"/>
      <c r="D1" s="22"/>
      <c r="E1" s="22"/>
      <c r="F1" s="23" t="s">
        <v>49</v>
      </c>
      <c r="G1" s="23" t="s">
        <v>52</v>
      </c>
      <c r="H1" s="24" t="s">
        <v>496</v>
      </c>
      <c r="I1" s="24" t="s">
        <v>54</v>
      </c>
      <c r="J1" s="24" t="s">
        <v>497</v>
      </c>
      <c r="K1" s="24" t="s">
        <v>619</v>
      </c>
      <c r="L1" s="24" t="s">
        <v>498</v>
      </c>
      <c r="M1" s="24" t="s">
        <v>499</v>
      </c>
      <c r="N1" s="24" t="s">
        <v>500</v>
      </c>
      <c r="O1" s="24" t="s">
        <v>57</v>
      </c>
      <c r="P1" s="24" t="s">
        <v>501</v>
      </c>
      <c r="Q1" s="24" t="s">
        <v>502</v>
      </c>
      <c r="R1" s="25" t="s">
        <v>59</v>
      </c>
      <c r="S1" t="s">
        <v>628</v>
      </c>
      <c r="T1" t="s">
        <v>72</v>
      </c>
      <c r="U1" t="s">
        <v>629</v>
      </c>
      <c r="V1" t="s">
        <v>630</v>
      </c>
    </row>
    <row r="2" spans="1:22">
      <c r="A2" s="21"/>
      <c r="B2" s="22"/>
      <c r="C2" s="22"/>
      <c r="D2" s="22"/>
      <c r="E2" s="22"/>
      <c r="F2" s="23" t="s">
        <v>96</v>
      </c>
      <c r="G2" s="23" t="s">
        <v>94</v>
      </c>
      <c r="H2" s="24" t="s">
        <v>98</v>
      </c>
      <c r="I2" s="24" t="s">
        <v>98</v>
      </c>
      <c r="J2" s="24" t="s">
        <v>98</v>
      </c>
      <c r="K2" s="24" t="s">
        <v>98</v>
      </c>
      <c r="L2" s="24" t="s">
        <v>98</v>
      </c>
      <c r="M2" s="24" t="s">
        <v>98</v>
      </c>
      <c r="N2" s="24" t="s">
        <v>98</v>
      </c>
      <c r="O2" s="24" t="s">
        <v>98</v>
      </c>
      <c r="P2" s="24" t="s">
        <v>98</v>
      </c>
      <c r="Q2" s="24" t="s">
        <v>98</v>
      </c>
      <c r="R2" s="24" t="s">
        <v>98</v>
      </c>
      <c r="S2" t="s">
        <v>99</v>
      </c>
      <c r="T2" t="s">
        <v>99</v>
      </c>
      <c r="U2" t="s">
        <v>93</v>
      </c>
      <c r="V2" t="s">
        <v>100</v>
      </c>
    </row>
    <row r="3" spans="1:22">
      <c r="A3" s="26"/>
      <c r="B3" s="26"/>
      <c r="C3" s="27"/>
      <c r="D3" s="27"/>
      <c r="E3" s="27"/>
      <c r="F3" s="28">
        <f t="shared" ref="F3:R3" ca="1" si="0">DATEDIF(F4,NOW(),"M")</f>
        <v>1</v>
      </c>
      <c r="G3" s="28">
        <f t="shared" ca="1" si="0"/>
        <v>0</v>
      </c>
      <c r="H3" s="29">
        <f t="shared" ca="1" si="0"/>
        <v>8</v>
      </c>
      <c r="I3" s="29">
        <f t="shared" ca="1" si="0"/>
        <v>7</v>
      </c>
      <c r="J3" s="29">
        <f t="shared" ca="1" si="0"/>
        <v>6</v>
      </c>
      <c r="K3" s="29">
        <f t="shared" ca="1" si="0"/>
        <v>6</v>
      </c>
      <c r="L3" s="29">
        <f t="shared" ca="1" si="0"/>
        <v>6</v>
      </c>
      <c r="M3" s="29">
        <f t="shared" ca="1" si="0"/>
        <v>5</v>
      </c>
      <c r="N3" s="29">
        <f t="shared" ca="1" si="0"/>
        <v>4</v>
      </c>
      <c r="O3" s="29">
        <f t="shared" ca="1" si="0"/>
        <v>4</v>
      </c>
      <c r="P3" s="29">
        <f t="shared" ca="1" si="0"/>
        <v>4</v>
      </c>
      <c r="Q3" s="29">
        <f t="shared" ca="1" si="0"/>
        <v>2</v>
      </c>
      <c r="R3" s="30">
        <f t="shared" ca="1" si="0"/>
        <v>1</v>
      </c>
    </row>
    <row r="4" spans="1:22">
      <c r="A4" s="26"/>
      <c r="B4" s="26"/>
      <c r="C4" s="60" t="s">
        <v>101</v>
      </c>
      <c r="D4" s="61"/>
      <c r="E4" s="62"/>
      <c r="F4" s="31">
        <v>45870</v>
      </c>
      <c r="G4" s="31">
        <v>45901</v>
      </c>
      <c r="H4" s="32">
        <v>45658</v>
      </c>
      <c r="I4" s="32">
        <v>45689</v>
      </c>
      <c r="J4" s="32">
        <v>45717</v>
      </c>
      <c r="K4" s="32">
        <v>45717</v>
      </c>
      <c r="L4" s="32">
        <v>45717</v>
      </c>
      <c r="M4" s="32">
        <v>45748</v>
      </c>
      <c r="N4" s="32">
        <v>45778</v>
      </c>
      <c r="O4" s="32">
        <v>45778</v>
      </c>
      <c r="P4" s="32">
        <v>45778</v>
      </c>
      <c r="Q4" s="32">
        <v>45839</v>
      </c>
      <c r="R4" s="33">
        <v>45870</v>
      </c>
    </row>
    <row r="5" spans="1:22">
      <c r="A5" s="26"/>
      <c r="B5" s="26"/>
      <c r="C5" s="63"/>
      <c r="D5" s="64"/>
      <c r="E5" s="65"/>
      <c r="F5" s="34">
        <v>2025</v>
      </c>
      <c r="G5" s="34">
        <v>2025</v>
      </c>
      <c r="H5" s="29">
        <v>2025</v>
      </c>
      <c r="I5" s="29">
        <v>2025</v>
      </c>
      <c r="J5" s="29">
        <v>2025</v>
      </c>
      <c r="K5" s="29">
        <v>2025</v>
      </c>
      <c r="L5" s="29">
        <v>2025</v>
      </c>
      <c r="M5" s="29">
        <v>2025</v>
      </c>
      <c r="N5" s="29">
        <v>2025</v>
      </c>
      <c r="O5" s="29">
        <v>2025</v>
      </c>
      <c r="P5" s="29">
        <v>2025</v>
      </c>
      <c r="Q5" s="29">
        <v>2025</v>
      </c>
      <c r="R5" s="30">
        <v>2025</v>
      </c>
    </row>
    <row r="6" spans="1:22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 t="s">
        <v>18</v>
      </c>
      <c r="G6" s="28" t="s">
        <v>18</v>
      </c>
      <c r="H6" s="37" t="s">
        <v>15</v>
      </c>
      <c r="I6" s="37" t="s">
        <v>15</v>
      </c>
      <c r="J6" s="37" t="s">
        <v>15</v>
      </c>
      <c r="K6" s="37" t="s">
        <v>15</v>
      </c>
      <c r="L6" s="37" t="s">
        <v>15</v>
      </c>
      <c r="M6" s="37" t="s">
        <v>15</v>
      </c>
      <c r="N6" s="37" t="s">
        <v>15</v>
      </c>
      <c r="O6" s="37" t="s">
        <v>107</v>
      </c>
      <c r="P6" s="37" t="s">
        <v>107</v>
      </c>
      <c r="Q6" s="37" t="s">
        <v>15</v>
      </c>
      <c r="R6" s="30" t="s">
        <v>107</v>
      </c>
      <c r="S6" t="s">
        <v>18</v>
      </c>
      <c r="T6" t="s">
        <v>18</v>
      </c>
      <c r="U6" t="s">
        <v>18</v>
      </c>
      <c r="V6" t="s">
        <v>18</v>
      </c>
    </row>
    <row r="7" spans="1:22">
      <c r="A7" s="38">
        <v>1</v>
      </c>
      <c r="B7" s="39" t="s">
        <v>30</v>
      </c>
      <c r="C7" s="38">
        <f ca="1">COUNTIFS(F7:R7,"&gt;0",$F$3:R$3,"&lt;13")</f>
        <v>8</v>
      </c>
      <c r="D7" s="38">
        <f ca="1">SUMIF($F$3:R$3,"&lt;13",F7:R7)</f>
        <v>4490</v>
      </c>
      <c r="E7" s="38">
        <f ca="1">IFERROR(__xludf.DUMMYFUNCTION("ARRAY_CONSTRAIN(ARRAYFORMULA(SUMPRODUCT(LARGE(FILTER(F7:R7, F$3:R$3 &lt; 13),{1,2,3,4,5,6,7}))), 1, 1)"),4190)</f>
        <v>4190</v>
      </c>
      <c r="F7" s="38">
        <v>0</v>
      </c>
      <c r="G7" s="38">
        <v>0</v>
      </c>
      <c r="H7" s="40">
        <v>0</v>
      </c>
      <c r="I7" s="40">
        <v>540</v>
      </c>
      <c r="J7" s="40">
        <v>400</v>
      </c>
      <c r="K7" s="40">
        <v>500</v>
      </c>
      <c r="L7" s="40">
        <v>0</v>
      </c>
      <c r="M7" s="40">
        <v>750</v>
      </c>
      <c r="N7" s="40">
        <v>500</v>
      </c>
      <c r="O7" s="40">
        <v>0</v>
      </c>
      <c r="P7" s="40">
        <v>1000</v>
      </c>
      <c r="Q7" s="40">
        <v>500</v>
      </c>
      <c r="R7" s="40">
        <v>300</v>
      </c>
      <c r="S7">
        <v>0</v>
      </c>
      <c r="T7">
        <v>0</v>
      </c>
      <c r="U7">
        <v>0</v>
      </c>
      <c r="V7">
        <v>0</v>
      </c>
    </row>
    <row r="8" spans="1:22">
      <c r="A8" s="38">
        <v>2</v>
      </c>
      <c r="B8" s="39" t="s">
        <v>28</v>
      </c>
      <c r="C8" s="38">
        <f ca="1">COUNTIFS(F8:R8,"&gt;0",$F$3:R$3,"&lt;13")</f>
        <v>7</v>
      </c>
      <c r="D8" s="38">
        <f ca="1">SUMIF($F$3:R$3,"&lt;13",F8:R8)</f>
        <v>2570</v>
      </c>
      <c r="E8" s="38">
        <f ca="1">IFERROR(__xludf.DUMMYFUNCTION("ARRAY_CONSTRAIN(ARRAYFORMULA(SUMPRODUCT(LARGE(FILTER(F8:R8, F$3:R$3 &lt; 13),{1,2,3,4,5,6,7}))), 1, 1)"),2570)</f>
        <v>2570</v>
      </c>
      <c r="F8" s="38">
        <v>0</v>
      </c>
      <c r="G8" s="38">
        <v>0</v>
      </c>
      <c r="H8" s="40">
        <v>0</v>
      </c>
      <c r="I8" s="40">
        <v>420</v>
      </c>
      <c r="J8" s="40">
        <v>0</v>
      </c>
      <c r="K8" s="40">
        <v>0</v>
      </c>
      <c r="L8" s="40">
        <v>250</v>
      </c>
      <c r="M8" s="40">
        <v>0</v>
      </c>
      <c r="N8" s="40">
        <v>200</v>
      </c>
      <c r="O8" s="40">
        <v>500</v>
      </c>
      <c r="P8" s="40">
        <v>500</v>
      </c>
      <c r="Q8" s="40">
        <v>200</v>
      </c>
      <c r="R8" s="40">
        <v>500</v>
      </c>
      <c r="S8">
        <v>0</v>
      </c>
      <c r="T8">
        <v>0</v>
      </c>
      <c r="U8">
        <v>80</v>
      </c>
      <c r="V8">
        <v>0</v>
      </c>
    </row>
    <row r="9" spans="1:22">
      <c r="A9" s="38">
        <v>3</v>
      </c>
      <c r="B9" s="39" t="s">
        <v>29</v>
      </c>
      <c r="C9" s="38">
        <f ca="1">COUNTIFS(F9:R9,"&gt;0",$F$3:R$3,"&lt;13")</f>
        <v>5</v>
      </c>
      <c r="D9" s="38">
        <f ca="1">SUMIF($F$3:R$3,"&lt;13",F9:R9)</f>
        <v>1090</v>
      </c>
      <c r="E9" s="38">
        <f ca="1">IFERROR(__xludf.DUMMYFUNCTION("ARRAY_CONSTRAIN(ARRAYFORMULA(SUMPRODUCT(LARGE(FILTER(F9:R9, F$3:R$3 &lt; 13),{1,2,3,4,5,6,7}))), 1, 1)"),1090)</f>
        <v>1090</v>
      </c>
      <c r="F9" s="38">
        <v>0</v>
      </c>
      <c r="G9" s="38">
        <v>60</v>
      </c>
      <c r="H9" s="40">
        <v>0</v>
      </c>
      <c r="I9" s="40">
        <v>180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500</v>
      </c>
      <c r="P9" s="40">
        <v>0</v>
      </c>
      <c r="Q9" s="40">
        <v>250</v>
      </c>
      <c r="R9" s="40">
        <v>100</v>
      </c>
      <c r="S9">
        <v>0</v>
      </c>
      <c r="T9">
        <v>100</v>
      </c>
      <c r="U9">
        <v>60</v>
      </c>
      <c r="V9">
        <v>0</v>
      </c>
    </row>
    <row r="10" spans="1:22">
      <c r="A10" s="38">
        <v>4</v>
      </c>
      <c r="B10" s="41" t="s">
        <v>503</v>
      </c>
      <c r="C10" s="38">
        <f ca="1">COUNTIFS(F10:R10,"&gt;0",$F$3:R$3,"&lt;13")</f>
        <v>5</v>
      </c>
      <c r="D10" s="38">
        <f ca="1">SUMIF($F$3:R$3,"&lt;13",F10:R10)</f>
        <v>860</v>
      </c>
      <c r="E10" s="38">
        <f ca="1">IFERROR(__xludf.DUMMYFUNCTION("ARRAY_CONSTRAIN(ARRAYFORMULA(SUMPRODUCT(LARGE(FILTER(F10:R10, F$3:R$3 &lt; 13),{1,2,3,4,5,6,7}))), 1, 1)"),860)</f>
        <v>860</v>
      </c>
      <c r="F10" s="38">
        <v>100</v>
      </c>
      <c r="G10" s="38">
        <v>0</v>
      </c>
      <c r="H10" s="40">
        <v>180</v>
      </c>
      <c r="I10" s="40">
        <v>180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300</v>
      </c>
      <c r="P10" s="40">
        <v>0</v>
      </c>
      <c r="Q10" s="40">
        <v>0</v>
      </c>
      <c r="R10" s="40">
        <v>100</v>
      </c>
      <c r="S10">
        <v>0</v>
      </c>
      <c r="T10">
        <v>0</v>
      </c>
      <c r="U10">
        <v>60</v>
      </c>
      <c r="V10">
        <v>0</v>
      </c>
    </row>
    <row r="11" spans="1:22">
      <c r="A11" s="38">
        <v>5</v>
      </c>
      <c r="B11" s="39" t="s">
        <v>504</v>
      </c>
      <c r="C11" s="38">
        <f ca="1">COUNTIFS(F11:R11,"&gt;0",$F$3:R$3,"&lt;13")</f>
        <v>4</v>
      </c>
      <c r="D11" s="38">
        <f ca="1">SUMIF($F$3:R$3,"&lt;13",F11:R11)</f>
        <v>850</v>
      </c>
      <c r="E11" s="38">
        <f ca="1">IFERROR(__xludf.DUMMYFUNCTION("ARRAY_CONSTRAIN(ARRAYFORMULA(SUMPRODUCT(LARGE(FILTER(F11:R11, F$3:R$3 &lt; 13),{1,2,3,4,5,6,7}))), 1, 1)"),850)</f>
        <v>850</v>
      </c>
      <c r="F11" s="38">
        <v>0</v>
      </c>
      <c r="G11" s="38">
        <v>90</v>
      </c>
      <c r="H11" s="40">
        <v>0</v>
      </c>
      <c r="I11" s="40">
        <v>360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200</v>
      </c>
      <c r="R11" s="40">
        <v>200</v>
      </c>
      <c r="S11">
        <v>0</v>
      </c>
      <c r="T11">
        <v>80</v>
      </c>
      <c r="U11">
        <v>100</v>
      </c>
      <c r="V11">
        <v>0</v>
      </c>
    </row>
    <row r="12" spans="1:22">
      <c r="A12" s="38">
        <v>6</v>
      </c>
      <c r="B12" s="41" t="s">
        <v>506</v>
      </c>
      <c r="C12" s="38">
        <f ca="1">COUNTIFS(F12:R12,"&gt;0",$F$3:R$3,"&lt;13")</f>
        <v>3</v>
      </c>
      <c r="D12" s="38">
        <f ca="1">SUMIF($F$3:R$3,"&lt;13",F12:R12)</f>
        <v>490</v>
      </c>
      <c r="E12" s="38">
        <f ca="1">IFERROR(__xludf.DUMMYFUNCTION("ARRAY_CONSTRAIN(ARRAYFORMULA(SUMPRODUCT(LARGE(FILTER(F12:R12, F$3:R$3 &lt; 13),{1,2,3,4,5,6,7}))), 1, 1)"),490)</f>
        <v>490</v>
      </c>
      <c r="F12" s="38">
        <v>0</v>
      </c>
      <c r="G12" s="38">
        <v>50</v>
      </c>
      <c r="H12" s="40">
        <v>0</v>
      </c>
      <c r="I12" s="40">
        <v>240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200</v>
      </c>
      <c r="R12" s="40">
        <v>0</v>
      </c>
      <c r="S12">
        <v>0</v>
      </c>
      <c r="T12">
        <v>0</v>
      </c>
      <c r="U12">
        <v>0</v>
      </c>
      <c r="V12">
        <v>0</v>
      </c>
    </row>
    <row r="13" spans="1:22">
      <c r="A13" s="38">
        <v>7</v>
      </c>
      <c r="B13" s="41" t="s">
        <v>507</v>
      </c>
      <c r="C13" s="38">
        <f ca="1">COUNTIFS(F13:R13,"&gt;0",$F$3:R$3,"&lt;13")</f>
        <v>2</v>
      </c>
      <c r="D13" s="38">
        <f ca="1">SUMIF($F$3:R$3,"&lt;13",F13:R13)</f>
        <v>380</v>
      </c>
      <c r="E13" s="38">
        <f ca="1">IFERROR(__xludf.DUMMYFUNCTION("ARRAY_CONSTRAIN(ARRAYFORMULA(SUMPRODUCT(LARGE(FILTER(F13:R13, F$3:R$3 &lt; 13),{1,2,3,4,5,6,7}))), 1, 1)"),380)</f>
        <v>380</v>
      </c>
      <c r="F13" s="38">
        <v>0</v>
      </c>
      <c r="G13" s="38">
        <v>0</v>
      </c>
      <c r="H13" s="40">
        <v>0</v>
      </c>
      <c r="I13" s="40">
        <v>180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200</v>
      </c>
      <c r="R13" s="40">
        <v>0</v>
      </c>
      <c r="S13">
        <v>0</v>
      </c>
      <c r="T13">
        <v>0</v>
      </c>
      <c r="U13">
        <v>0</v>
      </c>
      <c r="V13">
        <v>80</v>
      </c>
    </row>
    <row r="14" spans="1:22">
      <c r="A14" s="38">
        <v>8</v>
      </c>
      <c r="B14" s="39" t="s">
        <v>505</v>
      </c>
      <c r="C14" s="38">
        <f ca="1">COUNTIFS(F14:R14,"&gt;0",$F$3:R$3,"&lt;13")</f>
        <v>2</v>
      </c>
      <c r="D14" s="38">
        <f ca="1">SUMIF($F$3:R$3,"&lt;13",F14:R14)</f>
        <v>380</v>
      </c>
      <c r="E14" s="38">
        <f ca="1">IFERROR(__xludf.DUMMYFUNCTION("ARRAY_CONSTRAIN(ARRAYFORMULA(SUMPRODUCT(LARGE(FILTER(F14:R14, F$3:R$3 &lt; 13),{1,2,3,4,5,6,7}))), 1, 1)"),380)</f>
        <v>380</v>
      </c>
      <c r="F14" s="38">
        <v>0</v>
      </c>
      <c r="G14" s="38">
        <v>80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300</v>
      </c>
      <c r="P14" s="40">
        <v>0</v>
      </c>
      <c r="Q14" s="40">
        <v>0</v>
      </c>
      <c r="R14" s="40">
        <v>0</v>
      </c>
      <c r="S14">
        <v>0</v>
      </c>
      <c r="T14">
        <v>90</v>
      </c>
      <c r="U14">
        <v>60</v>
      </c>
      <c r="V14">
        <v>0</v>
      </c>
    </row>
    <row r="15" spans="1:22">
      <c r="A15" s="38">
        <v>9</v>
      </c>
      <c r="B15" s="39" t="s">
        <v>111</v>
      </c>
      <c r="C15" s="38">
        <f ca="1">COUNTIFS(F15:R15,"&gt;0",$F$3:R$3,"&lt;13")</f>
        <v>2</v>
      </c>
      <c r="D15" s="38">
        <f ca="1">SUMIF($F$3:R$3,"&lt;13",F15:R15)</f>
        <v>370</v>
      </c>
      <c r="E15" s="38">
        <f ca="1">IFERROR(__xludf.DUMMYFUNCTION("ARRAY_CONSTRAIN(ARRAYFORMULA(SUMPRODUCT(LARGE(FILTER(F15:R15, F$3:R$3 &lt; 13),{1,2,3,4,5,6,7}))), 1, 1)"),370)</f>
        <v>370</v>
      </c>
      <c r="F15" s="38">
        <v>0</v>
      </c>
      <c r="G15" s="38">
        <v>70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300</v>
      </c>
      <c r="P15" s="40">
        <v>0</v>
      </c>
      <c r="Q15" s="40">
        <v>0</v>
      </c>
      <c r="R15" s="40">
        <v>0</v>
      </c>
      <c r="S15">
        <v>0</v>
      </c>
      <c r="T15">
        <v>70</v>
      </c>
      <c r="U15">
        <v>0</v>
      </c>
      <c r="V15">
        <v>0</v>
      </c>
    </row>
    <row r="16" spans="1:22">
      <c r="A16" s="38">
        <v>10</v>
      </c>
      <c r="B16" s="41" t="s">
        <v>112</v>
      </c>
      <c r="C16" s="38">
        <f ca="1">COUNTIFS(F16:R16,"&gt;0",$F$3:R$3,"&lt;13")</f>
        <v>3</v>
      </c>
      <c r="D16" s="38">
        <f ca="1">SUMIF($F$3:R$3,"&lt;13",F16:R16)</f>
        <v>370</v>
      </c>
      <c r="E16" s="38">
        <f ca="1">IFERROR(__xludf.DUMMYFUNCTION("ARRAY_CONSTRAIN(ARRAYFORMULA(SUMPRODUCT(LARGE(FILTER(F16:R16, F$3:R$3 &lt; 13),{1,2,3,4,5,6,7}))), 1, 1)"),370)</f>
        <v>370</v>
      </c>
      <c r="F16" s="38">
        <v>90</v>
      </c>
      <c r="G16" s="38">
        <v>100</v>
      </c>
      <c r="H16" s="40">
        <v>0</v>
      </c>
      <c r="I16" s="40">
        <v>180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>
        <v>0</v>
      </c>
      <c r="T16">
        <v>0</v>
      </c>
      <c r="U16">
        <v>60</v>
      </c>
      <c r="V16">
        <v>0</v>
      </c>
    </row>
    <row r="17" spans="1:22">
      <c r="A17" s="38">
        <v>11</v>
      </c>
      <c r="B17" s="39" t="s">
        <v>44</v>
      </c>
      <c r="C17" s="38">
        <f ca="1">COUNTIFS(F17:R17,"&gt;0",$F$3:R$3,"&lt;13")</f>
        <v>3</v>
      </c>
      <c r="D17" s="38">
        <f ca="1">SUMIF($F$3:R$3,"&lt;13",F17:R17)</f>
        <v>370</v>
      </c>
      <c r="E17" s="38">
        <f ca="1">IFERROR(__xludf.DUMMYFUNCTION("ARRAY_CONSTRAIN(ARRAYFORMULA(SUMPRODUCT(LARGE(FILTER(F17:R17, F$3:R$3 &lt; 13),{1,2,3,4,5,6,7}))), 1, 1)"),370)</f>
        <v>370</v>
      </c>
      <c r="F17" s="38">
        <v>90</v>
      </c>
      <c r="G17" s="38">
        <v>100</v>
      </c>
      <c r="H17" s="40">
        <v>0</v>
      </c>
      <c r="I17" s="40">
        <v>180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>
        <v>0</v>
      </c>
      <c r="T17">
        <v>0</v>
      </c>
      <c r="U17">
        <v>70</v>
      </c>
      <c r="V17">
        <v>0</v>
      </c>
    </row>
    <row r="18" spans="1:22">
      <c r="A18" s="38">
        <v>12</v>
      </c>
      <c r="B18" s="41" t="s">
        <v>495</v>
      </c>
      <c r="C18" s="38">
        <f ca="1">COUNTIFS(F18:R18,"&gt;0",$F$3:R$3,"&lt;13")</f>
        <v>2</v>
      </c>
      <c r="D18" s="38">
        <f ca="1">SUMIF($F$3:R$3,"&lt;13",F18:R18)</f>
        <v>250</v>
      </c>
      <c r="E18" s="38">
        <f ca="1">IFERROR(__xludf.DUMMYFUNCTION("ARRAY_CONSTRAIN(ARRAYFORMULA(SUMPRODUCT(LARGE(FILTER(F18:R18, F$3:R$3 &lt; 13),{1,2,3,4,5,6,7}))), 1, 1)"),250)</f>
        <v>250</v>
      </c>
      <c r="F18" s="40">
        <v>0</v>
      </c>
      <c r="G18" s="40">
        <v>50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200</v>
      </c>
      <c r="R18" s="40">
        <v>0</v>
      </c>
      <c r="S18">
        <v>0</v>
      </c>
      <c r="T18">
        <v>0</v>
      </c>
      <c r="U18">
        <v>0</v>
      </c>
      <c r="V18">
        <v>0</v>
      </c>
    </row>
    <row r="19" spans="1:22">
      <c r="A19" s="38">
        <v>13</v>
      </c>
      <c r="B19" s="41" t="s">
        <v>26</v>
      </c>
      <c r="C19" s="38">
        <f ca="1">COUNTIFS(F19:R19,"&gt;0",$F$3:R$3,"&lt;13")</f>
        <v>2</v>
      </c>
      <c r="D19" s="38">
        <f ca="1">SUMIF($F$3:R$3,"&lt;13",F19:R19)</f>
        <v>240</v>
      </c>
      <c r="E19" s="38">
        <f ca="1">IFERROR(__xludf.DUMMYFUNCTION("ARRAY_CONSTRAIN(ARRAYFORMULA(SUMPRODUCT(LARGE(FILTER(F19:R19, F$3:R$3 &lt; 13),{1,2,3,4,5,6,7}))), 1, 1)"),240)</f>
        <v>240</v>
      </c>
      <c r="F19" s="38">
        <v>0</v>
      </c>
      <c r="G19" s="38">
        <v>60</v>
      </c>
      <c r="H19" s="40">
        <v>0</v>
      </c>
      <c r="I19" s="40">
        <v>180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>
        <v>0</v>
      </c>
      <c r="T19">
        <v>0</v>
      </c>
      <c r="U19">
        <v>50</v>
      </c>
      <c r="V19">
        <v>0</v>
      </c>
    </row>
    <row r="20" spans="1:22">
      <c r="A20" s="38">
        <v>14</v>
      </c>
      <c r="B20" s="41" t="s">
        <v>510</v>
      </c>
      <c r="C20" s="38">
        <f ca="1">COUNTIFS(F20:R20,"&gt;0",$F$3:R$3,"&lt;13")</f>
        <v>2</v>
      </c>
      <c r="D20" s="38">
        <f ca="1">SUMIF($F$3:R$3,"&lt;13",F20:R20)</f>
        <v>240</v>
      </c>
      <c r="E20" s="38">
        <f ca="1">IFERROR(__xludf.DUMMYFUNCTION("ARRAY_CONSTRAIN(ARRAYFORMULA(SUMPRODUCT(LARGE(FILTER(F20:R20, F$3:R$3 &lt; 13),{1,2,3,4,5,6,7}))), 1, 1)"),240)</f>
        <v>240</v>
      </c>
      <c r="F20" s="38">
        <v>0</v>
      </c>
      <c r="G20" s="38">
        <v>60</v>
      </c>
      <c r="H20" s="40">
        <v>0</v>
      </c>
      <c r="I20" s="40">
        <v>180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>
        <v>0</v>
      </c>
      <c r="T20">
        <v>0</v>
      </c>
      <c r="U20">
        <v>50</v>
      </c>
      <c r="V20">
        <v>0</v>
      </c>
    </row>
    <row r="21" spans="1:22">
      <c r="A21" s="38">
        <v>15</v>
      </c>
      <c r="B21" s="41" t="s">
        <v>120</v>
      </c>
      <c r="C21" s="38">
        <f ca="1">COUNTIFS(F21:R21,"&gt;0",$F$3:R$3,"&lt;13")</f>
        <v>2</v>
      </c>
      <c r="D21" s="38">
        <f ca="1">SUMIF($F$3:R$3,"&lt;13",F21:R21)</f>
        <v>240</v>
      </c>
      <c r="E21" s="38">
        <f ca="1">IFERROR(__xludf.DUMMYFUNCTION("ARRAY_CONSTRAIN(ARRAYFORMULA(SUMPRODUCT(LARGE(FILTER(F21:R21, F$3:R$3 &lt; 13),{1,2,3,4,5,6,7}))), 1, 1)"),240)</f>
        <v>240</v>
      </c>
      <c r="F21" s="38">
        <v>0</v>
      </c>
      <c r="G21" s="38">
        <v>60</v>
      </c>
      <c r="H21" s="40">
        <v>0</v>
      </c>
      <c r="I21" s="40">
        <v>180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>
        <v>0</v>
      </c>
      <c r="T21">
        <v>0</v>
      </c>
      <c r="U21">
        <v>70</v>
      </c>
      <c r="V21">
        <v>0</v>
      </c>
    </row>
    <row r="22" spans="1:22">
      <c r="A22" s="38">
        <v>16</v>
      </c>
      <c r="B22" s="41" t="s">
        <v>134</v>
      </c>
      <c r="C22" s="38">
        <f ca="1">COUNTIFS(F22:R22,"&gt;0",$F$3:R$3,"&lt;13")</f>
        <v>1</v>
      </c>
      <c r="D22" s="38">
        <f ca="1">SUMIF($F$3:R$3,"&lt;13",F22:R22)</f>
        <v>100</v>
      </c>
      <c r="E22" s="38">
        <f ca="1">IFERROR(__xludf.DUMMYFUNCTION("ARRAY_CONSTRAIN(ARRAYFORMULA(SUMPRODUCT(LARGE(FILTER(F22:R22, F$3:R$3 &lt; 13),{1,2,3,4,5,6,7}))), 1, 1)"),100)</f>
        <v>100</v>
      </c>
      <c r="F22" s="38">
        <v>0</v>
      </c>
      <c r="G22" s="38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100</v>
      </c>
      <c r="S22">
        <v>0</v>
      </c>
      <c r="T22">
        <v>0</v>
      </c>
      <c r="U22">
        <v>0</v>
      </c>
      <c r="V22">
        <v>0</v>
      </c>
    </row>
    <row r="23" spans="1:22">
      <c r="A23" s="38">
        <v>17</v>
      </c>
      <c r="B23" s="41" t="s">
        <v>171</v>
      </c>
      <c r="C23" s="38">
        <f ca="1">COUNTIFS(F23:R23,"&gt;0",$F$3:R$3,"&lt;13")</f>
        <v>1</v>
      </c>
      <c r="D23" s="38">
        <f ca="1">SUMIF($F$3:R$3,"&lt;13",F23:R23)</f>
        <v>100</v>
      </c>
      <c r="E23" s="38">
        <f ca="1">IFERROR(__xludf.DUMMYFUNCTION("ARRAY_CONSTRAIN(ARRAYFORMULA(SUMPRODUCT(LARGE(FILTER(F23:R23, F$3:R$3 &lt; 13),{1,2,3,4,5,6,7}))), 1, 1)"),100)</f>
        <v>100</v>
      </c>
      <c r="F23" s="38">
        <v>100</v>
      </c>
      <c r="G23" s="38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>
        <v>0</v>
      </c>
      <c r="T23">
        <v>0</v>
      </c>
      <c r="U23">
        <v>0</v>
      </c>
      <c r="V23">
        <v>0</v>
      </c>
    </row>
    <row r="24" spans="1:22">
      <c r="A24" s="38">
        <v>18</v>
      </c>
      <c r="B24" s="39" t="s">
        <v>113</v>
      </c>
      <c r="C24" s="38">
        <f ca="1">COUNTIFS(F24:R24,"&gt;0",$F$3:R$3,"&lt;13")</f>
        <v>1</v>
      </c>
      <c r="D24" s="38">
        <f ca="1">SUMIF($F$3:R$3,"&lt;13",F24:R24)</f>
        <v>90</v>
      </c>
      <c r="E24" s="38">
        <f ca="1">IFERROR(__xludf.DUMMYFUNCTION("ARRAY_CONSTRAIN(ARRAYFORMULA(SUMPRODUCT(LARGE(FILTER(F24:R24, F$3:R$3 &lt; 13),{1,2,3,4,5,6,7}))), 1, 1)"),90)</f>
        <v>90</v>
      </c>
      <c r="F24" s="38">
        <v>0</v>
      </c>
      <c r="G24" s="38">
        <v>90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>
        <v>0</v>
      </c>
      <c r="T24">
        <v>80</v>
      </c>
      <c r="U24">
        <v>100</v>
      </c>
      <c r="V24">
        <v>0</v>
      </c>
    </row>
    <row r="25" spans="1:22">
      <c r="A25" s="38">
        <v>19</v>
      </c>
      <c r="B25" s="41" t="s">
        <v>620</v>
      </c>
      <c r="C25" s="38">
        <f ca="1">COUNTIFS(F25:R25,"&gt;0",$F$3:R$3,"&lt;13")</f>
        <v>1</v>
      </c>
      <c r="D25" s="38">
        <f ca="1">SUMIF($F$3:R$3,"&lt;13",F25:R25)</f>
        <v>80</v>
      </c>
      <c r="E25" s="38">
        <f ca="1">IFERROR(__xludf.DUMMYFUNCTION("ARRAY_CONSTRAIN(ARRAYFORMULA(SUMPRODUCT(LARGE(FILTER(F25:R25, F$3:R$3 &lt; 13),{1,2,3,4,5,6,7}))), 1, 1)"),80)</f>
        <v>80</v>
      </c>
      <c r="F25" s="40">
        <v>80</v>
      </c>
      <c r="G25" s="38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>
        <v>0</v>
      </c>
      <c r="T25">
        <v>0</v>
      </c>
      <c r="U25">
        <v>0</v>
      </c>
      <c r="V25">
        <v>0</v>
      </c>
    </row>
    <row r="26" spans="1:22">
      <c r="A26" s="38">
        <v>20</v>
      </c>
      <c r="B26" s="41" t="s">
        <v>139</v>
      </c>
      <c r="C26" s="38">
        <f ca="1">COUNTIFS(F26:R26,"&gt;0",$F$3:R$3,"&lt;13")</f>
        <v>1</v>
      </c>
      <c r="D26" s="38">
        <f ca="1">SUMIF($F$3:R$3,"&lt;13",F26:R26)</f>
        <v>80</v>
      </c>
      <c r="E26" s="38">
        <f ca="1">IFERROR(__xludf.DUMMYFUNCTION("ARRAY_CONSTRAIN(ARRAYFORMULA(SUMPRODUCT(LARGE(FILTER(F26:R26, F$3:R$3 &lt; 13),{1,2,3,4,5,6,7}))), 1, 1)"),80)</f>
        <v>80</v>
      </c>
      <c r="F26" s="40">
        <v>80</v>
      </c>
      <c r="G26" s="38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>
        <v>0</v>
      </c>
      <c r="T26">
        <v>0</v>
      </c>
      <c r="U26">
        <v>0</v>
      </c>
      <c r="V26">
        <v>0</v>
      </c>
    </row>
    <row r="27" spans="1:22">
      <c r="A27" s="38">
        <v>21</v>
      </c>
      <c r="B27" s="39" t="s">
        <v>108</v>
      </c>
      <c r="C27" s="38">
        <f ca="1">COUNTIFS(F27:R27,"&gt;0",$F$3:R$3,"&lt;13")</f>
        <v>1</v>
      </c>
      <c r="D27" s="38">
        <f ca="1">SUMIF($F$3:R$3,"&lt;13",F27:R27)</f>
        <v>80</v>
      </c>
      <c r="E27" s="38">
        <f ca="1">IFERROR(__xludf.DUMMYFUNCTION("ARRAY_CONSTRAIN(ARRAYFORMULA(SUMPRODUCT(LARGE(FILTER(F27:R27, F$3:R$3 &lt; 13),{1,2,3,4,5,6,7}))), 1, 1)"),80)</f>
        <v>80</v>
      </c>
      <c r="F27" s="38">
        <v>0</v>
      </c>
      <c r="G27" s="38">
        <v>80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40">
        <v>0</v>
      </c>
      <c r="S27">
        <v>0</v>
      </c>
      <c r="T27">
        <v>0</v>
      </c>
      <c r="U27">
        <v>0</v>
      </c>
      <c r="V27">
        <v>0</v>
      </c>
    </row>
    <row r="28" spans="1:22">
      <c r="A28" s="38">
        <v>22</v>
      </c>
      <c r="B28" s="39" t="s">
        <v>519</v>
      </c>
      <c r="C28" s="38">
        <f ca="1">COUNTIFS(F28:R28,"&gt;0",$F$3:R$3,"&lt;13")</f>
        <v>1</v>
      </c>
      <c r="D28" s="38">
        <f ca="1">SUMIF($F$3:R$3,"&lt;13",F28:R28)</f>
        <v>70</v>
      </c>
      <c r="E28" s="38">
        <f ca="1">IFERROR(__xludf.DUMMYFUNCTION("ARRAY_CONSTRAIN(ARRAYFORMULA(SUMPRODUCT(LARGE(FILTER(F28:R28, F$3:R$3 &lt; 13),{1,2,3,4,5,6,7}))), 1, 1)"),70)</f>
        <v>70</v>
      </c>
      <c r="F28" s="38">
        <v>0</v>
      </c>
      <c r="G28" s="38">
        <v>70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>
        <v>0</v>
      </c>
      <c r="T28">
        <v>0</v>
      </c>
      <c r="U28">
        <v>60</v>
      </c>
      <c r="V28">
        <v>0</v>
      </c>
    </row>
    <row r="29" spans="1:22">
      <c r="A29" s="38">
        <v>23</v>
      </c>
      <c r="B29" s="39" t="s">
        <v>24</v>
      </c>
      <c r="C29" s="38">
        <f ca="1">COUNTIFS(F29:R29,"&gt;0",$F$3:R$3,"&lt;13")</f>
        <v>1</v>
      </c>
      <c r="D29" s="38">
        <f ca="1">SUMIF($F$3:R$3,"&lt;13",F29:R29)</f>
        <v>60</v>
      </c>
      <c r="E29" s="38">
        <f ca="1">IFERROR(__xludf.DUMMYFUNCTION("ARRAY_CONSTRAIN(ARRAYFORMULA(SUMPRODUCT(LARGE(FILTER(F29:R29, F$3:R$3 &lt; 13),{1,2,3,4,5,6,7}))), 1, 1)"),60)</f>
        <v>60</v>
      </c>
      <c r="F29" s="38">
        <v>0</v>
      </c>
      <c r="G29" s="38">
        <v>60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>
        <v>0</v>
      </c>
      <c r="T29">
        <v>0</v>
      </c>
      <c r="U29">
        <v>0</v>
      </c>
      <c r="V29">
        <v>0</v>
      </c>
    </row>
    <row r="30" spans="1:22">
      <c r="A30" s="38">
        <v>24</v>
      </c>
      <c r="B30" s="41" t="s">
        <v>527</v>
      </c>
      <c r="C30" s="38">
        <f ca="1">COUNTIFS(F30:R30,"&gt;0",$F$3:R$3,"&lt;13")</f>
        <v>1</v>
      </c>
      <c r="D30" s="38">
        <f ca="1">SUMIF($F$3:R$3,"&lt;13",F30:R30)</f>
        <v>60</v>
      </c>
      <c r="E30" s="38">
        <f ca="1">IFERROR(__xludf.DUMMYFUNCTION("ARRAY_CONSTRAIN(ARRAYFORMULA(SUMPRODUCT(LARGE(FILTER(F30:R30, F$3:R$3 &lt; 13),{1,2,3,4,5,6,7}))), 1, 1)"),60)</f>
        <v>60</v>
      </c>
      <c r="F30" s="40">
        <v>0</v>
      </c>
      <c r="G30" s="40">
        <v>60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>
        <v>0</v>
      </c>
      <c r="T30">
        <v>0</v>
      </c>
      <c r="U30">
        <v>0</v>
      </c>
      <c r="V30">
        <v>0</v>
      </c>
    </row>
    <row r="31" spans="1:22">
      <c r="A31" s="38">
        <v>25</v>
      </c>
      <c r="B31" s="41" t="s">
        <v>513</v>
      </c>
      <c r="C31" s="38">
        <f ca="1">COUNTIFS(F31:R31,"&gt;0",$F$3:R$3,"&lt;13")</f>
        <v>1</v>
      </c>
      <c r="D31" s="38">
        <f ca="1">SUMIF($F$3:R$3,"&lt;13",F31:R31)</f>
        <v>60</v>
      </c>
      <c r="E31" s="38">
        <f ca="1">IFERROR(__xludf.DUMMYFUNCTION("ARRAY_CONSTRAIN(ARRAYFORMULA(SUMPRODUCT(LARGE(FILTER(F31:R31, F$3:R$3 &lt; 13),{1,2,3,4,5,6,7}))), 1, 1)"),60)</f>
        <v>60</v>
      </c>
      <c r="F31" s="40">
        <v>0</v>
      </c>
      <c r="G31" s="40">
        <v>60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>
        <v>0</v>
      </c>
      <c r="T31">
        <v>0</v>
      </c>
      <c r="U31">
        <v>0</v>
      </c>
      <c r="V31">
        <v>0</v>
      </c>
    </row>
    <row r="32" spans="1:22">
      <c r="A32" s="38">
        <v>26</v>
      </c>
      <c r="B32" s="41" t="s">
        <v>116</v>
      </c>
      <c r="C32" s="38">
        <f ca="1">COUNTIFS(F32:R32,"&gt;0",$F$3:R$3,"&lt;13")</f>
        <v>1</v>
      </c>
      <c r="D32" s="38">
        <f ca="1">SUMIF($F$3:R$3,"&lt;13",F32:R32)</f>
        <v>60</v>
      </c>
      <c r="E32" s="38">
        <f ca="1">IFERROR(__xludf.DUMMYFUNCTION("ARRAY_CONSTRAIN(ARRAYFORMULA(SUMPRODUCT(LARGE(FILTER(F32:R32, F$3:R$3 &lt; 13),{1,2,3,4,5,6,7}))), 1, 1)"),60)</f>
        <v>60</v>
      </c>
      <c r="F32" s="40">
        <v>0</v>
      </c>
      <c r="G32" s="40">
        <v>60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>
        <v>0</v>
      </c>
      <c r="T32">
        <v>0</v>
      </c>
      <c r="U32">
        <v>0</v>
      </c>
      <c r="V32">
        <v>0</v>
      </c>
    </row>
    <row r="33" spans="1:22">
      <c r="A33" s="38">
        <v>27</v>
      </c>
      <c r="B33" s="41" t="s">
        <v>488</v>
      </c>
      <c r="C33" s="38">
        <f ca="1">COUNTIFS(F33:R33,"&gt;0",$F$3:R$3,"&lt;13")</f>
        <v>1</v>
      </c>
      <c r="D33" s="38">
        <f ca="1">SUMIF($F$3:R$3,"&lt;13",F33:R33)</f>
        <v>50</v>
      </c>
      <c r="E33" s="38">
        <f ca="1">IFERROR(__xludf.DUMMYFUNCTION("ARRAY_CONSTRAIN(ARRAYFORMULA(SUMPRODUCT(LARGE(FILTER(F33:R33, F$3:R$3 &lt; 13),{1,2,3,4,5,6,7}))), 1, 1)"),50)</f>
        <v>50</v>
      </c>
      <c r="F33" s="38">
        <v>0</v>
      </c>
      <c r="G33" s="38">
        <v>50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>
        <v>0</v>
      </c>
      <c r="T33">
        <v>50</v>
      </c>
      <c r="U33">
        <v>60</v>
      </c>
      <c r="V33">
        <v>0</v>
      </c>
    </row>
    <row r="34" spans="1:22">
      <c r="A34" s="38">
        <v>28</v>
      </c>
      <c r="B34" s="41" t="s">
        <v>626</v>
      </c>
      <c r="C34" s="38">
        <f ca="1">COUNTIFS(F34:R34,"&gt;0",$F$3:R$3,"&lt;13")</f>
        <v>1</v>
      </c>
      <c r="D34" s="38">
        <f ca="1">SUMIF($F$3:R$3,"&lt;13",F34:R34)</f>
        <v>50</v>
      </c>
      <c r="E34" s="38">
        <f ca="1">IFERROR(__xludf.DUMMYFUNCTION("ARRAY_CONSTRAIN(ARRAYFORMULA(SUMPRODUCT(LARGE(FILTER(F34:R34, F$3:R$3 &lt; 13),{1,2,3,4,5,6,7}))), 1, 1)"),50)</f>
        <v>50</v>
      </c>
      <c r="F34" s="38">
        <v>0</v>
      </c>
      <c r="G34" s="38">
        <v>50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>
        <v>0</v>
      </c>
      <c r="T34">
        <v>50</v>
      </c>
      <c r="U34">
        <v>0</v>
      </c>
      <c r="V34">
        <v>0</v>
      </c>
    </row>
    <row r="35" spans="1:22">
      <c r="A35" s="38">
        <v>29</v>
      </c>
      <c r="B35" s="41" t="s">
        <v>512</v>
      </c>
      <c r="C35" s="38">
        <f ca="1">COUNTIFS(F35:R35,"&gt;0",$F$3:R$3,"&lt;13")</f>
        <v>1</v>
      </c>
      <c r="D35" s="38">
        <f ca="1">SUMIF($F$3:R$3,"&lt;13",F35:R35)</f>
        <v>50</v>
      </c>
      <c r="E35" s="38">
        <f ca="1">IFERROR(__xludf.DUMMYFUNCTION("ARRAY_CONSTRAIN(ARRAYFORMULA(SUMPRODUCT(LARGE(FILTER(F35:R35, F$3:R$3 &lt; 13),{1,2,3,4,5,6,7}))), 1, 1)"),50)</f>
        <v>50</v>
      </c>
      <c r="F35" s="40">
        <v>0</v>
      </c>
      <c r="G35" s="40">
        <v>50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>
        <v>0</v>
      </c>
      <c r="T35">
        <v>0</v>
      </c>
      <c r="U35">
        <v>0</v>
      </c>
      <c r="V35">
        <v>0</v>
      </c>
    </row>
    <row r="36" spans="1:22">
      <c r="A36" s="38">
        <v>30</v>
      </c>
      <c r="B36" s="41" t="s">
        <v>125</v>
      </c>
      <c r="C36" s="38">
        <f ca="1">COUNTIFS(F36:R36,"&gt;0",$F$3:R$3,"&lt;13")</f>
        <v>1</v>
      </c>
      <c r="D36" s="38">
        <f ca="1">SUMIF($F$3:R$3,"&lt;13",F36:R36)</f>
        <v>50</v>
      </c>
      <c r="E36" s="38">
        <f ca="1">IFERROR(__xludf.DUMMYFUNCTION("ARRAY_CONSTRAIN(ARRAYFORMULA(SUMPRODUCT(LARGE(FILTER(F36:R36, F$3:R$3 &lt; 13),{1,2,3,4,5,6,7}))), 1, 1)"),50)</f>
        <v>50</v>
      </c>
      <c r="F36" s="40">
        <v>0</v>
      </c>
      <c r="G36" s="40">
        <v>50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>
        <v>0</v>
      </c>
      <c r="T36">
        <v>0</v>
      </c>
      <c r="U36">
        <v>0</v>
      </c>
      <c r="V36">
        <v>0</v>
      </c>
    </row>
    <row r="37" spans="1:22">
      <c r="A37" s="38">
        <v>31</v>
      </c>
      <c r="B37" s="39" t="s">
        <v>22</v>
      </c>
      <c r="C37" s="38">
        <f>COUNTIFS(F37:R37,"&gt;0",$F$3:R$3,"&lt;13")</f>
        <v>0</v>
      </c>
      <c r="D37" s="38">
        <f ca="1">SUMIF($F$3:R$3,"&lt;13",F37:R37)</f>
        <v>0</v>
      </c>
      <c r="E37" s="38">
        <f ca="1">IFERROR(__xludf.DUMMYFUNCTION("ARRAY_CONSTRAIN(ARRAYFORMULA(SUMPRODUCT(LARGE(FILTER(F37:R37, F$3:R$3 &lt; 13),{1,2,3,4,5,6,7}))), 1, 1)"),0)</f>
        <v>0</v>
      </c>
      <c r="F37" s="38">
        <v>0</v>
      </c>
      <c r="G37" s="38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>
        <v>0</v>
      </c>
      <c r="T37">
        <v>90</v>
      </c>
      <c r="U37">
        <v>0</v>
      </c>
      <c r="V37">
        <v>0</v>
      </c>
    </row>
    <row r="38" spans="1:22">
      <c r="A38" s="38">
        <v>32</v>
      </c>
      <c r="B38" s="39" t="s">
        <v>168</v>
      </c>
      <c r="C38" s="38">
        <f>COUNTIFS(F38:R38,"&gt;0",$F$3:R$3,"&lt;13")</f>
        <v>0</v>
      </c>
      <c r="D38" s="38">
        <f ca="1">SUMIF($F$3:R$3,"&lt;13",F38:R38)</f>
        <v>0</v>
      </c>
      <c r="E38" s="38">
        <f ca="1">IFERROR(__xludf.DUMMYFUNCTION("ARRAY_CONSTRAIN(ARRAYFORMULA(SUMPRODUCT(LARGE(FILTER(F38:R38, F$3:R$3 &lt; 13),{1,2,3,4,5,6,7}))), 1, 1)"),0)</f>
        <v>0</v>
      </c>
      <c r="F38" s="38">
        <v>0</v>
      </c>
      <c r="G38" s="38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>
        <v>0</v>
      </c>
      <c r="T38">
        <v>0</v>
      </c>
      <c r="U38">
        <v>0</v>
      </c>
      <c r="V38">
        <v>0</v>
      </c>
    </row>
    <row r="39" spans="1:22">
      <c r="A39" s="38">
        <v>33</v>
      </c>
      <c r="B39" s="39" t="s">
        <v>23</v>
      </c>
      <c r="C39" s="38">
        <f>COUNTIFS(F39:R39,"&gt;0",$F$3:R$3,"&lt;13")</f>
        <v>0</v>
      </c>
      <c r="D39" s="38">
        <f ca="1">SUMIF($F$3:R$3,"&lt;13",F39:R39)</f>
        <v>0</v>
      </c>
      <c r="E39" s="38">
        <f ca="1">IFERROR(__xludf.DUMMYFUNCTION("ARRAY_CONSTRAIN(ARRAYFORMULA(SUMPRODUCT(LARGE(FILTER(F39:R39, F$3:R$3 &lt; 13),{1,2,3,4,5,6,7}))), 1, 1)"),0)</f>
        <v>0</v>
      </c>
      <c r="F39" s="38">
        <v>0</v>
      </c>
      <c r="G39" s="38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>
        <v>0</v>
      </c>
      <c r="T39">
        <v>0</v>
      </c>
      <c r="U39">
        <v>90</v>
      </c>
      <c r="V39">
        <v>0</v>
      </c>
    </row>
    <row r="40" spans="1:22">
      <c r="A40" s="38">
        <v>34</v>
      </c>
      <c r="B40" s="39" t="s">
        <v>121</v>
      </c>
      <c r="C40" s="38">
        <f>COUNTIFS(F40:R40,"&gt;0",$F$3:R$3,"&lt;13")</f>
        <v>0</v>
      </c>
      <c r="D40" s="38">
        <f ca="1">SUMIF($F$3:R$3,"&lt;13",F40:R40)</f>
        <v>0</v>
      </c>
      <c r="E40" s="38">
        <f ca="1">IFERROR(__xludf.DUMMYFUNCTION("ARRAY_CONSTRAIN(ARRAYFORMULA(SUMPRODUCT(LARGE(FILTER(F40:R40, F$3:R$3 &lt; 13),{1,2,3,4,5,6,7}))), 1, 1)"),0)</f>
        <v>0</v>
      </c>
      <c r="F40" s="38">
        <v>0</v>
      </c>
      <c r="G40" s="38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>
        <v>0</v>
      </c>
      <c r="T40">
        <v>100</v>
      </c>
      <c r="U40">
        <v>0</v>
      </c>
      <c r="V40">
        <v>0</v>
      </c>
    </row>
    <row r="41" spans="1:22">
      <c r="A41" s="38">
        <v>35</v>
      </c>
      <c r="B41" s="41" t="s">
        <v>169</v>
      </c>
      <c r="C41" s="38">
        <f>COUNTIFS(F41:R41,"&gt;0",$F$3:R$3,"&lt;13")</f>
        <v>0</v>
      </c>
      <c r="D41" s="38">
        <f ca="1">SUMIF($F$3:R$3,"&lt;13",F41:R41)</f>
        <v>0</v>
      </c>
      <c r="E41" s="38">
        <f ca="1">IFERROR(__xludf.DUMMYFUNCTION("ARRAY_CONSTRAIN(ARRAYFORMULA(SUMPRODUCT(LARGE(FILTER(F41:R41, F$3:R$3 &lt; 13),{1,2,3,4,5,6,7}))), 1, 1)"),0)</f>
        <v>0</v>
      </c>
      <c r="F41" s="38">
        <v>0</v>
      </c>
      <c r="G41" s="38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>
        <v>0</v>
      </c>
      <c r="T41">
        <v>0</v>
      </c>
      <c r="U41">
        <v>0</v>
      </c>
      <c r="V41">
        <v>0</v>
      </c>
    </row>
    <row r="42" spans="1:22">
      <c r="A42" s="38">
        <v>36</v>
      </c>
      <c r="B42" s="39" t="s">
        <v>623</v>
      </c>
      <c r="C42" s="38">
        <f>COUNTIFS(F42:R42,"&gt;0",$F$3:R$3,"&lt;13")</f>
        <v>0</v>
      </c>
      <c r="D42" s="38">
        <f ca="1">SUMIF($F$3:R$3,"&lt;13",F42:R42)</f>
        <v>0</v>
      </c>
      <c r="E42" s="38">
        <f ca="1">IFERROR(__xludf.DUMMYFUNCTION("ARRAY_CONSTRAIN(ARRAYFORMULA(SUMPRODUCT(LARGE(FILTER(F42:R42, F$3:R$3 &lt; 13),{1,2,3,4,5,6,7}))), 1, 1)"),0)</f>
        <v>0</v>
      </c>
      <c r="F42" s="38">
        <v>0</v>
      </c>
      <c r="G42" s="38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>
        <v>0</v>
      </c>
      <c r="T42">
        <v>0</v>
      </c>
      <c r="U42">
        <v>0</v>
      </c>
      <c r="V42">
        <v>100</v>
      </c>
    </row>
    <row r="43" spans="1:22">
      <c r="A43" s="38">
        <v>37</v>
      </c>
      <c r="B43" s="41" t="s">
        <v>175</v>
      </c>
      <c r="C43" s="38">
        <f>COUNTIFS(F43:R43,"&gt;0",$F$3:R$3,"&lt;13")</f>
        <v>0</v>
      </c>
      <c r="D43" s="38">
        <f ca="1">SUMIF($F$3:R$3,"&lt;13",F43:R43)</f>
        <v>0</v>
      </c>
      <c r="E43" s="38">
        <f ca="1">IFERROR(__xludf.DUMMYFUNCTION("ARRAY_CONSTRAIN(ARRAYFORMULA(SUMPRODUCT(LARGE(FILTER(F43:R43, F$3:R$3 &lt; 13),{1,2,3,4,5,6,7}))), 1, 1)"),0)</f>
        <v>0</v>
      </c>
      <c r="F43" s="38">
        <v>0</v>
      </c>
      <c r="G43" s="38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>
        <v>0</v>
      </c>
      <c r="T43">
        <v>0</v>
      </c>
      <c r="U43">
        <v>0</v>
      </c>
      <c r="V43">
        <v>0</v>
      </c>
    </row>
    <row r="44" spans="1:22">
      <c r="A44" s="38">
        <v>38</v>
      </c>
      <c r="B44" s="41" t="s">
        <v>516</v>
      </c>
      <c r="C44" s="38">
        <f>COUNTIFS(F44:R44,"&gt;0",$F$3:R$3,"&lt;13")</f>
        <v>0</v>
      </c>
      <c r="D44" s="38">
        <f ca="1">SUMIF($F$3:R$3,"&lt;13",F44:R44)</f>
        <v>0</v>
      </c>
      <c r="E44" s="38">
        <f ca="1">IFERROR(__xludf.DUMMYFUNCTION("ARRAY_CONSTRAIN(ARRAYFORMULA(SUMPRODUCT(LARGE(FILTER(F44:R44, F$3:R$3 &lt; 13),{1,2,3,4,5,6,7}))), 1, 1)"),0)</f>
        <v>0</v>
      </c>
      <c r="F44" s="38">
        <v>0</v>
      </c>
      <c r="G44" s="38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>
        <v>0</v>
      </c>
      <c r="T44">
        <v>60</v>
      </c>
      <c r="U44">
        <v>0</v>
      </c>
      <c r="V44">
        <v>0</v>
      </c>
    </row>
    <row r="45" spans="1:22">
      <c r="A45" s="38">
        <v>39</v>
      </c>
      <c r="B45" s="41" t="s">
        <v>609</v>
      </c>
      <c r="C45" s="38">
        <f>COUNTIFS(F45:R45,"&gt;0",$F$3:R$3,"&lt;13")</f>
        <v>0</v>
      </c>
      <c r="D45" s="38">
        <f ca="1">SUMIF($F$3:R$3,"&lt;13",F45:R45)</f>
        <v>0</v>
      </c>
      <c r="E45" s="38">
        <f ca="1">IFERROR(__xludf.DUMMYFUNCTION("ARRAY_CONSTRAIN(ARRAYFORMULA(SUMPRODUCT(LARGE(FILTER(F45:R45, F$3:R$3 &lt; 13),{1,2,3,4,5,6,7}))), 1, 1)"),0)</f>
        <v>0</v>
      </c>
      <c r="F45" s="38">
        <v>0</v>
      </c>
      <c r="G45" s="38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>
        <v>0</v>
      </c>
      <c r="T45">
        <v>0</v>
      </c>
      <c r="U45">
        <v>0</v>
      </c>
      <c r="V45">
        <v>0</v>
      </c>
    </row>
    <row r="46" spans="1:22">
      <c r="A46" s="38">
        <v>40</v>
      </c>
      <c r="B46" s="39" t="s">
        <v>192</v>
      </c>
      <c r="C46" s="38">
        <f>COUNTIFS(F46:R46,"&gt;0",$F$3:R$3,"&lt;13")</f>
        <v>0</v>
      </c>
      <c r="D46" s="38">
        <f ca="1">SUMIF($F$3:R$3,"&lt;13",F46:R46)</f>
        <v>0</v>
      </c>
      <c r="E46" s="38">
        <f ca="1">IFERROR(__xludf.DUMMYFUNCTION("ARRAY_CONSTRAIN(ARRAYFORMULA(SUMPRODUCT(LARGE(FILTER(F46:R46, F$3:R$3 &lt; 13),{1,2,3,4,5,6,7}))), 1, 1)"),0)</f>
        <v>0</v>
      </c>
      <c r="F46" s="38">
        <v>0</v>
      </c>
      <c r="G46" s="38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>
        <v>0</v>
      </c>
      <c r="T46">
        <v>0</v>
      </c>
      <c r="U46">
        <v>50</v>
      </c>
      <c r="V46">
        <v>0</v>
      </c>
    </row>
    <row r="47" spans="1:22">
      <c r="A47" s="38">
        <v>41</v>
      </c>
      <c r="B47" s="39" t="s">
        <v>524</v>
      </c>
      <c r="C47" s="38">
        <f>COUNTIFS(F47:R47,"&gt;0",$F$3:R$3,"&lt;13")</f>
        <v>0</v>
      </c>
      <c r="D47" s="38">
        <f ca="1">SUMIF($F$3:R$3,"&lt;13",F47:R47)</f>
        <v>0</v>
      </c>
      <c r="E47" s="38">
        <f ca="1">IFERROR(__xludf.DUMMYFUNCTION("ARRAY_CONSTRAIN(ARRAYFORMULA(SUMPRODUCT(LARGE(FILTER(F47:R47, F$3:R$3 &lt; 13),{1,2,3,4,5,6,7}))), 1, 1)"),0)</f>
        <v>0</v>
      </c>
      <c r="F47" s="38">
        <v>0</v>
      </c>
      <c r="G47" s="38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>
        <v>0</v>
      </c>
      <c r="T47">
        <v>0</v>
      </c>
      <c r="U47">
        <v>50</v>
      </c>
      <c r="V47">
        <v>0</v>
      </c>
    </row>
    <row r="48" spans="1:22">
      <c r="A48" s="38">
        <v>42</v>
      </c>
      <c r="B48" s="39" t="s">
        <v>208</v>
      </c>
      <c r="C48" s="38">
        <f>COUNTIFS(F48:R48,"&gt;0",$F$3:R$3,"&lt;13")</f>
        <v>0</v>
      </c>
      <c r="D48" s="38">
        <f ca="1">SUMIF($F$3:R$3,"&lt;13",F48:R48)</f>
        <v>0</v>
      </c>
      <c r="E48" s="38">
        <f ca="1">IFERROR(__xludf.DUMMYFUNCTION("ARRAY_CONSTRAIN(ARRAYFORMULA(SUMPRODUCT(LARGE(FILTER(F48:R48, F$3:R$3 &lt; 13),{1,2,3,4,5,6,7}))), 1, 1)"),0)</f>
        <v>0</v>
      </c>
      <c r="F48" s="38">
        <v>0</v>
      </c>
      <c r="G48" s="38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>
        <v>0</v>
      </c>
      <c r="T48">
        <v>0</v>
      </c>
      <c r="U48">
        <v>0</v>
      </c>
      <c r="V48">
        <v>0</v>
      </c>
    </row>
    <row r="49" spans="1:22">
      <c r="A49" s="38">
        <v>43</v>
      </c>
      <c r="B49" s="41" t="s">
        <v>621</v>
      </c>
      <c r="C49" s="38">
        <f>COUNTIFS(F49:R49,"&gt;0",$F$3:R$3,"&lt;13")</f>
        <v>0</v>
      </c>
      <c r="D49" s="38">
        <f ca="1">SUMIF($F$3:R$3,"&lt;13",F49:R49)</f>
        <v>0</v>
      </c>
      <c r="E49" s="38">
        <f ca="1">IFERROR(__xludf.DUMMYFUNCTION("ARRAY_CONSTRAIN(ARRAYFORMULA(SUMPRODUCT(LARGE(FILTER(F49:R49, F$3:R$3 &lt; 13),{1,2,3,4,5,6,7}))), 1, 1)"),0)</f>
        <v>0</v>
      </c>
      <c r="F49" s="38">
        <v>0</v>
      </c>
      <c r="G49" s="38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>
        <v>0</v>
      </c>
      <c r="T49">
        <v>0</v>
      </c>
      <c r="U49">
        <v>0</v>
      </c>
      <c r="V49">
        <v>0</v>
      </c>
    </row>
    <row r="50" spans="1:22">
      <c r="A50" s="38">
        <v>44</v>
      </c>
      <c r="B50" s="41" t="s">
        <v>185</v>
      </c>
      <c r="C50" s="38">
        <f>COUNTIFS(F50:R50,"&gt;0",$F$3:R$3,"&lt;13")</f>
        <v>0</v>
      </c>
      <c r="D50" s="38">
        <f ca="1">SUMIF($F$3:R$3,"&lt;13",F50:R50)</f>
        <v>0</v>
      </c>
      <c r="E50" s="38">
        <f ca="1">IFERROR(__xludf.DUMMYFUNCTION("ARRAY_CONSTRAIN(ARRAYFORMULA(SUMPRODUCT(LARGE(FILTER(F50:R50, F$3:R$3 &lt; 13),{1,2,3,4,5,6,7}))), 1, 1)"),0)</f>
        <v>0</v>
      </c>
      <c r="F50" s="38">
        <v>0</v>
      </c>
      <c r="G50" s="38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>
        <v>0</v>
      </c>
      <c r="T50">
        <v>0</v>
      </c>
      <c r="U50">
        <v>0</v>
      </c>
      <c r="V50">
        <v>100</v>
      </c>
    </row>
    <row r="51" spans="1:22">
      <c r="A51" s="38">
        <v>45</v>
      </c>
      <c r="B51" s="41" t="s">
        <v>622</v>
      </c>
      <c r="C51" s="38">
        <f>COUNTIFS(F51:R51,"&gt;0",$F$3:R$3,"&lt;13")</f>
        <v>0</v>
      </c>
      <c r="D51" s="38">
        <f ca="1">SUMIF($F$3:R$3,"&lt;13",F51:R51)</f>
        <v>0</v>
      </c>
      <c r="E51" s="38">
        <f ca="1">IFERROR(__xludf.DUMMYFUNCTION("ARRAY_CONSTRAIN(ARRAYFORMULA(SUMPRODUCT(LARGE(FILTER(F51:R51, F$3:R$3 &lt; 13),{1,2,3,4,5,6,7}))), 1, 1)"),0)</f>
        <v>0</v>
      </c>
      <c r="F51" s="38">
        <v>0</v>
      </c>
      <c r="G51" s="38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>
        <v>0</v>
      </c>
      <c r="T51">
        <v>0</v>
      </c>
      <c r="U51">
        <v>0</v>
      </c>
      <c r="V51">
        <v>0</v>
      </c>
    </row>
    <row r="52" spans="1:22">
      <c r="A52" s="38">
        <v>46</v>
      </c>
      <c r="B52" s="41" t="s">
        <v>631</v>
      </c>
      <c r="C52" s="38">
        <f>COUNTIFS(F52:R52,"&gt;0",$F$3:R$3,"&lt;13")</f>
        <v>0</v>
      </c>
      <c r="D52" s="38">
        <f ca="1">SUMIF($F$3:R$3,"&lt;13",F52:R52)</f>
        <v>0</v>
      </c>
      <c r="E52" s="38">
        <f ca="1">IFERROR(__xludf.DUMMYFUNCTION("ARRAY_CONSTRAIN(ARRAYFORMULA(SUMPRODUCT(LARGE(FILTER(F52:R52, F$3:R$3 &lt; 13),{1,2,3,4,5,6,7}))), 1, 1)"),0)</f>
        <v>0</v>
      </c>
      <c r="F52" s="38">
        <v>0</v>
      </c>
      <c r="G52" s="38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>
        <v>0</v>
      </c>
      <c r="T52">
        <v>0</v>
      </c>
      <c r="U52">
        <v>0</v>
      </c>
      <c r="V52">
        <v>0</v>
      </c>
    </row>
    <row r="53" spans="1:22">
      <c r="A53" s="38">
        <v>47</v>
      </c>
      <c r="B53" s="41" t="s">
        <v>632</v>
      </c>
      <c r="C53" s="38">
        <f>COUNTIFS(F53:R53,"&gt;0",$F$3:R$3,"&lt;13")</f>
        <v>0</v>
      </c>
      <c r="D53" s="38">
        <f ca="1">SUMIF($F$3:R$3,"&lt;13",F53:R53)</f>
        <v>0</v>
      </c>
      <c r="E53" s="38">
        <f ca="1">IFERROR(__xludf.DUMMYFUNCTION("ARRAY_CONSTRAIN(ARRAYFORMULA(SUMPRODUCT(LARGE(FILTER(F53:R53, F$3:R$3 &lt; 13),{1,2,3,4,5,6,7}))), 1, 1)"),0)</f>
        <v>0</v>
      </c>
      <c r="F53" s="38">
        <v>0</v>
      </c>
      <c r="G53" s="38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>
        <v>0</v>
      </c>
      <c r="T53">
        <v>0</v>
      </c>
      <c r="U53">
        <v>0</v>
      </c>
      <c r="V53">
        <v>70</v>
      </c>
    </row>
    <row r="54" spans="1:22">
      <c r="A54" s="38">
        <v>48</v>
      </c>
      <c r="B54" s="41" t="s">
        <v>633</v>
      </c>
      <c r="C54" s="38">
        <f>COUNTIFS(F54:R54,"&gt;0",$F$3:R$3,"&lt;13")</f>
        <v>0</v>
      </c>
      <c r="D54" s="38">
        <f ca="1">SUMIF($F$3:R$3,"&lt;13",F54:R54)</f>
        <v>0</v>
      </c>
      <c r="E54" s="38">
        <f ca="1">IFERROR(__xludf.DUMMYFUNCTION("ARRAY_CONSTRAIN(ARRAYFORMULA(SUMPRODUCT(LARGE(FILTER(F54:R54, F$3:R$3 &lt; 13),{1,2,3,4,5,6,7}))), 1, 1)"),0)</f>
        <v>0</v>
      </c>
      <c r="F54" s="38">
        <v>0</v>
      </c>
      <c r="G54" s="38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>
        <v>0</v>
      </c>
      <c r="T54">
        <v>0</v>
      </c>
      <c r="U54">
        <v>0</v>
      </c>
      <c r="V54">
        <v>0</v>
      </c>
    </row>
    <row r="55" spans="1:22">
      <c r="A55" s="38">
        <v>49</v>
      </c>
      <c r="B55" s="39" t="s">
        <v>518</v>
      </c>
      <c r="C55" s="38">
        <f>COUNTIFS(F55:R55,"&gt;0",$F$3:R$3,"&lt;13")</f>
        <v>0</v>
      </c>
      <c r="D55" s="38">
        <f ca="1">SUMIF($F$3:R$3,"&lt;13",F55:R55)</f>
        <v>0</v>
      </c>
      <c r="E55" s="38">
        <f ca="1">IFERROR(__xludf.DUMMYFUNCTION("ARRAY_CONSTRAIN(ARRAYFORMULA(SUMPRODUCT(LARGE(FILTER(F55:R55, F$3:R$3 &lt; 13),{1,2,3,4,5,6,7}))), 1, 1)"),0)</f>
        <v>0</v>
      </c>
      <c r="F55" s="38">
        <v>0</v>
      </c>
      <c r="G55" s="38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>
        <v>0</v>
      </c>
      <c r="T55">
        <v>60</v>
      </c>
      <c r="U55">
        <v>0</v>
      </c>
      <c r="V55">
        <v>0</v>
      </c>
    </row>
    <row r="56" spans="1:22">
      <c r="A56" s="38">
        <v>50</v>
      </c>
      <c r="B56" s="39" t="s">
        <v>298</v>
      </c>
      <c r="C56" s="38">
        <f>COUNTIFS(F56:R56,"&gt;0",$F$3:R$3,"&lt;13")</f>
        <v>0</v>
      </c>
      <c r="D56" s="38">
        <f ca="1">SUMIF($F$3:R$3,"&lt;13",F56:R56)</f>
        <v>0</v>
      </c>
      <c r="E56" s="38">
        <f ca="1">IFERROR(__xludf.DUMMYFUNCTION("ARRAY_CONSTRAIN(ARRAYFORMULA(SUMPRODUCT(LARGE(FILTER(F56:R56, F$3:R$3 &lt; 13),{1,2,3,4,5,6,7}))), 1, 1)"),0)</f>
        <v>0</v>
      </c>
      <c r="F56" s="38">
        <v>0</v>
      </c>
      <c r="G56" s="38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>
        <v>0</v>
      </c>
      <c r="T56">
        <v>0</v>
      </c>
      <c r="U56">
        <v>0</v>
      </c>
      <c r="V56">
        <v>0</v>
      </c>
    </row>
    <row r="57" spans="1:22">
      <c r="A57" s="38">
        <v>51</v>
      </c>
      <c r="B57" s="39" t="s">
        <v>554</v>
      </c>
      <c r="C57" s="38">
        <f>COUNTIFS(F57:R57,"&gt;0",$F$3:R$3,"&lt;13")</f>
        <v>0</v>
      </c>
      <c r="D57" s="38">
        <f ca="1">SUMIF($F$3:R$3,"&lt;13",F57:R57)</f>
        <v>0</v>
      </c>
      <c r="E57" s="38">
        <f ca="1">IFERROR(__xludf.DUMMYFUNCTION("ARRAY_CONSTRAIN(ARRAYFORMULA(SUMPRODUCT(LARGE(FILTER(F57:R57, F$3:R$3 &lt; 13),{1,2,3,4,5,6,7}))), 1, 1)"),0)</f>
        <v>0</v>
      </c>
      <c r="F57" s="38">
        <v>0</v>
      </c>
      <c r="G57" s="38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>
        <v>0</v>
      </c>
      <c r="T57">
        <v>0</v>
      </c>
      <c r="U57">
        <v>0</v>
      </c>
      <c r="V57">
        <v>0</v>
      </c>
    </row>
    <row r="58" spans="1:22">
      <c r="A58" s="38">
        <v>52</v>
      </c>
      <c r="B58" s="39" t="s">
        <v>511</v>
      </c>
      <c r="C58" s="38">
        <f>COUNTIFS(F58:R58,"&gt;0",$F$3:R$3,"&lt;13")</f>
        <v>0</v>
      </c>
      <c r="D58" s="38">
        <f ca="1">SUMIF($F$3:R$3,"&lt;13",F58:R58)</f>
        <v>0</v>
      </c>
      <c r="E58" s="38">
        <f ca="1">IFERROR(__xludf.DUMMYFUNCTION("ARRAY_CONSTRAIN(ARRAYFORMULA(SUMPRODUCT(LARGE(FILTER(F58:R58, F$3:R$3 &lt; 13),{1,2,3,4,5,6,7}))), 1, 1)"),0)</f>
        <v>0</v>
      </c>
      <c r="F58" s="38">
        <v>0</v>
      </c>
      <c r="G58" s="38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>
        <v>0</v>
      </c>
      <c r="T58">
        <v>70</v>
      </c>
      <c r="U58">
        <v>0</v>
      </c>
      <c r="V58">
        <v>0</v>
      </c>
    </row>
    <row r="59" spans="1:22">
      <c r="A59" s="38">
        <v>53</v>
      </c>
      <c r="B59" s="39" t="s">
        <v>129</v>
      </c>
      <c r="C59" s="38">
        <f>COUNTIFS(F59:R59,"&gt;0",$F$3:R$3,"&lt;13")</f>
        <v>0</v>
      </c>
      <c r="D59" s="38">
        <f ca="1">SUMIF($F$3:R$3,"&lt;13",F59:R59)</f>
        <v>0</v>
      </c>
      <c r="E59" s="38">
        <f ca="1">IFERROR(__xludf.DUMMYFUNCTION("ARRAY_CONSTRAIN(ARRAYFORMULA(SUMPRODUCT(LARGE(FILTER(F59:R59, F$3:R$3 &lt; 13),{1,2,3,4,5,6,7}))), 1, 1)"),0)</f>
        <v>0</v>
      </c>
      <c r="F59" s="38">
        <v>0</v>
      </c>
      <c r="G59" s="38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>
        <v>0</v>
      </c>
      <c r="T59">
        <v>60</v>
      </c>
      <c r="U59">
        <v>0</v>
      </c>
      <c r="V59">
        <v>0</v>
      </c>
    </row>
    <row r="60" spans="1:22">
      <c r="A60" s="38">
        <v>54</v>
      </c>
      <c r="B60" s="39" t="s">
        <v>526</v>
      </c>
      <c r="C60" s="38">
        <f>COUNTIFS(F60:R60,"&gt;0",$F$3:R$3,"&lt;13")</f>
        <v>0</v>
      </c>
      <c r="D60" s="38">
        <f ca="1">SUMIF($F$3:R$3,"&lt;13",F60:R60)</f>
        <v>0</v>
      </c>
      <c r="E60" s="38">
        <f ca="1">IFERROR(__xludf.DUMMYFUNCTION("ARRAY_CONSTRAIN(ARRAYFORMULA(SUMPRODUCT(LARGE(FILTER(F60:R60, F$3:R$3 &lt; 13),{1,2,3,4,5,6,7}))), 1, 1)"),0)</f>
        <v>0</v>
      </c>
      <c r="F60" s="38">
        <v>0</v>
      </c>
      <c r="G60" s="38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>
        <v>0</v>
      </c>
      <c r="T60">
        <v>0</v>
      </c>
      <c r="U60">
        <v>0</v>
      </c>
      <c r="V60">
        <v>0</v>
      </c>
    </row>
    <row r="61" spans="1:22">
      <c r="A61" s="38">
        <v>55</v>
      </c>
      <c r="B61" s="39" t="s">
        <v>126</v>
      </c>
      <c r="C61" s="38">
        <f>COUNTIFS(F61:R61,"&gt;0",$F$3:R$3,"&lt;13")</f>
        <v>0</v>
      </c>
      <c r="D61" s="38">
        <f ca="1">SUMIF($F$3:R$3,"&lt;13",F61:R61)</f>
        <v>0</v>
      </c>
      <c r="E61" s="38">
        <f ca="1">IFERROR(__xludf.DUMMYFUNCTION("ARRAY_CONSTRAIN(ARRAYFORMULA(SUMPRODUCT(LARGE(FILTER(F61:R61, F$3:R$3 &lt; 13),{1,2,3,4,5,6,7}))), 1, 1)"),0)</f>
        <v>0</v>
      </c>
      <c r="F61" s="38">
        <v>0</v>
      </c>
      <c r="G61" s="38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>
        <v>0</v>
      </c>
      <c r="T61">
        <v>0</v>
      </c>
      <c r="U61">
        <v>60</v>
      </c>
      <c r="V61">
        <v>0</v>
      </c>
    </row>
    <row r="62" spans="1:22">
      <c r="A62" s="38">
        <v>56</v>
      </c>
      <c r="B62" s="41" t="s">
        <v>137</v>
      </c>
      <c r="C62" s="38">
        <f>COUNTIFS(F62:R62,"&gt;0",$F$3:R$3,"&lt;13")</f>
        <v>0</v>
      </c>
      <c r="D62" s="38">
        <f ca="1">SUMIF($F$3:R$3,"&lt;13",F62:R62)</f>
        <v>0</v>
      </c>
      <c r="E62" s="38">
        <f ca="1">IFERROR(__xludf.DUMMYFUNCTION("ARRAY_CONSTRAIN(ARRAYFORMULA(SUMPRODUCT(LARGE(FILTER(F62:R62, F$3:R$3 &lt; 13),{1,2,3,4,5,6,7}))), 1, 1)"),0)</f>
        <v>0</v>
      </c>
      <c r="F62" s="38">
        <v>0</v>
      </c>
      <c r="G62" s="38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>
        <v>0</v>
      </c>
      <c r="T62">
        <v>0</v>
      </c>
      <c r="U62">
        <v>60</v>
      </c>
      <c r="V62">
        <v>0</v>
      </c>
    </row>
    <row r="63" spans="1:22">
      <c r="A63" s="38">
        <v>57</v>
      </c>
      <c r="B63" s="41" t="s">
        <v>190</v>
      </c>
      <c r="C63" s="38">
        <f>COUNTIFS(F63:R63,"&gt;0",$F$3:R$3,"&lt;13")</f>
        <v>0</v>
      </c>
      <c r="D63" s="38">
        <f ca="1">SUMIF($F$3:R$3,"&lt;13",F63:R63)</f>
        <v>0</v>
      </c>
      <c r="E63" s="38">
        <f ca="1">IFERROR(__xludf.DUMMYFUNCTION("ARRAY_CONSTRAIN(ARRAYFORMULA(SUMPRODUCT(LARGE(FILTER(F63:R63, F$3:R$3 &lt; 13),{1,2,3,4,5,6,7}))), 1, 1)"),0)</f>
        <v>0</v>
      </c>
      <c r="F63" s="38">
        <v>0</v>
      </c>
      <c r="G63" s="38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>
        <v>0</v>
      </c>
      <c r="T63">
        <v>0</v>
      </c>
      <c r="U63">
        <v>0</v>
      </c>
      <c r="V63">
        <v>0</v>
      </c>
    </row>
    <row r="64" spans="1:22">
      <c r="A64" s="38">
        <v>58</v>
      </c>
      <c r="B64" s="41" t="s">
        <v>539</v>
      </c>
      <c r="C64" s="38">
        <f>COUNTIFS(F64:R64,"&gt;0",$F$3:R$3,"&lt;13")</f>
        <v>0</v>
      </c>
      <c r="D64" s="38">
        <f ca="1">SUMIF($F$3:R$3,"&lt;13",F64:R64)</f>
        <v>0</v>
      </c>
      <c r="E64" s="38">
        <f ca="1">IFERROR(__xludf.DUMMYFUNCTION("ARRAY_CONSTRAIN(ARRAYFORMULA(SUMPRODUCT(LARGE(FILTER(F64:R64, F$3:R$3 &lt; 13),{1,2,3,4,5,6,7}))), 1, 1)"),0)</f>
        <v>0</v>
      </c>
      <c r="F64" s="38">
        <v>0</v>
      </c>
      <c r="G64" s="38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>
        <v>0</v>
      </c>
      <c r="T64">
        <v>0</v>
      </c>
      <c r="U64">
        <v>0</v>
      </c>
      <c r="V64">
        <v>0</v>
      </c>
    </row>
    <row r="65" spans="1:22">
      <c r="A65" s="38">
        <v>59</v>
      </c>
      <c r="B65" s="41" t="s">
        <v>182</v>
      </c>
      <c r="C65" s="38">
        <f>COUNTIFS(F65:R65,"&gt;0",$F$3:R$3,"&lt;13")</f>
        <v>0</v>
      </c>
      <c r="D65" s="38">
        <f ca="1">SUMIF($F$3:R$3,"&lt;13",F65:R65)</f>
        <v>0</v>
      </c>
      <c r="E65" s="38">
        <f ca="1">IFERROR(__xludf.DUMMYFUNCTION("ARRAY_CONSTRAIN(ARRAYFORMULA(SUMPRODUCT(LARGE(FILTER(F65:R65, F$3:R$3 &lt; 13),{1,2,3,4,5,6,7}))), 1, 1)"),0)</f>
        <v>0</v>
      </c>
      <c r="F65" s="38">
        <v>0</v>
      </c>
      <c r="G65" s="38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>
        <v>0</v>
      </c>
      <c r="T65">
        <v>0</v>
      </c>
      <c r="U65">
        <v>0</v>
      </c>
      <c r="V65">
        <v>0</v>
      </c>
    </row>
    <row r="66" spans="1:22">
      <c r="A66" s="38">
        <v>60</v>
      </c>
      <c r="B66" s="41" t="s">
        <v>634</v>
      </c>
      <c r="C66" s="38">
        <f>COUNTIFS(F66:R66,"&gt;0",$F$3:R$3,"&lt;13")</f>
        <v>0</v>
      </c>
      <c r="D66" s="38">
        <f ca="1">SUMIF($F$3:R$3,"&lt;13",F66:R66)</f>
        <v>0</v>
      </c>
      <c r="E66" s="38">
        <f ca="1">IFERROR(__xludf.DUMMYFUNCTION("ARRAY_CONSTRAIN(ARRAYFORMULA(SUMPRODUCT(LARGE(FILTER(F66:R66, F$3:R$3 &lt; 13),{1,2,3,4,5,6,7}))), 1, 1)"),0)</f>
        <v>0</v>
      </c>
      <c r="F66" s="38">
        <v>0</v>
      </c>
      <c r="G66" s="38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>
        <v>0</v>
      </c>
      <c r="T66">
        <v>0</v>
      </c>
      <c r="U66">
        <v>0</v>
      </c>
      <c r="V66">
        <v>0</v>
      </c>
    </row>
    <row r="67" spans="1:22">
      <c r="A67" s="38">
        <v>61</v>
      </c>
      <c r="B67" s="41" t="s">
        <v>172</v>
      </c>
      <c r="C67" s="38">
        <f>COUNTIFS(F67:R67,"&gt;0",$F$3:R$3,"&lt;13")</f>
        <v>0</v>
      </c>
      <c r="D67" s="38">
        <f ca="1">SUMIF($F$3:R$3,"&lt;13",F67:R67)</f>
        <v>0</v>
      </c>
      <c r="E67" s="38">
        <f ca="1">IFERROR(__xludf.DUMMYFUNCTION("ARRAY_CONSTRAIN(ARRAYFORMULA(SUMPRODUCT(LARGE(FILTER(F67:R67, F$3:R$3 &lt; 13),{1,2,3,4,5,6,7}))), 1, 1)"),0)</f>
        <v>0</v>
      </c>
      <c r="F67" s="38">
        <v>0</v>
      </c>
      <c r="G67" s="38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>
        <v>100</v>
      </c>
      <c r="T67">
        <v>0</v>
      </c>
      <c r="U67">
        <v>0</v>
      </c>
      <c r="V67">
        <v>0</v>
      </c>
    </row>
    <row r="68" spans="1:22">
      <c r="A68" s="38">
        <v>62</v>
      </c>
      <c r="B68" s="41" t="s">
        <v>530</v>
      </c>
      <c r="C68" s="38">
        <f>COUNTIFS(F68:R68,"&gt;0",$F$3:R$3,"&lt;13")</f>
        <v>0</v>
      </c>
      <c r="D68" s="38">
        <f ca="1">SUMIF($F$3:R$3,"&lt;13",F68:R68)</f>
        <v>0</v>
      </c>
      <c r="E68" s="38">
        <f ca="1">IFERROR(__xludf.DUMMYFUNCTION("ARRAY_CONSTRAIN(ARRAYFORMULA(SUMPRODUCT(LARGE(FILTER(F68:R68, F$3:R$3 &lt; 13),{1,2,3,4,5,6,7}))), 1, 1)"),0)</f>
        <v>0</v>
      </c>
      <c r="F68" s="38">
        <v>0</v>
      </c>
      <c r="G68" s="38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>
        <v>0</v>
      </c>
      <c r="T68">
        <v>0</v>
      </c>
      <c r="U68">
        <v>0</v>
      </c>
      <c r="V68">
        <v>0</v>
      </c>
    </row>
    <row r="69" spans="1:22">
      <c r="A69" s="38">
        <v>63</v>
      </c>
      <c r="B69" s="41" t="s">
        <v>174</v>
      </c>
      <c r="C69" s="38">
        <f>COUNTIFS(F69:R69,"&gt;0",$F$3:R$3,"&lt;13")</f>
        <v>0</v>
      </c>
      <c r="D69" s="38">
        <f ca="1">SUMIF($F$3:R$3,"&lt;13",F69:R69)</f>
        <v>0</v>
      </c>
      <c r="E69" s="38">
        <f ca="1">IFERROR(__xludf.DUMMYFUNCTION("ARRAY_CONSTRAIN(ARRAYFORMULA(SUMPRODUCT(LARGE(FILTER(F69:R69, F$3:R$3 &lt; 13),{1,2,3,4,5,6,7}))), 1, 1)"),0)</f>
        <v>0</v>
      </c>
      <c r="F69" s="38">
        <v>0</v>
      </c>
      <c r="G69" s="38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>
        <v>0</v>
      </c>
      <c r="T69">
        <v>0</v>
      </c>
      <c r="U69">
        <v>0</v>
      </c>
      <c r="V69">
        <v>0</v>
      </c>
    </row>
    <row r="70" spans="1:22">
      <c r="A70" s="38">
        <v>64</v>
      </c>
      <c r="B70" s="41" t="s">
        <v>154</v>
      </c>
      <c r="C70" s="38">
        <f>COUNTIFS(F70:R70,"&gt;0",$F$3:R$3,"&lt;13")</f>
        <v>0</v>
      </c>
      <c r="D70" s="38">
        <f ca="1">SUMIF($F$3:R$3,"&lt;13",F70:R70)</f>
        <v>0</v>
      </c>
      <c r="E70" s="38">
        <f ca="1">IFERROR(__xludf.DUMMYFUNCTION("ARRAY_CONSTRAIN(ARRAYFORMULA(SUMPRODUCT(LARGE(FILTER(F70:R70, F$3:R$3 &lt; 13),{1,2,3,4,5,6,7}))), 1, 1)"),0)</f>
        <v>0</v>
      </c>
      <c r="F70" s="38">
        <v>0</v>
      </c>
      <c r="G70" s="38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>
        <v>80</v>
      </c>
      <c r="T70">
        <v>0</v>
      </c>
      <c r="U70">
        <v>0</v>
      </c>
      <c r="V70">
        <v>0</v>
      </c>
    </row>
    <row r="71" spans="1:22">
      <c r="A71" s="38">
        <v>65</v>
      </c>
      <c r="B71" s="41" t="s">
        <v>635</v>
      </c>
      <c r="C71" s="38">
        <f>COUNTIFS(F71:R71,"&gt;0",$F$3:R$3,"&lt;13")</f>
        <v>0</v>
      </c>
      <c r="D71" s="38">
        <f ca="1">SUMIF($F$3:R$3,"&lt;13",F71:R71)</f>
        <v>0</v>
      </c>
      <c r="E71" s="38">
        <f ca="1">IFERROR(__xludf.DUMMYFUNCTION("ARRAY_CONSTRAIN(ARRAYFORMULA(SUMPRODUCT(LARGE(FILTER(F71:R71, F$3:R$3 &lt; 13),{1,2,3,4,5,6,7}))), 1, 1)"),0)</f>
        <v>0</v>
      </c>
      <c r="F71" s="38">
        <v>0</v>
      </c>
      <c r="G71" s="38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>
        <v>0</v>
      </c>
      <c r="T71">
        <v>0</v>
      </c>
      <c r="U71">
        <v>0</v>
      </c>
      <c r="V71">
        <v>0</v>
      </c>
    </row>
    <row r="72" spans="1:22">
      <c r="A72" s="38">
        <v>66</v>
      </c>
      <c r="B72" s="41" t="s">
        <v>636</v>
      </c>
      <c r="C72" s="38">
        <f>COUNTIFS(F72:R72,"&gt;0",$F$3:R$3,"&lt;13")</f>
        <v>0</v>
      </c>
      <c r="D72" s="38">
        <f ca="1">SUMIF($F$3:R$3,"&lt;13",F72:R72)</f>
        <v>0</v>
      </c>
      <c r="E72" s="38">
        <f ca="1">IFERROR(__xludf.DUMMYFUNCTION("ARRAY_CONSTRAIN(ARRAYFORMULA(SUMPRODUCT(LARGE(FILTER(F72:R72, F$3:R$3 &lt; 13),{1,2,3,4,5,6,7}))), 1, 1)"),0)</f>
        <v>0</v>
      </c>
      <c r="F72" s="38">
        <v>0</v>
      </c>
      <c r="G72" s="38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>
        <v>0</v>
      </c>
      <c r="T72">
        <v>0</v>
      </c>
      <c r="U72">
        <v>0</v>
      </c>
      <c r="V72">
        <v>0</v>
      </c>
    </row>
    <row r="73" spans="1:22">
      <c r="A73" s="38">
        <v>67</v>
      </c>
      <c r="B73" s="41" t="s">
        <v>637</v>
      </c>
      <c r="C73" s="38">
        <f>COUNTIFS(F73:R73,"&gt;0",$F$3:R$3,"&lt;13")</f>
        <v>0</v>
      </c>
      <c r="D73" s="38">
        <f ca="1">SUMIF($F$3:R$3,"&lt;13",F73:R73)</f>
        <v>0</v>
      </c>
      <c r="E73" s="38">
        <f ca="1">IFERROR(__xludf.DUMMYFUNCTION("ARRAY_CONSTRAIN(ARRAYFORMULA(SUMPRODUCT(LARGE(FILTER(F73:R73, F$3:R$3 &lt; 13),{1,2,3,4,5,6,7}))), 1, 1)"),0)</f>
        <v>0</v>
      </c>
      <c r="F73" s="38">
        <v>0</v>
      </c>
      <c r="G73" s="38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>
        <v>0</v>
      </c>
      <c r="T73">
        <v>0</v>
      </c>
      <c r="U73">
        <v>0</v>
      </c>
      <c r="V73">
        <v>0</v>
      </c>
    </row>
    <row r="74" spans="1:22">
      <c r="A74" s="38">
        <v>68</v>
      </c>
      <c r="B74" s="41" t="s">
        <v>197</v>
      </c>
      <c r="C74" s="38">
        <f>COUNTIFS(F74:R74,"&gt;0",$F$3:R$3,"&lt;13")</f>
        <v>0</v>
      </c>
      <c r="D74" s="38">
        <f ca="1">SUMIF($F$3:R$3,"&lt;13",F74:R74)</f>
        <v>0</v>
      </c>
      <c r="E74" s="38">
        <f ca="1">IFERROR(__xludf.DUMMYFUNCTION("ARRAY_CONSTRAIN(ARRAYFORMULA(SUMPRODUCT(LARGE(FILTER(F74:R74, F$3:R$3 &lt; 13),{1,2,3,4,5,6,7}))), 1, 1)"),0)</f>
        <v>0</v>
      </c>
      <c r="F74" s="38">
        <v>0</v>
      </c>
      <c r="G74" s="38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>
        <v>0</v>
      </c>
      <c r="T74">
        <v>0</v>
      </c>
      <c r="U74">
        <v>0</v>
      </c>
      <c r="V74">
        <v>0</v>
      </c>
    </row>
    <row r="75" spans="1:22">
      <c r="A75" s="38">
        <v>69</v>
      </c>
      <c r="B75" s="41" t="s">
        <v>178</v>
      </c>
      <c r="C75" s="38">
        <f>COUNTIFS(F75:R75,"&gt;0",$F$3:R$3,"&lt;13")</f>
        <v>0</v>
      </c>
      <c r="D75" s="38">
        <f ca="1">SUMIF($F$3:R$3,"&lt;13",F75:R75)</f>
        <v>0</v>
      </c>
      <c r="E75" s="38">
        <f ca="1">IFERROR(__xludf.DUMMYFUNCTION("ARRAY_CONSTRAIN(ARRAYFORMULA(SUMPRODUCT(LARGE(FILTER(F75:R75, F$3:R$3 &lt; 13),{1,2,3,4,5,6,7}))), 1, 1)"),0)</f>
        <v>0</v>
      </c>
      <c r="F75" s="38">
        <v>0</v>
      </c>
      <c r="G75" s="38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>
        <v>0</v>
      </c>
      <c r="T75">
        <v>0</v>
      </c>
      <c r="U75">
        <v>0</v>
      </c>
      <c r="V75">
        <v>0</v>
      </c>
    </row>
    <row r="76" spans="1:22">
      <c r="A76" s="38">
        <v>70</v>
      </c>
      <c r="B76" s="41" t="s">
        <v>534</v>
      </c>
      <c r="C76" s="38">
        <f>COUNTIFS(F76:R76,"&gt;0",$F$3:R$3,"&lt;13")</f>
        <v>0</v>
      </c>
      <c r="D76" s="38">
        <f ca="1">SUMIF($F$3:R$3,"&lt;13",F76:R76)</f>
        <v>0</v>
      </c>
      <c r="E76" s="38">
        <f ca="1">IFERROR(__xludf.DUMMYFUNCTION("ARRAY_CONSTRAIN(ARRAYFORMULA(SUMPRODUCT(LARGE(FILTER(F76:R76, F$3:R$3 &lt; 13),{1,2,3,4,5,6,7}))), 1, 1)"),0)</f>
        <v>0</v>
      </c>
      <c r="F76" s="38">
        <v>0</v>
      </c>
      <c r="G76" s="38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>
        <v>80</v>
      </c>
      <c r="T76">
        <v>0</v>
      </c>
      <c r="U76">
        <v>0</v>
      </c>
      <c r="V76">
        <v>0</v>
      </c>
    </row>
    <row r="77" spans="1:22">
      <c r="A77" s="38">
        <v>71</v>
      </c>
      <c r="B77" s="41" t="s">
        <v>615</v>
      </c>
      <c r="C77" s="38">
        <f>COUNTIFS(F77:R77,"&gt;0",$F$3:R$3,"&lt;13")</f>
        <v>0</v>
      </c>
      <c r="D77" s="38">
        <f ca="1">SUMIF($F$3:R$3,"&lt;13",F77:R77)</f>
        <v>0</v>
      </c>
      <c r="E77" s="38">
        <f ca="1">IFERROR(__xludf.DUMMYFUNCTION("ARRAY_CONSTRAIN(ARRAYFORMULA(SUMPRODUCT(LARGE(FILTER(F77:R77, F$3:R$3 &lt; 13),{1,2,3,4,5,6,7}))), 1, 1)"),0)</f>
        <v>0</v>
      </c>
      <c r="F77" s="38">
        <v>0</v>
      </c>
      <c r="G77" s="38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>
        <v>0</v>
      </c>
      <c r="T77">
        <v>0</v>
      </c>
      <c r="U77">
        <v>0</v>
      </c>
      <c r="V77">
        <v>0</v>
      </c>
    </row>
    <row r="78" spans="1:22">
      <c r="A78" s="38">
        <v>72</v>
      </c>
      <c r="B78" s="41" t="s">
        <v>558</v>
      </c>
      <c r="C78" s="38">
        <f>COUNTIFS(F78:R78,"&gt;0",$F$3:R$3,"&lt;13")</f>
        <v>0</v>
      </c>
      <c r="D78" s="38">
        <f ca="1">SUMIF($F$3:R$3,"&lt;13",F78:R78)</f>
        <v>0</v>
      </c>
      <c r="E78" s="38">
        <f ca="1">IFERROR(__xludf.DUMMYFUNCTION("ARRAY_CONSTRAIN(ARRAYFORMULA(SUMPRODUCT(LARGE(FILTER(F78:R78, F$3:R$3 &lt; 13),{1,2,3,4,5,6,7}))), 1, 1)"),0)</f>
        <v>0</v>
      </c>
      <c r="F78" s="38">
        <v>0</v>
      </c>
      <c r="G78" s="38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>
        <v>0</v>
      </c>
      <c r="T78">
        <v>0</v>
      </c>
      <c r="U78">
        <v>0</v>
      </c>
      <c r="V78">
        <v>0</v>
      </c>
    </row>
    <row r="79" spans="1:22">
      <c r="A79" s="38">
        <v>73</v>
      </c>
      <c r="B79" s="41" t="s">
        <v>638</v>
      </c>
      <c r="C79" s="38">
        <f>COUNTIFS(F79:R79,"&gt;0",$F$3:R$3,"&lt;13")</f>
        <v>0</v>
      </c>
      <c r="D79" s="38">
        <f ca="1">SUMIF($F$3:R$3,"&lt;13",F79:R79)</f>
        <v>0</v>
      </c>
      <c r="E79" s="38">
        <f ca="1">IFERROR(__xludf.DUMMYFUNCTION("ARRAY_CONSTRAIN(ARRAYFORMULA(SUMPRODUCT(LARGE(FILTER(F79:R79, F$3:R$3 &lt; 13),{1,2,3,4,5,6,7}))), 1, 1)"),0)</f>
        <v>0</v>
      </c>
      <c r="F79" s="38">
        <v>0</v>
      </c>
      <c r="G79" s="38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0</v>
      </c>
      <c r="Q79" s="40">
        <v>0</v>
      </c>
      <c r="R79" s="40">
        <v>0</v>
      </c>
      <c r="S79">
        <v>0</v>
      </c>
      <c r="T79">
        <v>0</v>
      </c>
      <c r="U79">
        <v>0</v>
      </c>
      <c r="V79">
        <v>0</v>
      </c>
    </row>
    <row r="80" spans="1:22">
      <c r="A80" s="38">
        <v>74</v>
      </c>
      <c r="B80" s="39" t="s">
        <v>308</v>
      </c>
      <c r="C80" s="38">
        <f>COUNTIFS(F80:R80,"&gt;0",$F$3:R$3,"&lt;13")</f>
        <v>0</v>
      </c>
      <c r="D80" s="38">
        <f ca="1">SUMIF($F$3:R$3,"&lt;13",F80:R80)</f>
        <v>0</v>
      </c>
      <c r="E80" s="38">
        <f ca="1">IFERROR(__xludf.DUMMYFUNCTION("ARRAY_CONSTRAIN(ARRAYFORMULA(SUMPRODUCT(LARGE(FILTER(F80:R80, F$3:R$3 &lt; 13),{1,2,3,4,5,6,7}))), 1, 1)"),0)</f>
        <v>0</v>
      </c>
      <c r="F80" s="38">
        <v>0</v>
      </c>
      <c r="G80" s="38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>
        <v>0</v>
      </c>
      <c r="T80">
        <v>0</v>
      </c>
      <c r="U80">
        <v>0</v>
      </c>
      <c r="V80">
        <v>0</v>
      </c>
    </row>
    <row r="81" spans="1:22">
      <c r="A81" s="38">
        <v>75</v>
      </c>
      <c r="B81" s="39" t="s">
        <v>576</v>
      </c>
      <c r="C81" s="38">
        <f>COUNTIFS(F81:R81,"&gt;0",$F$3:R$3,"&lt;13")</f>
        <v>0</v>
      </c>
      <c r="D81" s="38">
        <f ca="1">SUMIF($F$3:R$3,"&lt;13",F81:R81)</f>
        <v>0</v>
      </c>
      <c r="E81" s="38">
        <f ca="1">IFERROR(__xludf.DUMMYFUNCTION("ARRAY_CONSTRAIN(ARRAYFORMULA(SUMPRODUCT(LARGE(FILTER(F81:R81, F$3:R$3 &lt; 13),{1,2,3,4,5,6,7}))), 1, 1)"),0)</f>
        <v>0</v>
      </c>
      <c r="F81" s="38">
        <v>0</v>
      </c>
      <c r="G81" s="38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>
        <v>0</v>
      </c>
      <c r="T81">
        <v>0</v>
      </c>
      <c r="U81">
        <v>0</v>
      </c>
      <c r="V81">
        <v>0</v>
      </c>
    </row>
    <row r="82" spans="1:22">
      <c r="A82" s="38">
        <v>76</v>
      </c>
      <c r="B82" s="39" t="s">
        <v>489</v>
      </c>
      <c r="C82" s="38">
        <f>COUNTIFS(F82:R82,"&gt;0",$F$3:R$3,"&lt;13")</f>
        <v>0</v>
      </c>
      <c r="D82" s="38">
        <f ca="1">SUMIF($F$3:R$3,"&lt;13",F82:R82)</f>
        <v>0</v>
      </c>
      <c r="E82" s="38">
        <f ca="1">IFERROR(__xludf.DUMMYFUNCTION("ARRAY_CONSTRAIN(ARRAYFORMULA(SUMPRODUCT(LARGE(FILTER(F82:R82, F$3:R$3 &lt; 13),{1,2,3,4,5,6,7}))), 1, 1)"),0)</f>
        <v>0</v>
      </c>
      <c r="F82" s="38">
        <v>0</v>
      </c>
      <c r="G82" s="38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>
        <v>0</v>
      </c>
      <c r="T82">
        <v>0</v>
      </c>
      <c r="U82">
        <v>0</v>
      </c>
      <c r="V82">
        <v>0</v>
      </c>
    </row>
    <row r="83" spans="1:22">
      <c r="A83" s="40">
        <v>77</v>
      </c>
      <c r="B83" s="41" t="s">
        <v>124</v>
      </c>
      <c r="C83" s="38">
        <f>COUNTIFS(F83:R83,"&gt;0",$F$3:R$3,"&lt;13")</f>
        <v>0</v>
      </c>
      <c r="D83" s="38">
        <f ca="1">SUMIF($F$3:R$3,"&lt;13",F83:R83)</f>
        <v>0</v>
      </c>
      <c r="E83" s="38">
        <f ca="1">IFERROR(__xludf.DUMMYFUNCTION("ARRAY_CONSTRAIN(ARRAYFORMULA(SUMPRODUCT(LARGE(FILTER(F83:R83, F$3:R$3 &lt; 13),{1,2,3,4,5,6,7}))), 1, 1)"),0)</f>
        <v>0</v>
      </c>
      <c r="F83" s="38">
        <v>0</v>
      </c>
      <c r="G83" s="38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  <c r="R83" s="40">
        <v>0</v>
      </c>
      <c r="S83">
        <v>0</v>
      </c>
      <c r="T83">
        <v>0</v>
      </c>
      <c r="U83">
        <v>0</v>
      </c>
      <c r="V83">
        <v>0</v>
      </c>
    </row>
    <row r="84" spans="1:22">
      <c r="A84" s="40">
        <v>78</v>
      </c>
      <c r="B84" s="41" t="s">
        <v>599</v>
      </c>
      <c r="C84" s="38">
        <f>COUNTIFS(F84:R84,"&gt;0",$F$3:R$3,"&lt;13")</f>
        <v>0</v>
      </c>
      <c r="D84" s="38">
        <f ca="1">SUMIF($F$3:R$3,"&lt;13",F84:R84)</f>
        <v>0</v>
      </c>
      <c r="E84" s="38">
        <f ca="1">IFERROR(__xludf.DUMMYFUNCTION("ARRAY_CONSTRAIN(ARRAYFORMULA(SUMPRODUCT(LARGE(FILTER(F84:R84, F$3:R$3 &lt; 13),{1,2,3,4,5,6,7}))), 1, 1)"),0)</f>
        <v>0</v>
      </c>
      <c r="F84" s="38">
        <v>0</v>
      </c>
      <c r="G84" s="38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>
        <v>0</v>
      </c>
      <c r="T84">
        <v>0</v>
      </c>
      <c r="U84">
        <v>0</v>
      </c>
      <c r="V84">
        <v>0</v>
      </c>
    </row>
    <row r="85" spans="1:22">
      <c r="A85" s="40">
        <v>79</v>
      </c>
      <c r="B85" s="41" t="s">
        <v>572</v>
      </c>
      <c r="C85" s="38">
        <f>COUNTIFS(F85:R85,"&gt;0",$F$3:R$3,"&lt;13")</f>
        <v>0</v>
      </c>
      <c r="D85" s="38">
        <f ca="1">SUMIF($F$3:R$3,"&lt;13",F85:R85)</f>
        <v>0</v>
      </c>
      <c r="E85" s="38">
        <f ca="1">IFERROR(__xludf.DUMMYFUNCTION("ARRAY_CONSTRAIN(ARRAYFORMULA(SUMPRODUCT(LARGE(FILTER(F85:R85, F$3:R$3 &lt; 13),{1,2,3,4,5,6,7}))), 1, 1)"),0)</f>
        <v>0</v>
      </c>
      <c r="F85" s="38">
        <v>0</v>
      </c>
      <c r="G85" s="38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>
        <v>0</v>
      </c>
      <c r="T85">
        <v>0</v>
      </c>
      <c r="U85">
        <v>0</v>
      </c>
      <c r="V85">
        <v>0</v>
      </c>
    </row>
    <row r="86" spans="1:22">
      <c r="A86" s="40">
        <v>80</v>
      </c>
      <c r="B86" s="41" t="s">
        <v>552</v>
      </c>
      <c r="C86" s="38">
        <f>COUNTIFS(F86:R86,"&gt;0",$F$3:R$3,"&lt;13")</f>
        <v>0</v>
      </c>
      <c r="D86" s="38">
        <f ca="1">SUMIF($F$3:R$3,"&lt;13",F86:R86)</f>
        <v>0</v>
      </c>
      <c r="E86" s="38">
        <f ca="1">IFERROR(__xludf.DUMMYFUNCTION("ARRAY_CONSTRAIN(ARRAYFORMULA(SUMPRODUCT(LARGE(FILTER(F86:R86, F$3:R$3 &lt; 13),{1,2,3,4,5,6,7}))), 1, 1)"),0)</f>
        <v>0</v>
      </c>
      <c r="F86" s="38">
        <v>0</v>
      </c>
      <c r="G86" s="38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>
        <v>0</v>
      </c>
      <c r="T86">
        <v>0</v>
      </c>
      <c r="U86">
        <v>0</v>
      </c>
      <c r="V86">
        <v>0</v>
      </c>
    </row>
    <row r="87" spans="1:22">
      <c r="A87" s="40">
        <v>81</v>
      </c>
      <c r="B87" s="41" t="s">
        <v>639</v>
      </c>
      <c r="C87" s="38">
        <f>COUNTIFS(F87:R87,"&gt;0",$F$3:R$3,"&lt;13")</f>
        <v>0</v>
      </c>
      <c r="D87" s="38">
        <f ca="1">SUMIF($F$3:R$3,"&lt;13",F87:R87)</f>
        <v>0</v>
      </c>
      <c r="E87" s="38">
        <f ca="1">IFERROR(__xludf.DUMMYFUNCTION("ARRAY_CONSTRAIN(ARRAYFORMULA(SUMPRODUCT(LARGE(FILTER(F87:R87, F$3:R$3 &lt; 13),{1,2,3,4,5,6,7}))), 1, 1)"),0)</f>
        <v>0</v>
      </c>
      <c r="F87" s="38">
        <v>0</v>
      </c>
      <c r="G87" s="38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  <c r="Q87" s="40">
        <v>0</v>
      </c>
      <c r="R87" s="40">
        <v>0</v>
      </c>
      <c r="S87">
        <v>0</v>
      </c>
      <c r="T87">
        <v>0</v>
      </c>
      <c r="U87">
        <v>0</v>
      </c>
      <c r="V87">
        <v>0</v>
      </c>
    </row>
    <row r="88" spans="1:22">
      <c r="A88" s="40">
        <v>82</v>
      </c>
      <c r="B88" s="41" t="s">
        <v>221</v>
      </c>
      <c r="C88" s="38">
        <f>COUNTIFS(F88:R88,"&gt;0",$F$3:R$3,"&lt;13")</f>
        <v>0</v>
      </c>
      <c r="D88" s="38">
        <f ca="1">SUMIF($F$3:R$3,"&lt;13",F88:R88)</f>
        <v>0</v>
      </c>
      <c r="E88" s="38">
        <f ca="1">IFERROR(__xludf.DUMMYFUNCTION("ARRAY_CONSTRAIN(ARRAYFORMULA(SUMPRODUCT(LARGE(FILTER(F88:R88, F$3:R$3 &lt; 13),{1,2,3,4,5,6,7}))), 1, 1)"),0)</f>
        <v>0</v>
      </c>
      <c r="F88" s="38">
        <v>0</v>
      </c>
      <c r="G88" s="38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>
        <v>0</v>
      </c>
      <c r="T88">
        <v>0</v>
      </c>
      <c r="U88">
        <v>0</v>
      </c>
      <c r="V88">
        <v>0</v>
      </c>
    </row>
    <row r="89" spans="1:22">
      <c r="A89" s="40">
        <v>83</v>
      </c>
      <c r="B89" s="41" t="s">
        <v>640</v>
      </c>
      <c r="C89" s="38">
        <f>COUNTIFS(F89:R89,"&gt;0",$F$3:R$3,"&lt;13")</f>
        <v>0</v>
      </c>
      <c r="D89" s="38">
        <f ca="1">SUMIF($F$3:R$3,"&lt;13",F89:R89)</f>
        <v>0</v>
      </c>
      <c r="E89" s="38">
        <f ca="1">IFERROR(__xludf.DUMMYFUNCTION("ARRAY_CONSTRAIN(ARRAYFORMULA(SUMPRODUCT(LARGE(FILTER(F89:R89, F$3:R$3 &lt; 13),{1,2,3,4,5,6,7}))), 1, 1)"),0)</f>
        <v>0</v>
      </c>
      <c r="F89" s="38">
        <v>0</v>
      </c>
      <c r="G89" s="38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 s="40">
        <v>0</v>
      </c>
      <c r="Q89" s="40">
        <v>0</v>
      </c>
      <c r="R89" s="40">
        <v>0</v>
      </c>
      <c r="S89">
        <v>0</v>
      </c>
      <c r="T89">
        <v>0</v>
      </c>
      <c r="U89">
        <v>0</v>
      </c>
      <c r="V89">
        <v>0</v>
      </c>
    </row>
    <row r="90" spans="1:22">
      <c r="A90" s="40">
        <v>84</v>
      </c>
      <c r="B90" s="41" t="s">
        <v>641</v>
      </c>
      <c r="C90" s="38">
        <f>COUNTIFS(F90:R90,"&gt;0",$F$3:R$3,"&lt;13")</f>
        <v>0</v>
      </c>
      <c r="D90" s="38">
        <f ca="1">SUMIF($F$3:R$3,"&lt;13",F90:R90)</f>
        <v>0</v>
      </c>
      <c r="E90" s="38">
        <f ca="1">IFERROR(__xludf.DUMMYFUNCTION("ARRAY_CONSTRAIN(ARRAYFORMULA(SUMPRODUCT(LARGE(FILTER(F90:R90, F$3:R$3 &lt; 13),{1,2,3,4,5,6,7}))), 1, 1)"),0)</f>
        <v>0</v>
      </c>
      <c r="F90" s="38">
        <v>0</v>
      </c>
      <c r="G90" s="38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>
        <v>0</v>
      </c>
      <c r="T90">
        <v>0</v>
      </c>
      <c r="U90">
        <v>0</v>
      </c>
      <c r="V90">
        <v>0</v>
      </c>
    </row>
    <row r="91" spans="1:22">
      <c r="A91" s="40">
        <v>85</v>
      </c>
      <c r="B91" s="41" t="s">
        <v>115</v>
      </c>
      <c r="C91" s="38">
        <f>COUNTIFS(F91:R91,"&gt;0",$F$3:R$3,"&lt;13")</f>
        <v>0</v>
      </c>
      <c r="D91" s="38">
        <f ca="1">SUMIF($F$3:R$3,"&lt;13",F91:R91)</f>
        <v>0</v>
      </c>
      <c r="E91" s="38">
        <f ca="1">IFERROR(__xludf.DUMMYFUNCTION("ARRAY_CONSTRAIN(ARRAYFORMULA(SUMPRODUCT(LARGE(FILTER(F91:R91, F$3:R$3 &lt; 13),{1,2,3,4,5,6,7}))), 1, 1)"),0)</f>
        <v>0</v>
      </c>
      <c r="F91" s="38">
        <v>0</v>
      </c>
      <c r="G91" s="38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>
        <v>0</v>
      </c>
      <c r="T91">
        <v>0</v>
      </c>
      <c r="U91">
        <v>0</v>
      </c>
      <c r="V91">
        <v>0</v>
      </c>
    </row>
    <row r="92" spans="1:22">
      <c r="A92" s="40">
        <v>87</v>
      </c>
      <c r="B92" t="s">
        <v>544</v>
      </c>
      <c r="H92" s="40"/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>
        <v>100</v>
      </c>
      <c r="T92">
        <v>0</v>
      </c>
      <c r="U92">
        <v>0</v>
      </c>
      <c r="V92">
        <v>0</v>
      </c>
    </row>
    <row r="93" spans="1:22">
      <c r="A93" s="40">
        <v>88</v>
      </c>
      <c r="B93" t="s">
        <v>642</v>
      </c>
      <c r="H93" s="40"/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>
        <v>90</v>
      </c>
      <c r="T93">
        <v>0</v>
      </c>
      <c r="U93">
        <v>0</v>
      </c>
      <c r="V93">
        <v>0</v>
      </c>
    </row>
    <row r="94" spans="1:22">
      <c r="A94" s="40">
        <v>89</v>
      </c>
      <c r="B94" t="s">
        <v>188</v>
      </c>
      <c r="H94" s="40"/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40">
        <v>0</v>
      </c>
      <c r="S94">
        <v>90</v>
      </c>
      <c r="T94">
        <v>0</v>
      </c>
      <c r="U94">
        <v>0</v>
      </c>
      <c r="V94">
        <v>0</v>
      </c>
    </row>
    <row r="95" spans="1:22">
      <c r="A95" s="40">
        <v>90</v>
      </c>
      <c r="B95" t="s">
        <v>643</v>
      </c>
      <c r="H95" s="40"/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>
        <v>70</v>
      </c>
      <c r="T95">
        <v>0</v>
      </c>
      <c r="U95">
        <v>0</v>
      </c>
      <c r="V95">
        <v>0</v>
      </c>
    </row>
    <row r="96" spans="1:22">
      <c r="A96" s="40">
        <v>91</v>
      </c>
      <c r="B96" t="s">
        <v>644</v>
      </c>
      <c r="H96" s="40"/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>
        <v>70</v>
      </c>
      <c r="T96">
        <v>0</v>
      </c>
      <c r="U96">
        <v>0</v>
      </c>
      <c r="V96">
        <v>0</v>
      </c>
    </row>
    <row r="97" spans="1:22">
      <c r="A97" s="40">
        <v>92</v>
      </c>
      <c r="B97" t="s">
        <v>517</v>
      </c>
      <c r="H97" s="40"/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0">
        <v>0</v>
      </c>
      <c r="S97">
        <v>0</v>
      </c>
      <c r="T97">
        <v>60</v>
      </c>
      <c r="U97">
        <v>0</v>
      </c>
      <c r="V97">
        <v>0</v>
      </c>
    </row>
    <row r="98" spans="1:22">
      <c r="A98" s="40">
        <v>93</v>
      </c>
      <c r="B98" t="s">
        <v>473</v>
      </c>
      <c r="H98" s="40"/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>
        <v>0</v>
      </c>
      <c r="T98">
        <v>60</v>
      </c>
      <c r="U98">
        <v>0</v>
      </c>
      <c r="V98">
        <v>0</v>
      </c>
    </row>
    <row r="99" spans="1:22">
      <c r="A99" s="40">
        <v>94</v>
      </c>
      <c r="B99" t="s">
        <v>645</v>
      </c>
      <c r="H99" s="40"/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40">
        <v>0</v>
      </c>
      <c r="S99">
        <v>0</v>
      </c>
      <c r="T99">
        <v>60</v>
      </c>
      <c r="U99">
        <v>0</v>
      </c>
      <c r="V99">
        <v>0</v>
      </c>
    </row>
    <row r="100" spans="1:22">
      <c r="A100" s="40">
        <v>95</v>
      </c>
      <c r="B100" t="s">
        <v>646</v>
      </c>
      <c r="H100" s="40"/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>
        <v>0</v>
      </c>
      <c r="T100">
        <v>60</v>
      </c>
      <c r="U100">
        <v>0</v>
      </c>
      <c r="V100">
        <v>0</v>
      </c>
    </row>
    <row r="101" spans="1:22">
      <c r="A101" s="40">
        <v>96</v>
      </c>
      <c r="B101" t="s">
        <v>474</v>
      </c>
      <c r="H101" s="40"/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>
        <v>0</v>
      </c>
      <c r="T101">
        <v>60</v>
      </c>
      <c r="U101">
        <v>0</v>
      </c>
      <c r="V101">
        <v>0</v>
      </c>
    </row>
    <row r="102" spans="1:22">
      <c r="A102" s="40">
        <v>97</v>
      </c>
      <c r="B102" t="s">
        <v>588</v>
      </c>
      <c r="H102" s="40"/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>
        <v>0</v>
      </c>
      <c r="T102">
        <v>50</v>
      </c>
      <c r="U102">
        <v>0</v>
      </c>
      <c r="V102">
        <v>0</v>
      </c>
    </row>
    <row r="103" spans="1:22">
      <c r="A103" s="40">
        <v>98</v>
      </c>
      <c r="B103" t="s">
        <v>117</v>
      </c>
      <c r="H103" s="40"/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  <c r="O103" s="40">
        <v>0</v>
      </c>
      <c r="P103" s="40">
        <v>0</v>
      </c>
      <c r="Q103" s="40">
        <v>0</v>
      </c>
      <c r="R103" s="40">
        <v>0</v>
      </c>
      <c r="S103">
        <v>0</v>
      </c>
      <c r="T103">
        <v>50</v>
      </c>
      <c r="U103">
        <v>0</v>
      </c>
      <c r="V103">
        <v>0</v>
      </c>
    </row>
    <row r="104" spans="1:22">
      <c r="A104" s="40">
        <v>99</v>
      </c>
      <c r="B104" t="s">
        <v>509</v>
      </c>
      <c r="H104" s="40"/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>
        <v>0</v>
      </c>
      <c r="T104">
        <v>0</v>
      </c>
      <c r="U104">
        <v>90</v>
      </c>
      <c r="V104">
        <v>0</v>
      </c>
    </row>
    <row r="105" spans="1:22">
      <c r="A105" s="40">
        <v>100</v>
      </c>
      <c r="B105" t="s">
        <v>647</v>
      </c>
      <c r="H105" s="40"/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  <c r="Q105" s="40">
        <v>0</v>
      </c>
      <c r="R105" s="40">
        <v>0</v>
      </c>
      <c r="S105">
        <v>0</v>
      </c>
      <c r="T105">
        <v>0</v>
      </c>
      <c r="U105">
        <v>80</v>
      </c>
      <c r="V105">
        <v>0</v>
      </c>
    </row>
    <row r="106" spans="1:22">
      <c r="A106" s="40">
        <v>101</v>
      </c>
      <c r="B106" t="s">
        <v>627</v>
      </c>
      <c r="H106" s="40"/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>
        <v>0</v>
      </c>
      <c r="T106">
        <v>0</v>
      </c>
      <c r="U106">
        <v>0</v>
      </c>
      <c r="V106">
        <v>90</v>
      </c>
    </row>
    <row r="107" spans="1:22">
      <c r="A107" s="40">
        <v>102</v>
      </c>
      <c r="B107" t="s">
        <v>486</v>
      </c>
      <c r="H107" s="40"/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>
        <v>0</v>
      </c>
      <c r="T107">
        <v>0</v>
      </c>
      <c r="U107">
        <v>0</v>
      </c>
      <c r="V107">
        <v>90</v>
      </c>
    </row>
    <row r="108" spans="1:22">
      <c r="A108" s="40">
        <v>103</v>
      </c>
      <c r="B108" t="s">
        <v>648</v>
      </c>
      <c r="H108" s="40"/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>
        <v>0</v>
      </c>
      <c r="T108">
        <v>0</v>
      </c>
      <c r="U108">
        <v>0</v>
      </c>
      <c r="V108">
        <v>80</v>
      </c>
    </row>
    <row r="109" spans="1:22">
      <c r="A109" s="40">
        <v>104</v>
      </c>
      <c r="B109" t="s">
        <v>649</v>
      </c>
      <c r="H109" s="40"/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40">
        <v>0</v>
      </c>
      <c r="S109">
        <v>0</v>
      </c>
      <c r="T109">
        <v>0</v>
      </c>
      <c r="U109">
        <v>0</v>
      </c>
      <c r="V109">
        <v>70</v>
      </c>
    </row>
    <row r="110" spans="1:22">
      <c r="A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</row>
    <row r="111" spans="1:22">
      <c r="A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</row>
    <row r="112" spans="1:22">
      <c r="A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1:18">
      <c r="A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1:18">
      <c r="A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1:18">
      <c r="A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</row>
    <row r="116" spans="1:18">
      <c r="A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</row>
    <row r="117" spans="1:18">
      <c r="A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</row>
    <row r="118" spans="1:18">
      <c r="A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</row>
    <row r="119" spans="1:18">
      <c r="A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</row>
    <row r="120" spans="1:18">
      <c r="A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</row>
    <row r="121" spans="1:18">
      <c r="A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</row>
    <row r="122" spans="1:18">
      <c r="A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1:18">
      <c r="A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1:18">
      <c r="A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1:18">
      <c r="A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1:18">
      <c r="A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</row>
    <row r="127" spans="1:18">
      <c r="A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</row>
    <row r="128" spans="1:18">
      <c r="A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1:18">
      <c r="A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1:18">
      <c r="A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1:18">
      <c r="A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1:18">
      <c r="A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1:18">
      <c r="A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1:18">
      <c r="A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1:18">
      <c r="A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1:18">
      <c r="A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1:18">
      <c r="A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1:18">
      <c r="A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1:18">
      <c r="A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1:18">
      <c r="A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1:18">
      <c r="A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1:18">
      <c r="A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1:18">
      <c r="A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1:18">
      <c r="A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1:18">
      <c r="A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1:18">
      <c r="A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1:18">
      <c r="A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1:18">
      <c r="A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1:18">
      <c r="A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1:18">
      <c r="A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1:18">
      <c r="A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1:18">
      <c r="A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1:18">
      <c r="A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1:18">
      <c r="A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1:18">
      <c r="A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1:18">
      <c r="A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:18">
      <c r="A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:18">
      <c r="A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1:18">
      <c r="A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1:18">
      <c r="A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1:18">
      <c r="A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1:18">
      <c r="A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1:18">
      <c r="A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1:18">
      <c r="A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1:18">
      <c r="A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:18">
      <c r="A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:18">
      <c r="A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:18">
      <c r="A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:18">
      <c r="A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1:18">
      <c r="A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1:18">
      <c r="A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1:18">
      <c r="A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1:18">
      <c r="A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1:18">
      <c r="A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:18">
      <c r="A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1:18">
      <c r="A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1:18">
      <c r="A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1:18">
      <c r="A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1:18">
      <c r="A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:18">
      <c r="A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:18">
      <c r="A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1:18">
      <c r="A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:18">
      <c r="A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:18">
      <c r="A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:18">
      <c r="A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1:18">
      <c r="A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:18">
      <c r="A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1:18">
      <c r="A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1:18">
      <c r="A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1:18">
      <c r="A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1:18">
      <c r="A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:18">
      <c r="A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:18">
      <c r="A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1:18">
      <c r="A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1:18">
      <c r="A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1:18">
      <c r="A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1:18">
      <c r="A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:18">
      <c r="A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:18">
      <c r="A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:18">
      <c r="A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1:18">
      <c r="A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1:18">
      <c r="A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:18">
      <c r="A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:18">
      <c r="A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:18">
      <c r="A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:18">
      <c r="A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:18">
      <c r="A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:18">
      <c r="A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1:18">
      <c r="A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1:18">
      <c r="A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1:18">
      <c r="A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1:18">
      <c r="A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1:18">
      <c r="A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1:18">
      <c r="A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1:18">
      <c r="A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1:18">
      <c r="A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1:18">
      <c r="A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1:18">
      <c r="A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1:18">
      <c r="A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1:18">
      <c r="A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1:18">
      <c r="A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1:18">
      <c r="A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1:18">
      <c r="A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1:18">
      <c r="A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1:18">
      <c r="A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1:18">
      <c r="A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1:18">
      <c r="A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1:18">
      <c r="A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1:18">
      <c r="A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1:18">
      <c r="A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1:18">
      <c r="A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1:18">
      <c r="A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1:18">
      <c r="A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1:18">
      <c r="A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1:18">
      <c r="A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1:18">
      <c r="A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1:18">
      <c r="A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1:18">
      <c r="A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1:18">
      <c r="A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1:18">
      <c r="A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1:18">
      <c r="A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1:18">
      <c r="A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1:18">
      <c r="A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1:18">
      <c r="A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1:18">
      <c r="A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1:18">
      <c r="A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1:18">
      <c r="A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1:18">
      <c r="A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1:18">
      <c r="A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1:18">
      <c r="A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1:18">
      <c r="A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1:18">
      <c r="A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1:18">
      <c r="A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1:18">
      <c r="A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1:18">
      <c r="A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1:18">
      <c r="A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1:18">
      <c r="A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1:18">
      <c r="A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1:18">
      <c r="A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1:18">
      <c r="A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1:18">
      <c r="A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1:18">
      <c r="A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1:18">
      <c r="A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1:18">
      <c r="A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1:18">
      <c r="A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1:18">
      <c r="A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1:18">
      <c r="A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1:18">
      <c r="A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1:18">
      <c r="A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1:18">
      <c r="A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1:18">
      <c r="A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1:18">
      <c r="A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1:18">
      <c r="A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1:18">
      <c r="A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1:18">
      <c r="A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1:18">
      <c r="A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1:18">
      <c r="A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1:18">
      <c r="A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1:18">
      <c r="A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1:18">
      <c r="A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1:18">
      <c r="A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1:18">
      <c r="A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1:18">
      <c r="A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1:18">
      <c r="A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1:18">
      <c r="A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1:18">
      <c r="A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1:18">
      <c r="A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1:18">
      <c r="A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:18">
      <c r="A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:18">
      <c r="A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:18">
      <c r="A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:18">
      <c r="A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:18">
      <c r="A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:18">
      <c r="A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:18">
      <c r="A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:18">
      <c r="A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:18">
      <c r="A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:18">
      <c r="A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:18">
      <c r="A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:18">
      <c r="A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:18">
      <c r="A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:18">
      <c r="A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:18">
      <c r="A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:18">
      <c r="A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:18">
      <c r="A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:18">
      <c r="A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:18">
      <c r="A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:18">
      <c r="A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:18">
      <c r="A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:18">
      <c r="A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:18">
      <c r="A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:18">
      <c r="A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:18">
      <c r="A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:18">
      <c r="A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:18">
      <c r="A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:18">
      <c r="A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:18">
      <c r="A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:18">
      <c r="A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:18">
      <c r="A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:18">
      <c r="A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:18">
      <c r="A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:18">
      <c r="A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:18">
      <c r="A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:18">
      <c r="A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:18">
      <c r="A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:18">
      <c r="A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:18">
      <c r="A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:18">
      <c r="A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:18">
      <c r="A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:18">
      <c r="A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:18">
      <c r="A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:18">
      <c r="A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:18">
      <c r="A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:18">
      <c r="A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:18">
      <c r="A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:18">
      <c r="A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:18">
      <c r="A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:18">
      <c r="A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:18">
      <c r="A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:18">
      <c r="A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:18">
      <c r="A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:18">
      <c r="A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:18">
      <c r="A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:18">
      <c r="A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:18">
      <c r="A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:18">
      <c r="A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:18">
      <c r="A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:18">
      <c r="A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:18">
      <c r="A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:18">
      <c r="A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:18">
      <c r="A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:18">
      <c r="A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:18">
      <c r="A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:18">
      <c r="A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:18">
      <c r="A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:18">
      <c r="A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:18">
      <c r="A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:18">
      <c r="A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:18">
      <c r="A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:18">
      <c r="A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:18">
      <c r="A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:18">
      <c r="A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:18">
      <c r="A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:18">
      <c r="A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:18">
      <c r="A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:18">
      <c r="A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:18">
      <c r="A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:18">
      <c r="A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:18">
      <c r="A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:18">
      <c r="A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:18">
      <c r="A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:18">
      <c r="A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:18">
      <c r="A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:18">
      <c r="A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:18">
      <c r="A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:18">
      <c r="A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:18">
      <c r="A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:18">
      <c r="A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:18">
      <c r="A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:18">
      <c r="A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:18">
      <c r="A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:18">
      <c r="A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:18">
      <c r="A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:18">
      <c r="A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:18">
      <c r="A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:18">
      <c r="A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:18">
      <c r="A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:18">
      <c r="A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:18">
      <c r="A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:18">
      <c r="A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:18">
      <c r="A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:18">
      <c r="A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:18">
      <c r="A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:18">
      <c r="A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:18">
      <c r="A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:18">
      <c r="A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:18">
      <c r="A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:18">
      <c r="A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:18">
      <c r="A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:18">
      <c r="A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:18">
      <c r="A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:18">
      <c r="A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:18">
      <c r="A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:18">
      <c r="A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:18">
      <c r="A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:18">
      <c r="A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:18">
      <c r="A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:18">
      <c r="A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:18">
      <c r="A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:18">
      <c r="A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:18">
      <c r="A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:18">
      <c r="A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:18">
      <c r="A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:18">
      <c r="A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:18">
      <c r="A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:18">
      <c r="A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:18">
      <c r="A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:18">
      <c r="A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:18">
      <c r="A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:18">
      <c r="A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:18">
      <c r="A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:18">
      <c r="A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:18">
      <c r="A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:18">
      <c r="A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:18">
      <c r="A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:18">
      <c r="A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:18">
      <c r="A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:18">
      <c r="A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:18">
      <c r="A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:18">
      <c r="A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:18">
      <c r="A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:18">
      <c r="A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:18">
      <c r="A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:18">
      <c r="A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:18">
      <c r="A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:18">
      <c r="A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:18">
      <c r="A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:18">
      <c r="A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:18">
      <c r="A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:18">
      <c r="A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:18">
      <c r="A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:18">
      <c r="A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:18">
      <c r="A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:18">
      <c r="A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:18">
      <c r="A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:18">
      <c r="A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:18">
      <c r="A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:18">
      <c r="A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:18">
      <c r="A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:18">
      <c r="A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:18">
      <c r="A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:18">
      <c r="A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:18">
      <c r="A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:18">
      <c r="A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:18">
      <c r="A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:18">
      <c r="A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:18">
      <c r="A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:18">
      <c r="A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:18">
      <c r="A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:18">
      <c r="A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:18">
      <c r="A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:18">
      <c r="A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:18">
      <c r="A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:18">
      <c r="A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:18">
      <c r="A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:18">
      <c r="A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:18">
      <c r="A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:18">
      <c r="A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:18">
      <c r="A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:18">
      <c r="A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:18">
      <c r="A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:18">
      <c r="A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:18">
      <c r="A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:18">
      <c r="A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:18">
      <c r="A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:18">
      <c r="A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:18">
      <c r="A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:18">
      <c r="A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:18">
      <c r="A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:18">
      <c r="A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:18">
      <c r="A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:18">
      <c r="A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:18">
      <c r="A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:18">
      <c r="A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:18">
      <c r="A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:18">
      <c r="A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:18">
      <c r="A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:18">
      <c r="A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:18">
      <c r="A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:18">
      <c r="A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:18">
      <c r="A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:18">
      <c r="A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:18">
      <c r="A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:18">
      <c r="A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:18">
      <c r="A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:18">
      <c r="A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:18">
      <c r="A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:18">
      <c r="A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:18">
      <c r="A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:18">
      <c r="A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:18">
      <c r="A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:18">
      <c r="A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:18">
      <c r="A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:18">
      <c r="A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:18">
      <c r="A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:18">
      <c r="A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:18">
      <c r="A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:18">
      <c r="A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:18">
      <c r="A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:18">
      <c r="A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:18">
      <c r="A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:18">
      <c r="A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:18">
      <c r="A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:18">
      <c r="A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:18">
      <c r="A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:18">
      <c r="A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:18">
      <c r="A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:18">
      <c r="A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:18">
      <c r="A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:18">
      <c r="A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:18">
      <c r="A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:18">
      <c r="A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:18">
      <c r="A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:18">
      <c r="A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:18">
      <c r="A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:18">
      <c r="A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:18">
      <c r="A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:18">
      <c r="A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:18">
      <c r="A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:18">
      <c r="A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:18">
      <c r="A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:18">
      <c r="A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:18">
      <c r="A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:18">
      <c r="A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:18">
      <c r="A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:18">
      <c r="A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:18">
      <c r="A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:18">
      <c r="A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:18">
      <c r="A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:18">
      <c r="A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:18">
      <c r="A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:18">
      <c r="A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:18">
      <c r="A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:18">
      <c r="A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:18">
      <c r="A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:18">
      <c r="A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:18">
      <c r="A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:18">
      <c r="A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:18">
      <c r="A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:18">
      <c r="A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:18">
      <c r="A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:18">
      <c r="A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:18">
      <c r="A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:18">
      <c r="A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:18">
      <c r="A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:18">
      <c r="A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:18">
      <c r="A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:18">
      <c r="A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:18">
      <c r="A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:18">
      <c r="A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:18">
      <c r="A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:18">
      <c r="A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:18">
      <c r="A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:18">
      <c r="A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:18">
      <c r="A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:18">
      <c r="A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:18">
      <c r="A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:18">
      <c r="A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:18">
      <c r="A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:18">
      <c r="A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:18">
      <c r="A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:18">
      <c r="A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:18">
      <c r="A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:18">
      <c r="A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:18">
      <c r="A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:18">
      <c r="A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:18">
      <c r="A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:18">
      <c r="A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:18">
      <c r="A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:18">
      <c r="A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:18">
      <c r="A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:18">
      <c r="A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:18">
      <c r="A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:18">
      <c r="A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:18">
      <c r="A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:18">
      <c r="A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:18">
      <c r="A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:18">
      <c r="A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:18">
      <c r="A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:18">
      <c r="A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:18">
      <c r="A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:18">
      <c r="A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:18">
      <c r="A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:18">
      <c r="A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:18">
      <c r="A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:18">
      <c r="A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:18">
      <c r="A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:18">
      <c r="A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:18">
      <c r="A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:18">
      <c r="A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:18">
      <c r="A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:18">
      <c r="A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:18">
      <c r="A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:18">
      <c r="A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:18">
      <c r="A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:18">
      <c r="A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:18">
      <c r="A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:18">
      <c r="A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:18">
      <c r="A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:18">
      <c r="A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:18">
      <c r="A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:18">
      <c r="A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:18">
      <c r="A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:18">
      <c r="A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:18">
      <c r="A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:18">
      <c r="A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:18">
      <c r="A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:18">
      <c r="A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:18">
      <c r="A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:18">
      <c r="A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:18">
      <c r="A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:18">
      <c r="A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:18">
      <c r="A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:18">
      <c r="A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:18">
      <c r="A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:18">
      <c r="A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:18">
      <c r="A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:18">
      <c r="A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:18">
      <c r="A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:18">
      <c r="A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:18">
      <c r="A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:18">
      <c r="A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:18">
      <c r="A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:18">
      <c r="A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:18">
      <c r="A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:18">
      <c r="A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:18">
      <c r="A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:18">
      <c r="A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:18">
      <c r="A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:18">
      <c r="A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:18">
      <c r="A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:18">
      <c r="A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:18">
      <c r="A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:18">
      <c r="A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:18">
      <c r="A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:18">
      <c r="A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:18">
      <c r="A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:18">
      <c r="A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:18">
      <c r="A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:18">
      <c r="A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:18">
      <c r="A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:18">
      <c r="A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:18">
      <c r="A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:18">
      <c r="A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:18">
      <c r="A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:18">
      <c r="A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:18">
      <c r="A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:18">
      <c r="A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:18">
      <c r="A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:18">
      <c r="A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:18">
      <c r="A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:18">
      <c r="A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:18">
      <c r="A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:18">
      <c r="A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:18">
      <c r="A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:18">
      <c r="A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:18">
      <c r="A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:18">
      <c r="A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:18">
      <c r="A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:18">
      <c r="A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:18">
      <c r="A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:18">
      <c r="A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:18">
      <c r="A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:18">
      <c r="A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:18">
      <c r="A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:18">
      <c r="A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:18">
      <c r="A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:18">
      <c r="A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:18">
      <c r="A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:18">
      <c r="A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:18">
      <c r="A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:18">
      <c r="A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:18">
      <c r="A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:18">
      <c r="A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:18">
      <c r="A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:18">
      <c r="A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:18">
      <c r="A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:18">
      <c r="A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:18">
      <c r="A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:18">
      <c r="A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:18">
      <c r="A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:18">
      <c r="A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:18">
      <c r="A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:18">
      <c r="A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:18">
      <c r="A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:18">
      <c r="A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:18">
      <c r="A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:18">
      <c r="A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:18">
      <c r="A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:18">
      <c r="A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:18">
      <c r="A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:18">
      <c r="A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:18">
      <c r="A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:18">
      <c r="A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:18">
      <c r="A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:18">
      <c r="A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:18">
      <c r="A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:18">
      <c r="A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:18">
      <c r="A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:18">
      <c r="A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:18">
      <c r="A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:18">
      <c r="A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:18">
      <c r="A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:18">
      <c r="A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:18">
      <c r="A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:18">
      <c r="A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:18">
      <c r="A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:18">
      <c r="A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:18">
      <c r="A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:18">
      <c r="A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:18">
      <c r="A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:18">
      <c r="A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:18">
      <c r="A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:18">
      <c r="A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:18">
      <c r="A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:18">
      <c r="A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:18">
      <c r="A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:18">
      <c r="A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:18">
      <c r="A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:18">
      <c r="A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:18">
      <c r="A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:18">
      <c r="A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:18">
      <c r="A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:18">
      <c r="A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:18">
      <c r="A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:18">
      <c r="A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:18">
      <c r="A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:18">
      <c r="A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:18">
      <c r="A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:18">
      <c r="A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:18">
      <c r="A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:18">
      <c r="A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:18">
      <c r="A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:18">
      <c r="A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:18">
      <c r="A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:18">
      <c r="A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:18">
      <c r="A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:18">
      <c r="A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:18">
      <c r="A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:18">
      <c r="A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:18">
      <c r="A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:18">
      <c r="A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:18">
      <c r="A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:18">
      <c r="A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:18">
      <c r="A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:18">
      <c r="A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:18">
      <c r="A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:18">
      <c r="A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:18">
      <c r="A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:18">
      <c r="A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:18">
      <c r="A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:18">
      <c r="A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:18">
      <c r="A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:18">
      <c r="A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:18">
      <c r="A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:18">
      <c r="A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:18">
      <c r="A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:18">
      <c r="A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:18">
      <c r="A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:18">
      <c r="A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:18">
      <c r="A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:18">
      <c r="A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:18">
      <c r="A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:18">
      <c r="A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:18">
      <c r="A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:18">
      <c r="A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:18">
      <c r="A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:18">
      <c r="A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:18">
      <c r="A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:18">
      <c r="A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:18">
      <c r="A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:18">
      <c r="A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:18">
      <c r="A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:18">
      <c r="A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:18">
      <c r="A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:18">
      <c r="A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:18">
      <c r="A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:18">
      <c r="A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:18">
      <c r="A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:18">
      <c r="A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:18">
      <c r="A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:18">
      <c r="A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:18">
      <c r="A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:18">
      <c r="A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:18">
      <c r="A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:18">
      <c r="A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:18">
      <c r="A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:18">
      <c r="A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:18">
      <c r="A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:18">
      <c r="A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:18">
      <c r="A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:18">
      <c r="A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:18">
      <c r="A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:18">
      <c r="A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:18">
      <c r="A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:18">
      <c r="A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:18">
      <c r="A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:18">
      <c r="A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:18">
      <c r="A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:18">
      <c r="A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:18">
      <c r="A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:18">
      <c r="A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:18">
      <c r="A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:18">
      <c r="A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:18">
      <c r="A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:18">
      <c r="A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:18">
      <c r="A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:18">
      <c r="A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:18">
      <c r="A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:18">
      <c r="A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:18">
      <c r="A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:18">
      <c r="A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:18">
      <c r="A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:18">
      <c r="A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:18">
      <c r="A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:18">
      <c r="A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:18">
      <c r="A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:18">
      <c r="A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:18">
      <c r="A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:18">
      <c r="A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:18">
      <c r="A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:18">
      <c r="A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:18">
      <c r="A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:18">
      <c r="A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:18">
      <c r="A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:18">
      <c r="A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:18">
      <c r="A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:18">
      <c r="A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:18">
      <c r="A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:18">
      <c r="A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:18">
      <c r="A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:18">
      <c r="A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:18">
      <c r="A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:18">
      <c r="A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:18">
      <c r="A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:18">
      <c r="A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:18">
      <c r="A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:18">
      <c r="A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:18">
      <c r="A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:18">
      <c r="A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:18">
      <c r="A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:18">
      <c r="A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:18">
      <c r="A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:18">
      <c r="A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:18">
      <c r="A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:18">
      <c r="A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:18">
      <c r="A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:18">
      <c r="A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:18">
      <c r="A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:18">
      <c r="A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:18">
      <c r="A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:18">
      <c r="A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:18">
      <c r="A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:18">
      <c r="A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:18">
      <c r="A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:18">
      <c r="A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:18">
      <c r="A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:18">
      <c r="A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:18">
      <c r="A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:18">
      <c r="A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:18">
      <c r="A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:18">
      <c r="A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:18">
      <c r="A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:18">
      <c r="A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:18">
      <c r="A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:18">
      <c r="A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:18">
      <c r="A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:18">
      <c r="A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:18">
      <c r="A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:18">
      <c r="A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:18">
      <c r="A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:18">
      <c r="A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:18">
      <c r="A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:18">
      <c r="A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:18">
      <c r="A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:18">
      <c r="A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:18">
      <c r="A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:18">
      <c r="A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:18">
      <c r="A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:18">
      <c r="A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:18">
      <c r="A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:18">
      <c r="A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:18">
      <c r="A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:18">
      <c r="A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:18">
      <c r="A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:18">
      <c r="A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:18">
      <c r="A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:18">
      <c r="A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:18">
      <c r="A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:18">
      <c r="A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:18">
      <c r="A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:18">
      <c r="A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:18">
      <c r="A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:18">
      <c r="A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:18">
      <c r="A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:18">
      <c r="A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:18">
      <c r="A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:18">
      <c r="A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:18">
      <c r="A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:18">
      <c r="A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:18">
      <c r="A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:18">
      <c r="A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:18">
      <c r="A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:18">
      <c r="A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:18">
      <c r="A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:18">
      <c r="A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:18">
      <c r="A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:18">
      <c r="A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:18">
      <c r="A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:18">
      <c r="A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:18">
      <c r="A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:18">
      <c r="A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:18">
      <c r="A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:18">
      <c r="A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:18">
      <c r="A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:18">
      <c r="A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:18">
      <c r="A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:18">
      <c r="A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:18">
      <c r="A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:18">
      <c r="A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:18">
      <c r="A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:18">
      <c r="A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:18">
      <c r="A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:18">
      <c r="A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:18">
      <c r="A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:18">
      <c r="A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:18">
      <c r="A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:18">
      <c r="A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:18">
      <c r="A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:18">
      <c r="A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:18">
      <c r="A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:18">
      <c r="A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:18">
      <c r="A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:18">
      <c r="A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:18">
      <c r="A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:18">
      <c r="A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:18">
      <c r="A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:18">
      <c r="A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:18">
      <c r="A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:18">
      <c r="A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:18">
      <c r="A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:18">
      <c r="A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:18">
      <c r="A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:18">
      <c r="A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:18">
      <c r="A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:18">
      <c r="A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:18">
      <c r="A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:18">
      <c r="A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:18">
      <c r="A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:18">
      <c r="A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:18">
      <c r="A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:18">
      <c r="A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:18">
      <c r="A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:18">
      <c r="A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:18">
      <c r="A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:18">
      <c r="A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:18">
      <c r="A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:18">
      <c r="A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:18">
      <c r="A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:18">
      <c r="A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:18">
      <c r="A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:18">
      <c r="A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:18">
      <c r="A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:18">
      <c r="A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:18">
      <c r="A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:18">
      <c r="A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:18">
      <c r="A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:18">
      <c r="A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:18">
      <c r="A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:18">
      <c r="A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:18">
      <c r="A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:18">
      <c r="A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:18">
      <c r="A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:18">
      <c r="A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:18">
      <c r="A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:18">
      <c r="A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:18">
      <c r="A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:18">
      <c r="A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:18">
      <c r="A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:18">
      <c r="A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:18">
      <c r="A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:18">
      <c r="A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:18">
      <c r="A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703125" defaultRowHeight="15.75" customHeight="1"/>
  <cols>
    <col min="1" max="1" width="12.85546875" customWidth="1"/>
    <col min="2" max="2" width="18.7109375" customWidth="1"/>
  </cols>
  <sheetData>
    <row r="1" spans="1:25">
      <c r="A1" s="21"/>
      <c r="B1" s="22"/>
      <c r="C1" s="22"/>
      <c r="D1" s="22"/>
      <c r="E1" s="22"/>
      <c r="F1" s="23" t="s">
        <v>49</v>
      </c>
      <c r="G1" s="23" t="s">
        <v>47</v>
      </c>
      <c r="H1" s="23" t="s">
        <v>48</v>
      </c>
      <c r="I1" s="23"/>
      <c r="J1" s="23"/>
      <c r="K1" s="24" t="s">
        <v>54</v>
      </c>
      <c r="L1" s="25" t="s">
        <v>59</v>
      </c>
      <c r="M1" t="s">
        <v>60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73</v>
      </c>
      <c r="T1" t="s">
        <v>74</v>
      </c>
      <c r="U1" t="s">
        <v>77</v>
      </c>
      <c r="V1" t="s">
        <v>80</v>
      </c>
      <c r="W1" t="s">
        <v>83</v>
      </c>
      <c r="X1" t="s">
        <v>90</v>
      </c>
      <c r="Y1" t="s">
        <v>629</v>
      </c>
    </row>
    <row r="2" spans="1:25">
      <c r="A2" s="21"/>
      <c r="B2" s="22"/>
      <c r="C2" s="22"/>
      <c r="D2" s="22"/>
      <c r="E2" s="22"/>
      <c r="F2" s="23" t="s">
        <v>96</v>
      </c>
      <c r="G2" s="23" t="s">
        <v>94</v>
      </c>
      <c r="H2" s="23" t="s">
        <v>95</v>
      </c>
      <c r="I2" s="23"/>
      <c r="J2" s="23"/>
      <c r="K2" s="24" t="s">
        <v>98</v>
      </c>
      <c r="L2" s="24" t="s">
        <v>98</v>
      </c>
      <c r="M2" t="s">
        <v>99</v>
      </c>
      <c r="N2" t="s">
        <v>99</v>
      </c>
      <c r="O2" t="s">
        <v>99</v>
      </c>
      <c r="P2" t="s">
        <v>99</v>
      </c>
      <c r="Q2" t="s">
        <v>99</v>
      </c>
      <c r="R2" t="s">
        <v>99</v>
      </c>
      <c r="S2" t="s">
        <v>99</v>
      </c>
      <c r="T2" t="s">
        <v>99</v>
      </c>
      <c r="U2" t="s">
        <v>99</v>
      </c>
      <c r="V2" t="s">
        <v>99</v>
      </c>
      <c r="W2" t="s">
        <v>94</v>
      </c>
      <c r="X2" t="s">
        <v>93</v>
      </c>
      <c r="Y2" t="s">
        <v>93</v>
      </c>
    </row>
    <row r="3" spans="1:25">
      <c r="A3" s="26"/>
      <c r="B3" s="26"/>
      <c r="C3" s="27"/>
      <c r="D3" s="27"/>
      <c r="E3" s="27"/>
      <c r="F3" s="28">
        <f ca="1">DATEDIF(F4,NOW(),"M")</f>
        <v>1</v>
      </c>
      <c r="G3" s="28">
        <f ca="1">DATEDIF(G4,NOW(),"M")</f>
        <v>1</v>
      </c>
      <c r="H3" s="28">
        <f ca="1">DATEDIF(H4,NOW(),"M")</f>
        <v>1</v>
      </c>
      <c r="I3" s="28"/>
      <c r="J3" s="28"/>
      <c r="K3" s="29">
        <f ca="1">DATEDIF(K4,NOW(),"M")</f>
        <v>7</v>
      </c>
      <c r="L3" s="30">
        <f ca="1">DATEDIF(L4,NOW(),"M")</f>
        <v>1</v>
      </c>
    </row>
    <row r="4" spans="1:25">
      <c r="A4" s="26"/>
      <c r="B4" s="26"/>
      <c r="C4" s="60" t="s">
        <v>101</v>
      </c>
      <c r="D4" s="61"/>
      <c r="E4" s="62"/>
      <c r="F4" s="31">
        <v>45870</v>
      </c>
      <c r="G4" s="31">
        <v>45870</v>
      </c>
      <c r="H4" s="31">
        <v>45870</v>
      </c>
      <c r="I4" s="31"/>
      <c r="J4" s="31"/>
      <c r="K4" s="32">
        <v>45689</v>
      </c>
      <c r="L4" s="33">
        <v>45870</v>
      </c>
    </row>
    <row r="5" spans="1:25">
      <c r="A5" s="26"/>
      <c r="B5" s="26"/>
      <c r="C5" s="63"/>
      <c r="D5" s="64"/>
      <c r="E5" s="65"/>
      <c r="F5" s="34">
        <v>2025</v>
      </c>
      <c r="G5" s="34">
        <v>2025</v>
      </c>
      <c r="H5" s="34">
        <v>2025</v>
      </c>
      <c r="I5" s="34"/>
      <c r="J5" s="34"/>
      <c r="K5" s="29">
        <v>2025</v>
      </c>
      <c r="L5" s="30">
        <v>2025</v>
      </c>
    </row>
    <row r="6" spans="1:25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 t="s">
        <v>18</v>
      </c>
      <c r="G6" s="28" t="s">
        <v>19</v>
      </c>
      <c r="H6" s="28" t="s">
        <v>19</v>
      </c>
      <c r="I6" s="28"/>
      <c r="J6" s="28"/>
      <c r="K6" s="37" t="s">
        <v>15</v>
      </c>
      <c r="L6" s="30" t="s">
        <v>107</v>
      </c>
      <c r="M6" t="s">
        <v>19</v>
      </c>
      <c r="N6" t="s">
        <v>18</v>
      </c>
      <c r="O6" t="s">
        <v>19</v>
      </c>
      <c r="P6" t="s">
        <v>19</v>
      </c>
      <c r="Q6" t="s">
        <v>18</v>
      </c>
      <c r="R6" t="s">
        <v>19</v>
      </c>
      <c r="S6" t="s">
        <v>18</v>
      </c>
      <c r="T6" t="s">
        <v>19</v>
      </c>
      <c r="U6" t="s">
        <v>19</v>
      </c>
      <c r="V6" t="s">
        <v>19</v>
      </c>
      <c r="W6" t="s">
        <v>19</v>
      </c>
      <c r="X6" t="s">
        <v>18</v>
      </c>
      <c r="Y6" t="s">
        <v>18</v>
      </c>
    </row>
    <row r="7" spans="1:25">
      <c r="A7" s="38">
        <v>1</v>
      </c>
      <c r="B7" s="41" t="s">
        <v>120</v>
      </c>
      <c r="C7" s="38">
        <f ca="1">COUNTIFS(F7:L7,"&gt;0",$F$3:L$3,"&lt;13")</f>
        <v>5</v>
      </c>
      <c r="D7" s="38">
        <f ca="1">SUMIF($F$3:L$3,"&lt;13",F7:L7)</f>
        <v>1660</v>
      </c>
      <c r="E7" s="38">
        <f ca="1">IFERROR(__xludf.DUMMYFUNCTION("ARRAY_CONSTRAIN(ARRAYFORMULA(SUMPRODUCT(LARGE(FILTER(F7:L7, F$3:L$3 &lt; 13),{1,2,3,4,5,6,7}))), 1, 1)"),1535)</f>
        <v>1535</v>
      </c>
      <c r="F7" s="38">
        <f ca="1">SUMIF($F$3:L$3,"&lt;13",H7:L7)</f>
        <v>170</v>
      </c>
      <c r="G7" s="38">
        <v>45</v>
      </c>
      <c r="H7" s="38">
        <v>45</v>
      </c>
      <c r="I7" s="43">
        <v>0</v>
      </c>
      <c r="J7" s="43">
        <v>0</v>
      </c>
      <c r="K7" s="45">
        <v>500</v>
      </c>
      <c r="L7" s="45">
        <v>900</v>
      </c>
      <c r="M7">
        <v>45</v>
      </c>
      <c r="N7">
        <v>80</v>
      </c>
      <c r="O7">
        <v>45</v>
      </c>
      <c r="P7">
        <v>45</v>
      </c>
      <c r="Q7">
        <v>100</v>
      </c>
      <c r="R7">
        <v>45</v>
      </c>
      <c r="S7">
        <v>100</v>
      </c>
      <c r="T7">
        <v>45</v>
      </c>
      <c r="U7">
        <v>0</v>
      </c>
      <c r="V7">
        <v>50</v>
      </c>
      <c r="W7">
        <v>45</v>
      </c>
      <c r="X7">
        <v>90</v>
      </c>
      <c r="Y7">
        <v>100</v>
      </c>
    </row>
    <row r="8" spans="1:25">
      <c r="A8" s="38">
        <v>2</v>
      </c>
      <c r="B8" s="39" t="s">
        <v>112</v>
      </c>
      <c r="C8" s="38">
        <f ca="1">COUNTIFS(F8:L8,"&gt;0",$F$3:L$3,"&lt;13")</f>
        <v>4</v>
      </c>
      <c r="D8" s="38">
        <f ca="1">SUMIF($F$3:L$3,"&lt;13",F8:L8)</f>
        <v>700</v>
      </c>
      <c r="E8" s="38">
        <f ca="1">IFERROR(__xludf.DUMMYFUNCTION("ARRAY_CONSTRAIN(ARRAYFORMULA(SUMPRODUCT(LARGE(FILTER(F8:L8, F$3:L$3 &lt; 13),{1,2,3,4,5,6,7}))), 1, 1)"),700)</f>
        <v>700</v>
      </c>
      <c r="F8" s="38">
        <v>100</v>
      </c>
      <c r="G8" s="38">
        <v>50</v>
      </c>
      <c r="H8" s="38">
        <v>50</v>
      </c>
      <c r="I8" s="43">
        <v>0</v>
      </c>
      <c r="J8" s="43">
        <v>0</v>
      </c>
      <c r="K8" s="45">
        <v>500</v>
      </c>
      <c r="L8" s="45">
        <v>0</v>
      </c>
      <c r="M8">
        <v>50</v>
      </c>
      <c r="N8">
        <v>100</v>
      </c>
      <c r="O8">
        <v>50</v>
      </c>
      <c r="P8">
        <v>50</v>
      </c>
      <c r="Q8">
        <v>100</v>
      </c>
      <c r="R8">
        <v>50</v>
      </c>
      <c r="S8">
        <v>100</v>
      </c>
      <c r="T8">
        <v>50</v>
      </c>
      <c r="U8">
        <v>0</v>
      </c>
      <c r="V8">
        <v>50</v>
      </c>
      <c r="W8">
        <v>50</v>
      </c>
      <c r="X8">
        <v>100</v>
      </c>
      <c r="Y8">
        <v>90</v>
      </c>
    </row>
    <row r="9" spans="1:25">
      <c r="A9" s="38">
        <v>3</v>
      </c>
      <c r="B9" s="39" t="s">
        <v>44</v>
      </c>
      <c r="C9" s="38">
        <f ca="1">COUNTIFS(F9:L9,"&gt;0",$F$3:L$3,"&lt;13")</f>
        <v>2</v>
      </c>
      <c r="D9" s="38">
        <f ca="1">SUMIF($F$3:L$3,"&lt;13",F9:L9)</f>
        <v>390</v>
      </c>
      <c r="E9" s="38">
        <f ca="1">IFERROR(__xludf.DUMMYFUNCTION("ARRAY_CONSTRAIN(ARRAYFORMULA(SUMPRODUCT(LARGE(FILTER(F9:L9, F$3:L$3 &lt; 13),{1,2,3,4,5,6,7}))), 1, 1)"),390)</f>
        <v>390</v>
      </c>
      <c r="F9" s="38">
        <v>90</v>
      </c>
      <c r="G9" s="38">
        <v>0</v>
      </c>
      <c r="H9" s="38">
        <v>0</v>
      </c>
      <c r="I9" s="43">
        <v>0</v>
      </c>
      <c r="J9" s="43">
        <v>0</v>
      </c>
      <c r="K9" s="45">
        <v>300</v>
      </c>
      <c r="L9" s="45">
        <v>0</v>
      </c>
      <c r="M9">
        <v>40</v>
      </c>
      <c r="N9">
        <v>0</v>
      </c>
      <c r="O9">
        <v>0</v>
      </c>
      <c r="P9">
        <v>40</v>
      </c>
      <c r="Q9">
        <v>90</v>
      </c>
      <c r="R9">
        <v>40</v>
      </c>
      <c r="S9">
        <v>90</v>
      </c>
      <c r="T9">
        <v>0</v>
      </c>
      <c r="U9">
        <v>50</v>
      </c>
      <c r="V9">
        <v>0</v>
      </c>
      <c r="W9">
        <v>45</v>
      </c>
      <c r="X9">
        <v>100</v>
      </c>
      <c r="Y9">
        <v>100</v>
      </c>
    </row>
    <row r="10" spans="1:25">
      <c r="A10" s="38">
        <v>4</v>
      </c>
      <c r="B10" s="41" t="s">
        <v>151</v>
      </c>
      <c r="C10" s="38">
        <f ca="1">COUNTIFS(F10:L10,"&gt;0",$F$3:L$3,"&lt;13")</f>
        <v>2</v>
      </c>
      <c r="D10" s="38">
        <f ca="1">SUMIF($F$3:L$3,"&lt;13",F10:L10)</f>
        <v>80</v>
      </c>
      <c r="E10" s="38">
        <f ca="1">IFERROR(__xludf.DUMMYFUNCTION("ARRAY_CONSTRAIN(ARRAYFORMULA(SUMPRODUCT(LARGE(FILTER(F10:L10, F$3:L$3 &lt; 13),{1,2,3,4,5,6,7}))), 1, 1)"),80)</f>
        <v>80</v>
      </c>
      <c r="F10" s="38">
        <f ca="1">SUMIF($F$3:L$3,"&lt;13",H10:L10)</f>
        <v>40</v>
      </c>
      <c r="G10" s="38">
        <f ca="1">SUMIF($F$3:M$3,"&lt;13",I10:M10)</f>
        <v>0</v>
      </c>
      <c r="H10" s="38">
        <v>40</v>
      </c>
      <c r="I10" s="43">
        <v>0</v>
      </c>
      <c r="J10" s="43">
        <v>0</v>
      </c>
      <c r="K10" s="45">
        <v>0</v>
      </c>
      <c r="L10" s="45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38">
        <v>5</v>
      </c>
      <c r="B11" s="39" t="s">
        <v>37</v>
      </c>
      <c r="C11" s="38">
        <f ca="1">COUNTIFS(F11:L11,"&gt;0",$F$3:L$3,"&lt;13")</f>
        <v>0</v>
      </c>
      <c r="D11" s="38">
        <f ca="1">SUMIF($F$3:L$3,"&lt;13",F11:L11)</f>
        <v>0</v>
      </c>
      <c r="E11" s="38">
        <f ca="1">IFERROR(__xludf.DUMMYFUNCTION("ARRAY_CONSTRAIN(ARRAYFORMULA(SUMPRODUCT(LARGE(FILTER(F11:L11, F$3:L$3 &lt; 13),{1,2,3,4,5,6,7}))), 1, 1)"),0)</f>
        <v>0</v>
      </c>
      <c r="F11" s="38">
        <f ca="1">SUMIF($F$3:L$3,"&lt;13",H11:L11)</f>
        <v>0</v>
      </c>
      <c r="G11" s="38">
        <f ca="1">SUMIF($F$3:M$3,"&lt;13",I11:M11)</f>
        <v>0</v>
      </c>
      <c r="H11" s="38">
        <v>0</v>
      </c>
      <c r="I11" s="43">
        <v>0</v>
      </c>
      <c r="J11" s="43">
        <v>0</v>
      </c>
      <c r="K11" s="45">
        <v>0</v>
      </c>
      <c r="L11" s="45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38">
        <v>6</v>
      </c>
      <c r="B12" s="39" t="s">
        <v>329</v>
      </c>
      <c r="C12" s="38">
        <f ca="1">COUNTIFS(F12:L12,"&gt;0",$F$3:L$3,"&lt;13")</f>
        <v>0</v>
      </c>
      <c r="D12" s="38">
        <f ca="1">SUMIF($F$3:L$3,"&lt;13",F12:L12)</f>
        <v>0</v>
      </c>
      <c r="E12" s="38">
        <f ca="1">IFERROR(__xludf.DUMMYFUNCTION("ARRAY_CONSTRAIN(ARRAYFORMULA(SUMPRODUCT(LARGE(FILTER(F12:L12, F$3:L$3 &lt; 13),{1,2,3,4,5,6,7}))), 1, 1)"),0)</f>
        <v>0</v>
      </c>
      <c r="F12" s="38">
        <f ca="1">SUMIF($F$3:L$3,"&lt;13",H12:L12)</f>
        <v>0</v>
      </c>
      <c r="G12" s="38">
        <f ca="1">SUMIF($F$3:M$3,"&lt;13",I12:M12)</f>
        <v>0</v>
      </c>
      <c r="H12" s="38">
        <v>0</v>
      </c>
      <c r="I12" s="43">
        <v>0</v>
      </c>
      <c r="J12" s="43">
        <v>0</v>
      </c>
      <c r="K12" s="45">
        <v>0</v>
      </c>
      <c r="L12" s="45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38">
        <v>7</v>
      </c>
      <c r="B13" s="39" t="s">
        <v>142</v>
      </c>
      <c r="C13" s="38">
        <f ca="1">COUNTIFS(F13:L13,"&gt;0",$F$3:L$3,"&lt;13")</f>
        <v>0</v>
      </c>
      <c r="D13" s="38">
        <f ca="1">SUMIF($F$3:L$3,"&lt;13",F13:L13)</f>
        <v>0</v>
      </c>
      <c r="E13" s="38">
        <f ca="1">IFERROR(__xludf.DUMMYFUNCTION("ARRAY_CONSTRAIN(ARRAYFORMULA(SUMPRODUCT(LARGE(FILTER(F13:L13, F$3:L$3 &lt; 13),{1,2,3,4,5,6,7}))), 1, 1)"),0)</f>
        <v>0</v>
      </c>
      <c r="F13" s="38">
        <f ca="1">SUMIF($F$3:L$3,"&lt;13",H13:L13)</f>
        <v>0</v>
      </c>
      <c r="G13" s="38">
        <f ca="1">SUMIF($F$3:M$3,"&lt;13",I13:M13)</f>
        <v>0</v>
      </c>
      <c r="H13" s="38">
        <v>0</v>
      </c>
      <c r="I13" s="43">
        <v>0</v>
      </c>
      <c r="J13" s="43">
        <v>0</v>
      </c>
      <c r="K13" s="45">
        <v>0</v>
      </c>
      <c r="L13" s="45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s="38">
        <v>8</v>
      </c>
      <c r="B14" s="39" t="s">
        <v>236</v>
      </c>
      <c r="C14" s="38">
        <f ca="1">COUNTIFS(F14:L14,"&gt;0",$F$3:L$3,"&lt;13")</f>
        <v>0</v>
      </c>
      <c r="D14" s="38">
        <f ca="1">SUMIF($F$3:L$3,"&lt;13",F14:L14)</f>
        <v>0</v>
      </c>
      <c r="E14" s="38">
        <f ca="1">IFERROR(__xludf.DUMMYFUNCTION("ARRAY_CONSTRAIN(ARRAYFORMULA(SUMPRODUCT(LARGE(FILTER(F14:L14, F$3:L$3 &lt; 13),{1,2,3,4,5,6,7}))), 1, 1)"),0)</f>
        <v>0</v>
      </c>
      <c r="F14" s="38">
        <f ca="1">SUMIF($F$3:L$3,"&lt;13",H14:L14)</f>
        <v>0</v>
      </c>
      <c r="G14" s="38">
        <f ca="1">SUMIF($F$3:M$3,"&lt;13",I14:M14)</f>
        <v>0</v>
      </c>
      <c r="H14" s="38">
        <v>0</v>
      </c>
      <c r="I14" s="43">
        <v>0</v>
      </c>
      <c r="J14" s="43">
        <v>0</v>
      </c>
      <c r="K14" s="45">
        <v>0</v>
      </c>
      <c r="L14" s="45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s="38">
        <v>9</v>
      </c>
      <c r="B15" s="41" t="s">
        <v>362</v>
      </c>
      <c r="C15" s="38">
        <f ca="1">COUNTIFS(F15:L15,"&gt;0",$F$3:L$3,"&lt;13")</f>
        <v>0</v>
      </c>
      <c r="D15" s="38">
        <f ca="1">SUMIF($F$3:L$3,"&lt;13",F15:L15)</f>
        <v>0</v>
      </c>
      <c r="E15" s="38">
        <f ca="1">IFERROR(__xludf.DUMMYFUNCTION("ARRAY_CONSTRAIN(ARRAYFORMULA(SUMPRODUCT(LARGE(FILTER(F15:L15, F$3:L$3 &lt; 13),{1,2,3,4,5,6,7}))), 1, 1)"),0)</f>
        <v>0</v>
      </c>
      <c r="F15" s="38">
        <f ca="1">SUMIF($F$3:L$3,"&lt;13",H15:L15)</f>
        <v>0</v>
      </c>
      <c r="G15" s="38">
        <f ca="1">SUMIF($F$3:M$3,"&lt;13",I15:M15)</f>
        <v>0</v>
      </c>
      <c r="H15" s="38">
        <v>0</v>
      </c>
      <c r="I15" s="43">
        <v>0</v>
      </c>
      <c r="J15" s="43">
        <v>0</v>
      </c>
      <c r="K15" s="45">
        <v>0</v>
      </c>
      <c r="L15" s="4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s="38"/>
      <c r="B16" s="39"/>
      <c r="C16" s="38"/>
      <c r="D16" s="38"/>
      <c r="E16" s="38"/>
      <c r="F16" s="40"/>
      <c r="G16" s="40"/>
      <c r="H16" s="40"/>
      <c r="I16" s="40"/>
      <c r="J16" s="40"/>
      <c r="K16" s="40"/>
      <c r="L16" s="40"/>
    </row>
    <row r="17" spans="1:12">
      <c r="A17" s="38"/>
      <c r="B17" s="39"/>
      <c r="C17" s="38"/>
      <c r="D17" s="38"/>
      <c r="E17" s="38"/>
      <c r="F17" s="40"/>
      <c r="G17" s="40"/>
      <c r="H17" s="40"/>
      <c r="I17" s="40"/>
      <c r="J17" s="40"/>
      <c r="K17" s="40"/>
      <c r="L17" s="40"/>
    </row>
    <row r="18" spans="1:12">
      <c r="A18" s="38"/>
      <c r="B18" s="39"/>
      <c r="C18" s="38"/>
      <c r="D18" s="38"/>
      <c r="E18" s="38"/>
      <c r="F18" s="40"/>
      <c r="G18" s="40"/>
      <c r="H18" s="40"/>
      <c r="I18" s="40"/>
      <c r="J18" s="40"/>
      <c r="K18" s="40"/>
      <c r="L18" s="40"/>
    </row>
    <row r="19" spans="1:12">
      <c r="A19" s="38"/>
      <c r="C19" s="38"/>
      <c r="D19" s="38"/>
      <c r="E19" s="38"/>
      <c r="F19" s="40"/>
      <c r="G19" s="40"/>
      <c r="H19" s="40"/>
      <c r="I19" s="40"/>
      <c r="J19" s="40"/>
      <c r="K19" s="40"/>
      <c r="L19" s="40"/>
    </row>
    <row r="20" spans="1:12">
      <c r="A20" s="38"/>
      <c r="B20" s="39"/>
      <c r="C20" s="38"/>
      <c r="D20" s="38"/>
      <c r="E20" s="38"/>
      <c r="F20" s="40"/>
      <c r="G20" s="40"/>
      <c r="H20" s="40"/>
      <c r="I20" s="40"/>
      <c r="J20" s="40"/>
      <c r="K20" s="40"/>
      <c r="L20" s="40"/>
    </row>
    <row r="21" spans="1:12">
      <c r="A21" s="38"/>
      <c r="C21" s="38"/>
      <c r="D21" s="38"/>
      <c r="E21" s="38"/>
      <c r="F21" s="40"/>
      <c r="G21" s="40"/>
      <c r="H21" s="40"/>
      <c r="I21" s="40"/>
      <c r="J21" s="40"/>
      <c r="K21" s="40"/>
      <c r="L21" s="40"/>
    </row>
    <row r="22" spans="1:12">
      <c r="A22" s="38"/>
      <c r="C22" s="38"/>
      <c r="D22" s="38"/>
      <c r="E22" s="38"/>
      <c r="F22" s="46"/>
      <c r="G22" s="46"/>
      <c r="H22" s="46"/>
      <c r="I22" s="46"/>
      <c r="J22" s="46"/>
      <c r="K22" s="40"/>
      <c r="L22" s="40"/>
    </row>
    <row r="23" spans="1:12">
      <c r="A23" s="38"/>
      <c r="B23" s="39"/>
      <c r="C23" s="38"/>
      <c r="D23" s="38"/>
      <c r="E23" s="38"/>
      <c r="F23" s="40"/>
      <c r="G23" s="40"/>
      <c r="H23" s="40"/>
      <c r="I23" s="40"/>
      <c r="J23" s="40"/>
      <c r="K23" s="40"/>
      <c r="L23" s="40"/>
    </row>
    <row r="24" spans="1:12">
      <c r="A24" s="38"/>
      <c r="B24" s="39"/>
      <c r="C24" s="38"/>
      <c r="D24" s="38"/>
      <c r="E24" s="38"/>
      <c r="F24" s="40"/>
      <c r="G24" s="40"/>
      <c r="H24" s="40"/>
      <c r="I24" s="40"/>
      <c r="J24" s="40"/>
      <c r="K24" s="40"/>
      <c r="L24" s="40"/>
    </row>
    <row r="25" spans="1:12">
      <c r="A25" s="38"/>
      <c r="C25" s="38"/>
      <c r="D25" s="38"/>
      <c r="E25" s="38"/>
      <c r="F25" s="46"/>
      <c r="G25" s="46"/>
      <c r="H25" s="46"/>
      <c r="I25" s="46"/>
      <c r="J25" s="46"/>
      <c r="K25" s="40"/>
      <c r="L25" s="40"/>
    </row>
    <row r="26" spans="1:12">
      <c r="A26" s="38"/>
      <c r="C26" s="38"/>
      <c r="D26" s="38"/>
      <c r="E26" s="38"/>
      <c r="F26" s="46"/>
      <c r="G26" s="46"/>
      <c r="H26" s="46"/>
      <c r="I26" s="46"/>
      <c r="J26" s="46"/>
      <c r="K26" s="40"/>
      <c r="L26" s="40"/>
    </row>
    <row r="27" spans="1:12">
      <c r="A27" s="38"/>
      <c r="B27" s="39"/>
      <c r="C27" s="38"/>
      <c r="D27" s="38"/>
      <c r="E27" s="38"/>
      <c r="F27" s="40"/>
      <c r="G27" s="40"/>
      <c r="H27" s="40"/>
      <c r="I27" s="40"/>
      <c r="J27" s="40"/>
      <c r="K27" s="40"/>
      <c r="L27" s="40"/>
    </row>
    <row r="28" spans="1:12">
      <c r="A28" s="38"/>
      <c r="B28" s="39"/>
      <c r="C28" s="38"/>
      <c r="D28" s="38"/>
      <c r="E28" s="38"/>
      <c r="F28" s="40"/>
      <c r="G28" s="40"/>
      <c r="H28" s="40"/>
      <c r="I28" s="40"/>
      <c r="J28" s="40"/>
      <c r="K28" s="40"/>
      <c r="L28" s="40"/>
    </row>
    <row r="29" spans="1:12">
      <c r="A29" s="38"/>
      <c r="B29" s="39"/>
      <c r="C29" s="38"/>
      <c r="D29" s="38"/>
      <c r="E29" s="38"/>
      <c r="F29" s="40"/>
      <c r="G29" s="40"/>
      <c r="H29" s="40"/>
      <c r="I29" s="40"/>
      <c r="J29" s="40"/>
      <c r="K29" s="40"/>
      <c r="L29" s="40"/>
    </row>
    <row r="30" spans="1:12">
      <c r="A30" s="38"/>
      <c r="B30" s="39"/>
      <c r="C30" s="38"/>
      <c r="D30" s="38"/>
      <c r="E30" s="38"/>
      <c r="F30" s="40"/>
      <c r="G30" s="40"/>
      <c r="H30" s="40"/>
      <c r="I30" s="40"/>
      <c r="J30" s="40"/>
      <c r="K30" s="40"/>
      <c r="L30" s="40"/>
    </row>
    <row r="31" spans="1:12">
      <c r="A31" s="38"/>
      <c r="C31" s="38"/>
      <c r="D31" s="38"/>
      <c r="E31" s="38"/>
      <c r="F31" s="40"/>
      <c r="G31" s="40"/>
      <c r="H31" s="40"/>
      <c r="I31" s="40"/>
      <c r="J31" s="40"/>
      <c r="K31" s="40"/>
      <c r="L31" s="40"/>
    </row>
    <row r="32" spans="1:12">
      <c r="A32" s="38"/>
      <c r="C32" s="38"/>
      <c r="D32" s="38"/>
      <c r="E32" s="38"/>
      <c r="F32" s="40"/>
      <c r="G32" s="40"/>
      <c r="H32" s="40"/>
      <c r="I32" s="40"/>
      <c r="J32" s="40"/>
      <c r="K32" s="40"/>
      <c r="L32" s="40"/>
    </row>
    <row r="33" spans="1:12">
      <c r="A33" s="40"/>
      <c r="C33" s="38"/>
      <c r="D33" s="38"/>
      <c r="E33" s="38"/>
      <c r="F33" s="40"/>
      <c r="G33" s="40"/>
      <c r="H33" s="40"/>
      <c r="I33" s="40"/>
      <c r="J33" s="40"/>
      <c r="K33" s="40"/>
      <c r="L33" s="40"/>
    </row>
    <row r="34" spans="1:12">
      <c r="A34" s="40"/>
      <c r="C34" s="38"/>
      <c r="D34" s="38"/>
      <c r="E34" s="38"/>
      <c r="F34" s="40"/>
      <c r="G34" s="40"/>
      <c r="H34" s="40"/>
      <c r="I34" s="40"/>
      <c r="J34" s="40"/>
      <c r="K34" s="40"/>
      <c r="L34" s="40"/>
    </row>
    <row r="35" spans="1:12">
      <c r="A35" s="40"/>
      <c r="B35" s="39"/>
      <c r="C35" s="38"/>
      <c r="D35" s="38"/>
      <c r="E35" s="38"/>
      <c r="F35" s="40"/>
      <c r="G35" s="40"/>
      <c r="H35" s="40"/>
      <c r="I35" s="40"/>
      <c r="J35" s="40"/>
      <c r="K35" s="40"/>
      <c r="L35" s="40"/>
    </row>
    <row r="36" spans="1:12">
      <c r="A36" s="40"/>
      <c r="C36" s="38"/>
      <c r="D36" s="38"/>
      <c r="E36" s="38"/>
      <c r="F36" s="40"/>
      <c r="G36" s="40"/>
      <c r="H36" s="40"/>
      <c r="I36" s="40"/>
      <c r="J36" s="40"/>
      <c r="K36" s="40"/>
      <c r="L36" s="40"/>
    </row>
    <row r="37" spans="1:12">
      <c r="A37" s="40"/>
      <c r="C37" s="38"/>
      <c r="D37" s="38"/>
      <c r="E37" s="38"/>
      <c r="F37" s="40"/>
      <c r="G37" s="40"/>
      <c r="H37" s="40"/>
      <c r="I37" s="40"/>
      <c r="J37" s="40"/>
      <c r="K37" s="40"/>
      <c r="L37" s="40"/>
    </row>
    <row r="38" spans="1:12">
      <c r="A38" s="40"/>
      <c r="C38" s="38"/>
      <c r="D38" s="38"/>
      <c r="E38" s="38"/>
      <c r="F38" s="40"/>
      <c r="G38" s="40"/>
      <c r="H38" s="40"/>
      <c r="I38" s="40"/>
      <c r="J38" s="40"/>
      <c r="K38" s="40"/>
      <c r="L38" s="40"/>
    </row>
    <row r="39" spans="1:12">
      <c r="A39" s="40"/>
      <c r="C39" s="38"/>
      <c r="D39" s="38"/>
      <c r="E39" s="38"/>
      <c r="F39" s="40"/>
      <c r="G39" s="40"/>
      <c r="H39" s="40"/>
      <c r="I39" s="40"/>
      <c r="J39" s="40"/>
      <c r="K39" s="40"/>
      <c r="L39" s="40"/>
    </row>
    <row r="40" spans="1:12">
      <c r="A40" s="40"/>
      <c r="C40" s="38"/>
      <c r="D40" s="38"/>
      <c r="E40" s="38"/>
      <c r="F40" s="40"/>
      <c r="G40" s="40"/>
      <c r="H40" s="40"/>
      <c r="I40" s="40"/>
      <c r="J40" s="40"/>
      <c r="K40" s="40"/>
      <c r="L40" s="40"/>
    </row>
    <row r="41" spans="1:12">
      <c r="A41" s="40"/>
      <c r="C41" s="38"/>
      <c r="D41" s="38"/>
      <c r="E41" s="38"/>
      <c r="F41" s="40"/>
      <c r="G41" s="40"/>
      <c r="H41" s="40"/>
      <c r="I41" s="40"/>
      <c r="J41" s="40"/>
      <c r="K41" s="40"/>
      <c r="L41" s="40"/>
    </row>
    <row r="42" spans="1:12">
      <c r="A42" s="40"/>
      <c r="B42" s="39"/>
      <c r="C42" s="38"/>
      <c r="D42" s="38"/>
      <c r="E42" s="38"/>
      <c r="F42" s="40"/>
      <c r="G42" s="40"/>
      <c r="H42" s="40"/>
      <c r="I42" s="40"/>
      <c r="J42" s="40"/>
      <c r="K42" s="40"/>
      <c r="L42" s="40"/>
    </row>
    <row r="43" spans="1:12">
      <c r="A43" s="40"/>
      <c r="B43" s="39"/>
      <c r="C43" s="38"/>
      <c r="D43" s="38"/>
      <c r="E43" s="38"/>
      <c r="F43" s="40"/>
      <c r="G43" s="40"/>
      <c r="H43" s="40"/>
      <c r="I43" s="40"/>
      <c r="J43" s="40"/>
      <c r="K43" s="40"/>
      <c r="L43" s="40"/>
    </row>
    <row r="44" spans="1:12">
      <c r="A44" s="40"/>
      <c r="B44" s="39"/>
      <c r="C44" s="38"/>
      <c r="D44" s="38"/>
      <c r="E44" s="38"/>
      <c r="F44" s="40"/>
      <c r="G44" s="40"/>
      <c r="H44" s="40"/>
      <c r="I44" s="40"/>
      <c r="J44" s="40"/>
      <c r="K44" s="40"/>
      <c r="L44" s="40"/>
    </row>
    <row r="45" spans="1:12">
      <c r="A45" s="40"/>
      <c r="B45" s="39"/>
      <c r="C45" s="38"/>
      <c r="D45" s="38"/>
      <c r="E45" s="38"/>
      <c r="F45" s="40"/>
      <c r="G45" s="40"/>
      <c r="H45" s="40"/>
      <c r="I45" s="40"/>
      <c r="J45" s="40"/>
      <c r="K45" s="40"/>
      <c r="L45" s="40"/>
    </row>
    <row r="46" spans="1:12">
      <c r="A46" s="40"/>
      <c r="B46" s="39"/>
      <c r="C46" s="38"/>
      <c r="D46" s="38"/>
      <c r="E46" s="38"/>
      <c r="F46" s="40"/>
      <c r="G46" s="40"/>
      <c r="H46" s="40"/>
      <c r="I46" s="40"/>
      <c r="J46" s="40"/>
      <c r="K46" s="40"/>
      <c r="L46" s="40"/>
    </row>
    <row r="47" spans="1:12">
      <c r="A47" s="40"/>
      <c r="B47" s="39"/>
      <c r="C47" s="38"/>
      <c r="D47" s="38"/>
      <c r="E47" s="38"/>
      <c r="F47" s="40"/>
      <c r="G47" s="40"/>
      <c r="H47" s="40"/>
      <c r="I47" s="40"/>
      <c r="J47" s="40"/>
      <c r="K47" s="40"/>
      <c r="L47" s="40"/>
    </row>
    <row r="48" spans="1:12">
      <c r="A48" s="40"/>
      <c r="K48" s="40"/>
      <c r="L48" s="40"/>
    </row>
    <row r="49" spans="1:12">
      <c r="A49" s="40"/>
      <c r="K49" s="40"/>
      <c r="L49" s="40"/>
    </row>
    <row r="50" spans="1:12">
      <c r="A50" s="40"/>
      <c r="K50" s="40"/>
      <c r="L50" s="40"/>
    </row>
    <row r="51" spans="1:12">
      <c r="A51" s="40"/>
      <c r="K51" s="40"/>
      <c r="L51" s="40"/>
    </row>
    <row r="52" spans="1:12">
      <c r="A52" s="40"/>
      <c r="K52" s="40"/>
      <c r="L52" s="40"/>
    </row>
    <row r="53" spans="1:12">
      <c r="A53" s="40"/>
      <c r="K53" s="40"/>
      <c r="L53" s="40"/>
    </row>
    <row r="54" spans="1:12">
      <c r="A54" s="40"/>
      <c r="K54" s="40"/>
      <c r="L54" s="40"/>
    </row>
    <row r="55" spans="1:12">
      <c r="A55" s="40"/>
      <c r="K55" s="40"/>
      <c r="L55" s="40"/>
    </row>
    <row r="56" spans="1:12">
      <c r="A56" s="40"/>
      <c r="K56" s="40"/>
      <c r="L56" s="40"/>
    </row>
    <row r="57" spans="1:12">
      <c r="A57" s="40"/>
      <c r="K57" s="40"/>
      <c r="L57" s="40"/>
    </row>
    <row r="58" spans="1:12">
      <c r="A58" s="40"/>
      <c r="K58" s="40"/>
      <c r="L58" s="40"/>
    </row>
    <row r="59" spans="1:12">
      <c r="A59" s="40"/>
      <c r="K59" s="40"/>
      <c r="L59" s="40"/>
    </row>
    <row r="60" spans="1:12">
      <c r="A60" s="40"/>
      <c r="K60" s="40"/>
      <c r="L60" s="40"/>
    </row>
    <row r="61" spans="1:12">
      <c r="A61" s="40"/>
      <c r="K61" s="40"/>
      <c r="L61" s="40"/>
    </row>
    <row r="62" spans="1:12">
      <c r="A62" s="40"/>
      <c r="K62" s="40"/>
      <c r="L62" s="40"/>
    </row>
    <row r="63" spans="1:12">
      <c r="A63" s="40"/>
      <c r="K63" s="40"/>
      <c r="L63" s="40"/>
    </row>
    <row r="64" spans="1:12">
      <c r="A64" s="40"/>
      <c r="K64" s="40"/>
      <c r="L64" s="40"/>
    </row>
    <row r="65" spans="1:12">
      <c r="A65" s="40"/>
      <c r="K65" s="40"/>
      <c r="L65" s="40"/>
    </row>
    <row r="66" spans="1:12">
      <c r="A66" s="40"/>
      <c r="K66" s="40"/>
      <c r="L66" s="40"/>
    </row>
    <row r="67" spans="1:12">
      <c r="A67" s="40"/>
      <c r="K67" s="40"/>
      <c r="L67" s="40"/>
    </row>
    <row r="68" spans="1:12">
      <c r="A68" s="40"/>
      <c r="K68" s="40"/>
      <c r="L68" s="40"/>
    </row>
    <row r="69" spans="1:12">
      <c r="A69" s="40"/>
      <c r="K69" s="40"/>
      <c r="L69" s="40"/>
    </row>
    <row r="70" spans="1:12">
      <c r="A70" s="40"/>
      <c r="K70" s="40"/>
      <c r="L70" s="40"/>
    </row>
    <row r="71" spans="1:12">
      <c r="A71" s="40"/>
      <c r="K71" s="40"/>
      <c r="L71" s="40"/>
    </row>
    <row r="72" spans="1:12">
      <c r="A72" s="40"/>
      <c r="K72" s="40"/>
      <c r="L72" s="40"/>
    </row>
    <row r="73" spans="1:12">
      <c r="A73" s="40"/>
      <c r="K73" s="40"/>
      <c r="L73" s="40"/>
    </row>
    <row r="74" spans="1:12">
      <c r="A74" s="40"/>
      <c r="K74" s="40"/>
      <c r="L74" s="40"/>
    </row>
    <row r="75" spans="1:12">
      <c r="A75" s="40"/>
      <c r="K75" s="40"/>
      <c r="L75" s="40"/>
    </row>
    <row r="76" spans="1:12">
      <c r="A76" s="40"/>
      <c r="K76" s="40"/>
      <c r="L76" s="40"/>
    </row>
    <row r="77" spans="1:12">
      <c r="A77" s="40"/>
      <c r="K77" s="40"/>
      <c r="L77" s="40"/>
    </row>
    <row r="78" spans="1:12">
      <c r="A78" s="40"/>
      <c r="K78" s="40"/>
      <c r="L78" s="40"/>
    </row>
    <row r="79" spans="1:12">
      <c r="A79" s="40"/>
      <c r="K79" s="40"/>
      <c r="L79" s="40"/>
    </row>
    <row r="80" spans="1:12">
      <c r="A80" s="40"/>
      <c r="K80" s="40"/>
      <c r="L80" s="40"/>
    </row>
    <row r="81" spans="1:12">
      <c r="A81" s="40"/>
      <c r="K81" s="40"/>
      <c r="L81" s="40"/>
    </row>
    <row r="82" spans="1:12">
      <c r="A82" s="40"/>
      <c r="K82" s="40"/>
      <c r="L82" s="40"/>
    </row>
    <row r="83" spans="1:12">
      <c r="A83" s="40"/>
      <c r="K83" s="40"/>
      <c r="L83" s="40"/>
    </row>
    <row r="84" spans="1:12">
      <c r="A84" s="40"/>
      <c r="K84" s="40"/>
      <c r="L84" s="40"/>
    </row>
    <row r="85" spans="1:12">
      <c r="A85" s="40"/>
      <c r="K85" s="40"/>
      <c r="L85" s="40"/>
    </row>
    <row r="86" spans="1:12">
      <c r="A86" s="40"/>
      <c r="K86" s="40"/>
      <c r="L86" s="40"/>
    </row>
    <row r="87" spans="1:12">
      <c r="A87" s="40"/>
      <c r="K87" s="40"/>
      <c r="L87" s="40"/>
    </row>
    <row r="88" spans="1:12">
      <c r="A88" s="40"/>
      <c r="K88" s="40"/>
      <c r="L88" s="40"/>
    </row>
    <row r="89" spans="1:12">
      <c r="A89" s="40"/>
      <c r="K89" s="40"/>
      <c r="L89" s="40"/>
    </row>
    <row r="90" spans="1:12">
      <c r="A90" s="40"/>
      <c r="K90" s="40"/>
      <c r="L90" s="40"/>
    </row>
    <row r="91" spans="1:12">
      <c r="A91" s="40"/>
      <c r="K91" s="40"/>
      <c r="L91" s="40"/>
    </row>
    <row r="92" spans="1:12">
      <c r="A92" s="40"/>
      <c r="K92" s="40"/>
      <c r="L92" s="40"/>
    </row>
    <row r="93" spans="1:12">
      <c r="A93" s="40"/>
      <c r="K93" s="40"/>
      <c r="L93" s="40"/>
    </row>
    <row r="94" spans="1:12">
      <c r="A94" s="40"/>
      <c r="K94" s="40"/>
      <c r="L94" s="40"/>
    </row>
    <row r="95" spans="1:12">
      <c r="A95" s="40"/>
      <c r="K95" s="40"/>
      <c r="L95" s="40"/>
    </row>
    <row r="96" spans="1:12">
      <c r="A96" s="40"/>
      <c r="K96" s="40"/>
      <c r="L96" s="40"/>
    </row>
    <row r="97" spans="1:12">
      <c r="A97" s="40"/>
      <c r="K97" s="40"/>
      <c r="L97" s="40"/>
    </row>
    <row r="98" spans="1:12">
      <c r="A98" s="40"/>
      <c r="K98" s="40"/>
      <c r="L98" s="40"/>
    </row>
    <row r="99" spans="1:12">
      <c r="A99" s="40"/>
      <c r="K99" s="40"/>
      <c r="L99" s="40"/>
    </row>
    <row r="100" spans="1:12">
      <c r="A100" s="40"/>
      <c r="K100" s="40"/>
      <c r="L100" s="40"/>
    </row>
    <row r="101" spans="1:12">
      <c r="A101" s="40"/>
      <c r="K101" s="40"/>
      <c r="L101" s="40"/>
    </row>
    <row r="102" spans="1:12">
      <c r="A102" s="40"/>
      <c r="K102" s="40"/>
      <c r="L102" s="40"/>
    </row>
    <row r="103" spans="1:12">
      <c r="A103" s="40"/>
      <c r="K103" s="40"/>
      <c r="L103" s="40"/>
    </row>
    <row r="104" spans="1:12">
      <c r="A104" s="40"/>
      <c r="K104" s="40"/>
      <c r="L104" s="40"/>
    </row>
    <row r="105" spans="1:12">
      <c r="A105" s="40"/>
      <c r="K105" s="40"/>
      <c r="L105" s="40"/>
    </row>
    <row r="106" spans="1:12">
      <c r="A106" s="40"/>
      <c r="K106" s="40"/>
      <c r="L106" s="40"/>
    </row>
    <row r="107" spans="1:12">
      <c r="A107" s="40"/>
      <c r="K107" s="40"/>
      <c r="L107" s="40"/>
    </row>
    <row r="108" spans="1:12">
      <c r="A108" s="40"/>
      <c r="K108" s="40"/>
      <c r="L108" s="40"/>
    </row>
    <row r="109" spans="1:12">
      <c r="A109" s="40"/>
      <c r="K109" s="40"/>
      <c r="L109" s="40"/>
    </row>
    <row r="110" spans="1:12">
      <c r="A110" s="40"/>
      <c r="K110" s="40"/>
      <c r="L110" s="40"/>
    </row>
    <row r="111" spans="1:12">
      <c r="A111" s="40"/>
      <c r="K111" s="40"/>
      <c r="L111" s="40"/>
    </row>
    <row r="112" spans="1:12">
      <c r="A112" s="40"/>
      <c r="K112" s="40"/>
      <c r="L112" s="40"/>
    </row>
    <row r="113" spans="1:12">
      <c r="A113" s="40"/>
      <c r="K113" s="40"/>
      <c r="L113" s="40"/>
    </row>
    <row r="114" spans="1:12">
      <c r="A114" s="40"/>
      <c r="K114" s="40"/>
      <c r="L114" s="40"/>
    </row>
    <row r="115" spans="1:12">
      <c r="A115" s="40"/>
      <c r="K115" s="40"/>
      <c r="L115" s="40"/>
    </row>
    <row r="116" spans="1:12">
      <c r="A116" s="40"/>
      <c r="K116" s="40"/>
      <c r="L116" s="40"/>
    </row>
    <row r="117" spans="1:12">
      <c r="A117" s="40"/>
      <c r="K117" s="40"/>
      <c r="L117" s="40"/>
    </row>
    <row r="118" spans="1:12">
      <c r="A118" s="40"/>
      <c r="K118" s="40"/>
      <c r="L118" s="40"/>
    </row>
    <row r="119" spans="1:12">
      <c r="A119" s="40"/>
      <c r="K119" s="40"/>
      <c r="L119" s="40"/>
    </row>
    <row r="120" spans="1:12">
      <c r="A120" s="40"/>
      <c r="K120" s="40"/>
      <c r="L120" s="40"/>
    </row>
    <row r="121" spans="1:12">
      <c r="A121" s="40"/>
      <c r="K121" s="40"/>
      <c r="L121" s="40"/>
    </row>
    <row r="122" spans="1:12">
      <c r="A122" s="40"/>
      <c r="K122" s="40"/>
      <c r="L122" s="40"/>
    </row>
    <row r="123" spans="1:12">
      <c r="A123" s="40"/>
      <c r="K123" s="40"/>
      <c r="L123" s="40"/>
    </row>
    <row r="124" spans="1:12">
      <c r="A124" s="40"/>
      <c r="K124" s="40"/>
      <c r="L124" s="40"/>
    </row>
    <row r="125" spans="1:12">
      <c r="A125" s="40"/>
      <c r="K125" s="40"/>
      <c r="L125" s="40"/>
    </row>
    <row r="126" spans="1:12">
      <c r="A126" s="40"/>
      <c r="K126" s="40"/>
      <c r="L126" s="40"/>
    </row>
    <row r="127" spans="1:12">
      <c r="A127" s="40"/>
      <c r="K127" s="40"/>
      <c r="L127" s="40"/>
    </row>
    <row r="128" spans="1:12">
      <c r="A128" s="40"/>
      <c r="K128" s="40"/>
      <c r="L128" s="40"/>
    </row>
    <row r="129" spans="1:12">
      <c r="A129" s="40"/>
      <c r="K129" s="40"/>
      <c r="L129" s="40"/>
    </row>
    <row r="130" spans="1:12">
      <c r="A130" s="40"/>
      <c r="K130" s="40"/>
      <c r="L130" s="40"/>
    </row>
    <row r="131" spans="1:12">
      <c r="A131" s="40"/>
      <c r="K131" s="40"/>
      <c r="L131" s="40"/>
    </row>
    <row r="132" spans="1:12">
      <c r="A132" s="40"/>
      <c r="K132" s="40"/>
      <c r="L132" s="40"/>
    </row>
    <row r="133" spans="1:12">
      <c r="A133" s="40"/>
      <c r="K133" s="40"/>
      <c r="L133" s="40"/>
    </row>
    <row r="134" spans="1:12">
      <c r="A134" s="40"/>
      <c r="K134" s="40"/>
      <c r="L134" s="40"/>
    </row>
    <row r="135" spans="1:12">
      <c r="A135" s="40"/>
      <c r="K135" s="40"/>
      <c r="L135" s="40"/>
    </row>
    <row r="136" spans="1:12">
      <c r="A136" s="40"/>
      <c r="K136" s="40"/>
      <c r="L136" s="40"/>
    </row>
    <row r="137" spans="1:12">
      <c r="A137" s="40"/>
      <c r="K137" s="40"/>
      <c r="L137" s="40"/>
    </row>
    <row r="138" spans="1:12">
      <c r="A138" s="40"/>
      <c r="K138" s="40"/>
      <c r="L138" s="40"/>
    </row>
    <row r="139" spans="1:12">
      <c r="A139" s="40"/>
      <c r="K139" s="40"/>
      <c r="L139" s="40"/>
    </row>
    <row r="140" spans="1:12">
      <c r="A140" s="40"/>
      <c r="K140" s="40"/>
      <c r="L140" s="40"/>
    </row>
    <row r="141" spans="1:12">
      <c r="A141" s="40"/>
      <c r="K141" s="40"/>
      <c r="L141" s="40"/>
    </row>
    <row r="142" spans="1:12">
      <c r="A142" s="40"/>
      <c r="K142" s="40"/>
      <c r="L142" s="40"/>
    </row>
    <row r="143" spans="1:12">
      <c r="A143" s="40"/>
      <c r="K143" s="40"/>
      <c r="L143" s="40"/>
    </row>
    <row r="144" spans="1:12">
      <c r="A144" s="40"/>
      <c r="K144" s="40"/>
      <c r="L144" s="40"/>
    </row>
    <row r="145" spans="1:12">
      <c r="A145" s="40"/>
      <c r="K145" s="40"/>
      <c r="L145" s="40"/>
    </row>
    <row r="146" spans="1:12">
      <c r="A146" s="40"/>
      <c r="K146" s="40"/>
      <c r="L146" s="40"/>
    </row>
    <row r="147" spans="1:12">
      <c r="A147" s="40"/>
      <c r="K147" s="40"/>
      <c r="L147" s="40"/>
    </row>
    <row r="148" spans="1:12">
      <c r="A148" s="40"/>
      <c r="K148" s="40"/>
      <c r="L148" s="40"/>
    </row>
    <row r="149" spans="1:12">
      <c r="A149" s="40"/>
      <c r="K149" s="40"/>
      <c r="L149" s="40"/>
    </row>
    <row r="150" spans="1:12">
      <c r="A150" s="40"/>
      <c r="K150" s="40"/>
      <c r="L150" s="40"/>
    </row>
    <row r="151" spans="1:12">
      <c r="A151" s="40"/>
      <c r="K151" s="40"/>
      <c r="L151" s="40"/>
    </row>
    <row r="152" spans="1:12">
      <c r="A152" s="40"/>
      <c r="K152" s="40"/>
      <c r="L152" s="40"/>
    </row>
    <row r="153" spans="1:12">
      <c r="A153" s="40"/>
      <c r="K153" s="40"/>
      <c r="L153" s="40"/>
    </row>
    <row r="154" spans="1:12">
      <c r="A154" s="40"/>
      <c r="K154" s="40"/>
      <c r="L154" s="40"/>
    </row>
    <row r="155" spans="1:12">
      <c r="A155" s="40"/>
      <c r="K155" s="40"/>
      <c r="L155" s="40"/>
    </row>
    <row r="156" spans="1:12">
      <c r="A156" s="40"/>
      <c r="K156" s="40"/>
      <c r="L156" s="40"/>
    </row>
    <row r="157" spans="1:12">
      <c r="A157" s="40"/>
      <c r="K157" s="40"/>
      <c r="L157" s="40"/>
    </row>
    <row r="158" spans="1:12">
      <c r="A158" s="40"/>
      <c r="K158" s="40"/>
      <c r="L158" s="40"/>
    </row>
    <row r="159" spans="1:12">
      <c r="A159" s="40"/>
      <c r="K159" s="40"/>
      <c r="L159" s="40"/>
    </row>
    <row r="160" spans="1:12">
      <c r="A160" s="40"/>
      <c r="K160" s="40"/>
      <c r="L160" s="40"/>
    </row>
    <row r="161" spans="1:12">
      <c r="A161" s="40"/>
      <c r="K161" s="40"/>
      <c r="L161" s="40"/>
    </row>
    <row r="162" spans="1:12">
      <c r="A162" s="40"/>
      <c r="K162" s="40"/>
      <c r="L162" s="40"/>
    </row>
    <row r="163" spans="1:12">
      <c r="A163" s="40"/>
      <c r="K163" s="40"/>
      <c r="L163" s="40"/>
    </row>
    <row r="164" spans="1:12">
      <c r="A164" s="40"/>
      <c r="K164" s="40"/>
      <c r="L164" s="40"/>
    </row>
    <row r="165" spans="1:12">
      <c r="A165" s="40"/>
      <c r="K165" s="40"/>
      <c r="L165" s="40"/>
    </row>
    <row r="166" spans="1:12">
      <c r="A166" s="40"/>
      <c r="K166" s="40"/>
      <c r="L166" s="40"/>
    </row>
    <row r="167" spans="1:12">
      <c r="A167" s="40"/>
      <c r="K167" s="40"/>
      <c r="L167" s="40"/>
    </row>
    <row r="168" spans="1:12">
      <c r="A168" s="40"/>
      <c r="K168" s="40"/>
      <c r="L168" s="40"/>
    </row>
    <row r="169" spans="1:12">
      <c r="A169" s="40"/>
      <c r="K169" s="40"/>
      <c r="L169" s="40"/>
    </row>
    <row r="170" spans="1:12">
      <c r="A170" s="40"/>
      <c r="K170" s="40"/>
      <c r="L170" s="40"/>
    </row>
    <row r="171" spans="1:12">
      <c r="A171" s="40"/>
      <c r="K171" s="40"/>
      <c r="L171" s="40"/>
    </row>
    <row r="172" spans="1:12">
      <c r="A172" s="40"/>
      <c r="K172" s="40"/>
      <c r="L172" s="40"/>
    </row>
    <row r="173" spans="1:12">
      <c r="A173" s="40"/>
      <c r="K173" s="40"/>
      <c r="L173" s="40"/>
    </row>
    <row r="174" spans="1:12">
      <c r="A174" s="40"/>
      <c r="K174" s="40"/>
      <c r="L174" s="40"/>
    </row>
    <row r="175" spans="1:12">
      <c r="A175" s="40"/>
      <c r="K175" s="40"/>
      <c r="L175" s="40"/>
    </row>
    <row r="176" spans="1:12">
      <c r="A176" s="40"/>
      <c r="K176" s="40"/>
      <c r="L176" s="40"/>
    </row>
    <row r="177" spans="1:12">
      <c r="A177" s="40"/>
      <c r="K177" s="40"/>
      <c r="L177" s="40"/>
    </row>
    <row r="178" spans="1:12">
      <c r="A178" s="40"/>
      <c r="K178" s="40"/>
      <c r="L178" s="40"/>
    </row>
    <row r="179" spans="1:12">
      <c r="A179" s="40"/>
      <c r="K179" s="40"/>
      <c r="L179" s="40"/>
    </row>
    <row r="180" spans="1:12">
      <c r="A180" s="40"/>
      <c r="K180" s="40"/>
      <c r="L180" s="40"/>
    </row>
    <row r="181" spans="1:12">
      <c r="A181" s="40"/>
      <c r="K181" s="40"/>
      <c r="L181" s="40"/>
    </row>
    <row r="182" spans="1:12">
      <c r="A182" s="40"/>
      <c r="K182" s="40"/>
      <c r="L182" s="40"/>
    </row>
    <row r="183" spans="1:12">
      <c r="A183" s="40"/>
      <c r="K183" s="40"/>
      <c r="L183" s="40"/>
    </row>
    <row r="184" spans="1:12">
      <c r="A184" s="40"/>
      <c r="K184" s="40"/>
      <c r="L184" s="40"/>
    </row>
    <row r="185" spans="1:12">
      <c r="A185" s="40"/>
      <c r="K185" s="40"/>
      <c r="L185" s="40"/>
    </row>
    <row r="186" spans="1:12">
      <c r="A186" s="40"/>
      <c r="K186" s="40"/>
      <c r="L186" s="40"/>
    </row>
    <row r="187" spans="1:12">
      <c r="A187" s="40"/>
      <c r="K187" s="40"/>
      <c r="L187" s="40"/>
    </row>
    <row r="188" spans="1:12">
      <c r="A188" s="40"/>
      <c r="K188" s="40"/>
      <c r="L188" s="40"/>
    </row>
    <row r="189" spans="1:12">
      <c r="A189" s="40"/>
      <c r="K189" s="40"/>
      <c r="L189" s="40"/>
    </row>
    <row r="190" spans="1:12">
      <c r="A190" s="40"/>
      <c r="K190" s="40"/>
      <c r="L190" s="40"/>
    </row>
    <row r="191" spans="1:12">
      <c r="A191" s="40"/>
      <c r="K191" s="40"/>
      <c r="L191" s="40"/>
    </row>
    <row r="192" spans="1:12">
      <c r="A192" s="40"/>
      <c r="K192" s="40"/>
      <c r="L192" s="40"/>
    </row>
    <row r="193" spans="1:12">
      <c r="A193" s="40"/>
      <c r="K193" s="40"/>
      <c r="L193" s="40"/>
    </row>
    <row r="194" spans="1:12">
      <c r="A194" s="40"/>
      <c r="K194" s="40"/>
      <c r="L194" s="40"/>
    </row>
    <row r="195" spans="1:12">
      <c r="A195" s="40"/>
      <c r="K195" s="40"/>
      <c r="L195" s="40"/>
    </row>
    <row r="196" spans="1:12">
      <c r="A196" s="40"/>
      <c r="K196" s="40"/>
      <c r="L196" s="40"/>
    </row>
    <row r="197" spans="1:12">
      <c r="A197" s="40"/>
      <c r="K197" s="40"/>
      <c r="L197" s="40"/>
    </row>
    <row r="198" spans="1:12">
      <c r="A198" s="40"/>
      <c r="K198" s="40"/>
      <c r="L198" s="40"/>
    </row>
    <row r="199" spans="1:12">
      <c r="A199" s="40"/>
      <c r="K199" s="40"/>
      <c r="L199" s="40"/>
    </row>
    <row r="200" spans="1:12">
      <c r="A200" s="40"/>
      <c r="K200" s="40"/>
      <c r="L200" s="40"/>
    </row>
    <row r="201" spans="1:12">
      <c r="A201" s="40"/>
      <c r="K201" s="40"/>
      <c r="L201" s="40"/>
    </row>
    <row r="202" spans="1:12">
      <c r="A202" s="40"/>
      <c r="K202" s="40"/>
      <c r="L202" s="40"/>
    </row>
    <row r="203" spans="1:12">
      <c r="A203" s="40"/>
      <c r="K203" s="40"/>
      <c r="L203" s="40"/>
    </row>
    <row r="204" spans="1:12">
      <c r="A204" s="40"/>
      <c r="K204" s="40"/>
      <c r="L204" s="40"/>
    </row>
    <row r="205" spans="1:12">
      <c r="A205" s="40"/>
      <c r="K205" s="40"/>
      <c r="L205" s="40"/>
    </row>
    <row r="206" spans="1:12">
      <c r="A206" s="40"/>
      <c r="K206" s="40"/>
      <c r="L206" s="40"/>
    </row>
    <row r="207" spans="1:12">
      <c r="A207" s="40"/>
      <c r="K207" s="40"/>
      <c r="L207" s="40"/>
    </row>
    <row r="208" spans="1:12">
      <c r="A208" s="40"/>
      <c r="K208" s="40"/>
      <c r="L208" s="40"/>
    </row>
    <row r="209" spans="1:12">
      <c r="A209" s="40"/>
      <c r="K209" s="40"/>
      <c r="L209" s="40"/>
    </row>
    <row r="210" spans="1:12">
      <c r="A210" s="40"/>
      <c r="K210" s="40"/>
      <c r="L210" s="40"/>
    </row>
    <row r="211" spans="1:12">
      <c r="A211" s="40"/>
      <c r="K211" s="40"/>
      <c r="L211" s="40"/>
    </row>
    <row r="212" spans="1:12">
      <c r="A212" s="40"/>
      <c r="K212" s="40"/>
      <c r="L212" s="40"/>
    </row>
    <row r="213" spans="1:12">
      <c r="A213" s="40"/>
      <c r="K213" s="40"/>
      <c r="L213" s="40"/>
    </row>
    <row r="214" spans="1:12">
      <c r="A214" s="40"/>
      <c r="K214" s="40"/>
      <c r="L214" s="40"/>
    </row>
    <row r="215" spans="1:12">
      <c r="A215" s="40"/>
      <c r="K215" s="40"/>
      <c r="L215" s="40"/>
    </row>
    <row r="216" spans="1:12">
      <c r="A216" s="40"/>
      <c r="K216" s="40"/>
      <c r="L216" s="40"/>
    </row>
    <row r="217" spans="1:12">
      <c r="A217" s="40"/>
      <c r="K217" s="40"/>
      <c r="L217" s="40"/>
    </row>
    <row r="218" spans="1:12">
      <c r="A218" s="40"/>
      <c r="K218" s="40"/>
      <c r="L218" s="40"/>
    </row>
    <row r="219" spans="1:12">
      <c r="A219" s="40"/>
      <c r="K219" s="40"/>
      <c r="L219" s="40"/>
    </row>
    <row r="220" spans="1:12">
      <c r="A220" s="40"/>
      <c r="K220" s="40"/>
      <c r="L220" s="40"/>
    </row>
    <row r="221" spans="1:12">
      <c r="A221" s="40"/>
      <c r="K221" s="40"/>
      <c r="L221" s="40"/>
    </row>
    <row r="222" spans="1:12">
      <c r="A222" s="40"/>
      <c r="K222" s="40"/>
      <c r="L222" s="40"/>
    </row>
    <row r="223" spans="1:12">
      <c r="A223" s="40"/>
      <c r="K223" s="40"/>
      <c r="L223" s="40"/>
    </row>
    <row r="224" spans="1:12">
      <c r="A224" s="40"/>
      <c r="K224" s="40"/>
      <c r="L224" s="40"/>
    </row>
    <row r="225" spans="1:12">
      <c r="A225" s="40"/>
      <c r="K225" s="40"/>
      <c r="L225" s="40"/>
    </row>
    <row r="226" spans="1:12">
      <c r="A226" s="40"/>
      <c r="K226" s="40"/>
      <c r="L226" s="40"/>
    </row>
    <row r="227" spans="1:12">
      <c r="A227" s="40"/>
      <c r="K227" s="40"/>
      <c r="L227" s="40"/>
    </row>
    <row r="228" spans="1:12">
      <c r="A228" s="40"/>
      <c r="K228" s="40"/>
      <c r="L228" s="40"/>
    </row>
    <row r="229" spans="1:12">
      <c r="A229" s="40"/>
      <c r="K229" s="40"/>
      <c r="L229" s="40"/>
    </row>
    <row r="230" spans="1:12">
      <c r="A230" s="40"/>
      <c r="K230" s="40"/>
      <c r="L230" s="40"/>
    </row>
    <row r="231" spans="1:12">
      <c r="A231" s="40"/>
      <c r="K231" s="40"/>
      <c r="L231" s="40"/>
    </row>
    <row r="232" spans="1:12">
      <c r="A232" s="40"/>
      <c r="K232" s="40"/>
      <c r="L232" s="40"/>
    </row>
    <row r="233" spans="1:12">
      <c r="A233" s="40"/>
      <c r="K233" s="40"/>
      <c r="L233" s="40"/>
    </row>
    <row r="234" spans="1:12">
      <c r="A234" s="40"/>
      <c r="K234" s="40"/>
      <c r="L234" s="40"/>
    </row>
    <row r="235" spans="1:12">
      <c r="A235" s="40"/>
      <c r="K235" s="40"/>
      <c r="L235" s="40"/>
    </row>
    <row r="236" spans="1:12">
      <c r="A236" s="40"/>
      <c r="K236" s="40"/>
      <c r="L236" s="40"/>
    </row>
    <row r="237" spans="1:12">
      <c r="A237" s="40"/>
      <c r="K237" s="40"/>
      <c r="L237" s="40"/>
    </row>
    <row r="238" spans="1:12">
      <c r="A238" s="40"/>
      <c r="K238" s="40"/>
      <c r="L238" s="40"/>
    </row>
    <row r="239" spans="1:12">
      <c r="A239" s="40"/>
      <c r="K239" s="40"/>
      <c r="L239" s="40"/>
    </row>
    <row r="240" spans="1:12">
      <c r="A240" s="40"/>
      <c r="K240" s="40"/>
      <c r="L240" s="40"/>
    </row>
    <row r="241" spans="1:12">
      <c r="A241" s="40"/>
      <c r="K241" s="40"/>
      <c r="L241" s="40"/>
    </row>
    <row r="242" spans="1:12">
      <c r="A242" s="40"/>
      <c r="K242" s="40"/>
      <c r="L242" s="40"/>
    </row>
    <row r="243" spans="1:12">
      <c r="A243" s="40"/>
      <c r="K243" s="40"/>
      <c r="L243" s="40"/>
    </row>
    <row r="244" spans="1:12">
      <c r="A244" s="40"/>
      <c r="K244" s="40"/>
      <c r="L244" s="40"/>
    </row>
    <row r="245" spans="1:12">
      <c r="A245" s="40"/>
      <c r="K245" s="40"/>
      <c r="L245" s="40"/>
    </row>
    <row r="246" spans="1:12">
      <c r="A246" s="40"/>
      <c r="K246" s="40"/>
      <c r="L246" s="40"/>
    </row>
    <row r="247" spans="1:12">
      <c r="A247" s="40"/>
      <c r="K247" s="40"/>
      <c r="L247" s="40"/>
    </row>
    <row r="248" spans="1:12">
      <c r="A248" s="40"/>
      <c r="K248" s="40"/>
      <c r="L248" s="40"/>
    </row>
    <row r="249" spans="1:12">
      <c r="A249" s="40"/>
      <c r="K249" s="40"/>
      <c r="L249" s="40"/>
    </row>
    <row r="250" spans="1:12">
      <c r="A250" s="40"/>
      <c r="K250" s="40"/>
      <c r="L250" s="40"/>
    </row>
    <row r="251" spans="1:12">
      <c r="A251" s="40"/>
      <c r="K251" s="40"/>
      <c r="L251" s="40"/>
    </row>
    <row r="252" spans="1:12">
      <c r="A252" s="40"/>
      <c r="K252" s="40"/>
      <c r="L252" s="40"/>
    </row>
    <row r="253" spans="1:12">
      <c r="A253" s="40"/>
      <c r="K253" s="40"/>
      <c r="L253" s="40"/>
    </row>
    <row r="254" spans="1:12">
      <c r="A254" s="40"/>
      <c r="K254" s="40"/>
      <c r="L254" s="40"/>
    </row>
    <row r="255" spans="1:12">
      <c r="A255" s="40"/>
      <c r="K255" s="40"/>
      <c r="L255" s="40"/>
    </row>
    <row r="256" spans="1:12">
      <c r="A256" s="40"/>
      <c r="K256" s="40"/>
      <c r="L256" s="40"/>
    </row>
    <row r="257" spans="1:12">
      <c r="A257" s="40"/>
      <c r="K257" s="40"/>
      <c r="L257" s="40"/>
    </row>
    <row r="258" spans="1:12">
      <c r="A258" s="40"/>
      <c r="K258" s="40"/>
      <c r="L258" s="40"/>
    </row>
    <row r="259" spans="1:12">
      <c r="A259" s="40"/>
      <c r="K259" s="40"/>
      <c r="L259" s="40"/>
    </row>
    <row r="260" spans="1:12">
      <c r="A260" s="40"/>
      <c r="K260" s="40"/>
      <c r="L260" s="40"/>
    </row>
    <row r="261" spans="1:12">
      <c r="A261" s="40"/>
      <c r="K261" s="40"/>
      <c r="L261" s="40"/>
    </row>
    <row r="262" spans="1:12">
      <c r="A262" s="40"/>
      <c r="K262" s="40"/>
      <c r="L262" s="40"/>
    </row>
    <row r="263" spans="1:12">
      <c r="A263" s="40"/>
      <c r="K263" s="40"/>
      <c r="L263" s="40"/>
    </row>
    <row r="264" spans="1:12">
      <c r="A264" s="40"/>
      <c r="K264" s="40"/>
      <c r="L264" s="40"/>
    </row>
    <row r="265" spans="1:12">
      <c r="A265" s="40"/>
      <c r="K265" s="40"/>
      <c r="L265" s="40"/>
    </row>
    <row r="266" spans="1:12">
      <c r="A266" s="40"/>
      <c r="K266" s="40"/>
      <c r="L266" s="40"/>
    </row>
    <row r="267" spans="1:12">
      <c r="A267" s="40"/>
      <c r="K267" s="40"/>
      <c r="L267" s="40"/>
    </row>
    <row r="268" spans="1:12">
      <c r="A268" s="40"/>
      <c r="K268" s="40"/>
      <c r="L268" s="40"/>
    </row>
    <row r="269" spans="1:12">
      <c r="A269" s="40"/>
      <c r="K269" s="40"/>
      <c r="L269" s="40"/>
    </row>
    <row r="270" spans="1:12">
      <c r="A270" s="40"/>
      <c r="K270" s="40"/>
      <c r="L270" s="40"/>
    </row>
    <row r="271" spans="1:12">
      <c r="A271" s="40"/>
      <c r="K271" s="40"/>
      <c r="L271" s="40"/>
    </row>
    <row r="272" spans="1:12">
      <c r="A272" s="40"/>
      <c r="K272" s="40"/>
      <c r="L272" s="40"/>
    </row>
    <row r="273" spans="1:12">
      <c r="A273" s="40"/>
      <c r="K273" s="40"/>
      <c r="L273" s="40"/>
    </row>
    <row r="274" spans="1:12">
      <c r="A274" s="40"/>
      <c r="K274" s="40"/>
      <c r="L274" s="40"/>
    </row>
    <row r="275" spans="1:12">
      <c r="A275" s="40"/>
      <c r="K275" s="40"/>
      <c r="L275" s="40"/>
    </row>
    <row r="276" spans="1:12">
      <c r="A276" s="40"/>
      <c r="K276" s="40"/>
      <c r="L276" s="40"/>
    </row>
    <row r="277" spans="1:12">
      <c r="A277" s="40"/>
      <c r="K277" s="40"/>
      <c r="L277" s="40"/>
    </row>
    <row r="278" spans="1:12">
      <c r="A278" s="40"/>
      <c r="K278" s="40"/>
      <c r="L278" s="40"/>
    </row>
    <row r="279" spans="1:12">
      <c r="A279" s="40"/>
      <c r="K279" s="40"/>
      <c r="L279" s="40"/>
    </row>
    <row r="280" spans="1:12">
      <c r="A280" s="40"/>
      <c r="K280" s="40"/>
      <c r="L280" s="40"/>
    </row>
    <row r="281" spans="1:12">
      <c r="A281" s="40"/>
      <c r="K281" s="40"/>
      <c r="L281" s="40"/>
    </row>
    <row r="282" spans="1:12">
      <c r="A282" s="40"/>
      <c r="K282" s="40"/>
      <c r="L282" s="40"/>
    </row>
    <row r="283" spans="1:12">
      <c r="A283" s="40"/>
      <c r="K283" s="40"/>
      <c r="L283" s="40"/>
    </row>
    <row r="284" spans="1:12">
      <c r="A284" s="40"/>
      <c r="K284" s="40"/>
      <c r="L284" s="40"/>
    </row>
    <row r="285" spans="1:12">
      <c r="A285" s="40"/>
      <c r="K285" s="40"/>
      <c r="L285" s="40"/>
    </row>
    <row r="286" spans="1:12">
      <c r="A286" s="40"/>
      <c r="K286" s="40"/>
      <c r="L286" s="40"/>
    </row>
    <row r="287" spans="1:12">
      <c r="A287" s="40"/>
      <c r="K287" s="40"/>
      <c r="L287" s="40"/>
    </row>
    <row r="288" spans="1:12">
      <c r="A288" s="40"/>
      <c r="K288" s="40"/>
      <c r="L288" s="40"/>
    </row>
    <row r="289" spans="1:12">
      <c r="A289" s="40"/>
      <c r="K289" s="40"/>
      <c r="L289" s="40"/>
    </row>
    <row r="290" spans="1:12">
      <c r="A290" s="40"/>
      <c r="K290" s="40"/>
      <c r="L290" s="40"/>
    </row>
    <row r="291" spans="1:12">
      <c r="A291" s="40"/>
      <c r="K291" s="40"/>
      <c r="L291" s="40"/>
    </row>
    <row r="292" spans="1:12">
      <c r="A292" s="40"/>
      <c r="K292" s="40"/>
      <c r="L292" s="40"/>
    </row>
    <row r="293" spans="1:12">
      <c r="A293" s="40"/>
      <c r="K293" s="40"/>
      <c r="L293" s="40"/>
    </row>
    <row r="294" spans="1:12">
      <c r="A294" s="40"/>
      <c r="K294" s="40"/>
      <c r="L294" s="40"/>
    </row>
    <row r="295" spans="1:12">
      <c r="A295" s="40"/>
      <c r="K295" s="40"/>
      <c r="L295" s="40"/>
    </row>
    <row r="296" spans="1:12">
      <c r="A296" s="40"/>
      <c r="K296" s="40"/>
      <c r="L296" s="40"/>
    </row>
    <row r="297" spans="1:12">
      <c r="A297" s="40"/>
      <c r="K297" s="40"/>
      <c r="L297" s="40"/>
    </row>
    <row r="298" spans="1:12">
      <c r="A298" s="40"/>
      <c r="K298" s="40"/>
      <c r="L298" s="40"/>
    </row>
    <row r="299" spans="1:12">
      <c r="A299" s="40"/>
      <c r="K299" s="40"/>
      <c r="L299" s="40"/>
    </row>
    <row r="300" spans="1:12">
      <c r="A300" s="40"/>
      <c r="K300" s="40"/>
      <c r="L300" s="40"/>
    </row>
    <row r="301" spans="1:12">
      <c r="A301" s="40"/>
      <c r="K301" s="40"/>
      <c r="L301" s="40"/>
    </row>
    <row r="302" spans="1:12">
      <c r="A302" s="40"/>
      <c r="K302" s="40"/>
      <c r="L302" s="40"/>
    </row>
    <row r="303" spans="1:12">
      <c r="A303" s="40"/>
      <c r="K303" s="40"/>
      <c r="L303" s="40"/>
    </row>
    <row r="304" spans="1:12">
      <c r="A304" s="40"/>
      <c r="K304" s="40"/>
      <c r="L304" s="40"/>
    </row>
    <row r="305" spans="1:12">
      <c r="A305" s="40"/>
      <c r="K305" s="40"/>
      <c r="L305" s="40"/>
    </row>
    <row r="306" spans="1:12">
      <c r="A306" s="40"/>
      <c r="K306" s="40"/>
      <c r="L306" s="40"/>
    </row>
    <row r="307" spans="1:12">
      <c r="A307" s="40"/>
      <c r="K307" s="40"/>
      <c r="L307" s="40"/>
    </row>
    <row r="308" spans="1:12">
      <c r="A308" s="40"/>
      <c r="K308" s="40"/>
      <c r="L308" s="40"/>
    </row>
    <row r="309" spans="1:12">
      <c r="A309" s="40"/>
      <c r="K309" s="40"/>
      <c r="L309" s="40"/>
    </row>
    <row r="310" spans="1:12">
      <c r="A310" s="40"/>
      <c r="K310" s="40"/>
      <c r="L310" s="40"/>
    </row>
    <row r="311" spans="1:12">
      <c r="A311" s="40"/>
      <c r="K311" s="40"/>
      <c r="L311" s="40"/>
    </row>
    <row r="312" spans="1:12">
      <c r="A312" s="40"/>
      <c r="K312" s="40"/>
      <c r="L312" s="40"/>
    </row>
    <row r="313" spans="1:12">
      <c r="A313" s="40"/>
      <c r="K313" s="40"/>
      <c r="L313" s="40"/>
    </row>
    <row r="314" spans="1:12">
      <c r="A314" s="40"/>
      <c r="K314" s="40"/>
      <c r="L314" s="40"/>
    </row>
    <row r="315" spans="1:12">
      <c r="A315" s="40"/>
      <c r="K315" s="40"/>
      <c r="L315" s="40"/>
    </row>
    <row r="316" spans="1:12">
      <c r="A316" s="40"/>
      <c r="K316" s="40"/>
      <c r="L316" s="40"/>
    </row>
    <row r="317" spans="1:12">
      <c r="A317" s="40"/>
      <c r="K317" s="40"/>
      <c r="L317" s="40"/>
    </row>
    <row r="318" spans="1:12">
      <c r="A318" s="40"/>
      <c r="K318" s="40"/>
      <c r="L318" s="40"/>
    </row>
    <row r="319" spans="1:12">
      <c r="A319" s="40"/>
      <c r="K319" s="40"/>
      <c r="L319" s="40"/>
    </row>
    <row r="320" spans="1:12">
      <c r="A320" s="40"/>
      <c r="K320" s="40"/>
      <c r="L320" s="40"/>
    </row>
    <row r="321" spans="1:12">
      <c r="A321" s="40"/>
      <c r="K321" s="40"/>
      <c r="L321" s="40"/>
    </row>
    <row r="322" spans="1:12">
      <c r="A322" s="40"/>
      <c r="K322" s="40"/>
      <c r="L322" s="40"/>
    </row>
    <row r="323" spans="1:12">
      <c r="A323" s="40"/>
      <c r="K323" s="40"/>
      <c r="L323" s="40"/>
    </row>
    <row r="324" spans="1:12">
      <c r="A324" s="40"/>
      <c r="K324" s="40"/>
      <c r="L324" s="40"/>
    </row>
    <row r="325" spans="1:12">
      <c r="A325" s="40"/>
      <c r="K325" s="40"/>
      <c r="L325" s="40"/>
    </row>
    <row r="326" spans="1:12">
      <c r="A326" s="40"/>
      <c r="K326" s="40"/>
      <c r="L326" s="40"/>
    </row>
    <row r="327" spans="1:12">
      <c r="A327" s="40"/>
      <c r="K327" s="40"/>
      <c r="L327" s="40"/>
    </row>
    <row r="328" spans="1:12">
      <c r="A328" s="40"/>
      <c r="K328" s="40"/>
      <c r="L328" s="40"/>
    </row>
    <row r="329" spans="1:12">
      <c r="A329" s="40"/>
      <c r="K329" s="40"/>
      <c r="L329" s="40"/>
    </row>
    <row r="330" spans="1:12">
      <c r="A330" s="40"/>
      <c r="K330" s="40"/>
      <c r="L330" s="40"/>
    </row>
    <row r="331" spans="1:12">
      <c r="A331" s="40"/>
      <c r="K331" s="40"/>
      <c r="L331" s="40"/>
    </row>
    <row r="332" spans="1:12">
      <c r="A332" s="40"/>
      <c r="K332" s="40"/>
      <c r="L332" s="40"/>
    </row>
    <row r="333" spans="1:12">
      <c r="A333" s="40"/>
      <c r="K333" s="40"/>
      <c r="L333" s="40"/>
    </row>
    <row r="334" spans="1:12">
      <c r="A334" s="40"/>
      <c r="K334" s="40"/>
      <c r="L334" s="40"/>
    </row>
    <row r="335" spans="1:12">
      <c r="A335" s="40"/>
      <c r="K335" s="40"/>
      <c r="L335" s="40"/>
    </row>
    <row r="336" spans="1:12">
      <c r="A336" s="40"/>
      <c r="K336" s="40"/>
      <c r="L336" s="40"/>
    </row>
    <row r="337" spans="1:12">
      <c r="A337" s="40"/>
      <c r="K337" s="40"/>
      <c r="L337" s="40"/>
    </row>
    <row r="338" spans="1:12">
      <c r="A338" s="40"/>
      <c r="K338" s="40"/>
      <c r="L338" s="40"/>
    </row>
    <row r="339" spans="1:12">
      <c r="A339" s="40"/>
      <c r="K339" s="40"/>
      <c r="L339" s="40"/>
    </row>
    <row r="340" spans="1:12">
      <c r="A340" s="40"/>
      <c r="K340" s="40"/>
      <c r="L340" s="40"/>
    </row>
    <row r="341" spans="1:12">
      <c r="A341" s="40"/>
      <c r="K341" s="40"/>
      <c r="L341" s="40"/>
    </row>
    <row r="342" spans="1:12">
      <c r="A342" s="40"/>
      <c r="K342" s="40"/>
      <c r="L342" s="40"/>
    </row>
    <row r="343" spans="1:12">
      <c r="A343" s="40"/>
      <c r="K343" s="40"/>
      <c r="L343" s="40"/>
    </row>
    <row r="344" spans="1:12">
      <c r="A344" s="40"/>
      <c r="K344" s="40"/>
      <c r="L344" s="40"/>
    </row>
    <row r="345" spans="1:12">
      <c r="A345" s="40"/>
      <c r="K345" s="40"/>
      <c r="L345" s="40"/>
    </row>
    <row r="346" spans="1:12">
      <c r="A346" s="40"/>
      <c r="K346" s="40"/>
      <c r="L346" s="40"/>
    </row>
    <row r="347" spans="1:12">
      <c r="A347" s="40"/>
      <c r="K347" s="40"/>
      <c r="L347" s="40"/>
    </row>
    <row r="348" spans="1:12">
      <c r="A348" s="40"/>
      <c r="K348" s="40"/>
      <c r="L348" s="40"/>
    </row>
    <row r="349" spans="1:12">
      <c r="A349" s="40"/>
      <c r="K349" s="40"/>
      <c r="L349" s="40"/>
    </row>
    <row r="350" spans="1:12">
      <c r="A350" s="40"/>
      <c r="K350" s="40"/>
      <c r="L350" s="40"/>
    </row>
    <row r="351" spans="1:12">
      <c r="A351" s="40"/>
      <c r="K351" s="40"/>
      <c r="L351" s="40"/>
    </row>
    <row r="352" spans="1:12">
      <c r="A352" s="40"/>
      <c r="K352" s="40"/>
      <c r="L352" s="40"/>
    </row>
    <row r="353" spans="1:12">
      <c r="A353" s="40"/>
      <c r="K353" s="40"/>
      <c r="L353" s="40"/>
    </row>
    <row r="354" spans="1:12">
      <c r="A354" s="40"/>
      <c r="K354" s="40"/>
      <c r="L354" s="40"/>
    </row>
    <row r="355" spans="1:12">
      <c r="A355" s="40"/>
      <c r="K355" s="40"/>
      <c r="L355" s="40"/>
    </row>
    <row r="356" spans="1:12">
      <c r="A356" s="40"/>
      <c r="K356" s="40"/>
      <c r="L356" s="40"/>
    </row>
    <row r="357" spans="1:12">
      <c r="A357" s="40"/>
      <c r="K357" s="40"/>
      <c r="L357" s="40"/>
    </row>
    <row r="358" spans="1:12">
      <c r="A358" s="40"/>
      <c r="K358" s="40"/>
      <c r="L358" s="40"/>
    </row>
    <row r="359" spans="1:12">
      <c r="A359" s="40"/>
      <c r="K359" s="40"/>
      <c r="L359" s="40"/>
    </row>
    <row r="360" spans="1:12">
      <c r="A360" s="40"/>
      <c r="K360" s="40"/>
      <c r="L360" s="40"/>
    </row>
    <row r="361" spans="1:12">
      <c r="A361" s="40"/>
      <c r="K361" s="40"/>
      <c r="L361" s="40"/>
    </row>
    <row r="362" spans="1:12">
      <c r="A362" s="40"/>
      <c r="K362" s="40"/>
      <c r="L362" s="40"/>
    </row>
    <row r="363" spans="1:12">
      <c r="A363" s="40"/>
      <c r="K363" s="40"/>
      <c r="L363" s="40"/>
    </row>
    <row r="364" spans="1:12">
      <c r="A364" s="40"/>
      <c r="K364" s="40"/>
      <c r="L364" s="40"/>
    </row>
    <row r="365" spans="1:12">
      <c r="A365" s="40"/>
      <c r="K365" s="40"/>
      <c r="L365" s="40"/>
    </row>
    <row r="366" spans="1:12">
      <c r="A366" s="40"/>
      <c r="K366" s="40"/>
      <c r="L366" s="40"/>
    </row>
    <row r="367" spans="1:12">
      <c r="A367" s="40"/>
      <c r="K367" s="40"/>
      <c r="L367" s="40"/>
    </row>
    <row r="368" spans="1:12">
      <c r="A368" s="40"/>
      <c r="K368" s="40"/>
      <c r="L368" s="40"/>
    </row>
    <row r="369" spans="1:12">
      <c r="A369" s="40"/>
      <c r="K369" s="40"/>
      <c r="L369" s="40"/>
    </row>
    <row r="370" spans="1:12">
      <c r="A370" s="40"/>
      <c r="K370" s="40"/>
      <c r="L370" s="40"/>
    </row>
    <row r="371" spans="1:12">
      <c r="A371" s="40"/>
      <c r="K371" s="40"/>
      <c r="L371" s="40"/>
    </row>
    <row r="372" spans="1:12">
      <c r="A372" s="40"/>
      <c r="K372" s="40"/>
      <c r="L372" s="40"/>
    </row>
    <row r="373" spans="1:12">
      <c r="A373" s="40"/>
      <c r="K373" s="40"/>
      <c r="L373" s="40"/>
    </row>
    <row r="374" spans="1:12">
      <c r="A374" s="40"/>
      <c r="K374" s="40"/>
      <c r="L374" s="40"/>
    </row>
    <row r="375" spans="1:12">
      <c r="A375" s="40"/>
      <c r="K375" s="40"/>
      <c r="L375" s="40"/>
    </row>
    <row r="376" spans="1:12">
      <c r="A376" s="40"/>
      <c r="K376" s="40"/>
      <c r="L376" s="40"/>
    </row>
    <row r="377" spans="1:12">
      <c r="A377" s="40"/>
      <c r="K377" s="40"/>
      <c r="L377" s="40"/>
    </row>
    <row r="378" spans="1:12">
      <c r="A378" s="40"/>
      <c r="K378" s="40"/>
      <c r="L378" s="40"/>
    </row>
    <row r="379" spans="1:12">
      <c r="A379" s="40"/>
      <c r="K379" s="40"/>
      <c r="L379" s="40"/>
    </row>
    <row r="380" spans="1:12">
      <c r="A380" s="40"/>
      <c r="K380" s="40"/>
      <c r="L380" s="40"/>
    </row>
    <row r="381" spans="1:12">
      <c r="A381" s="40"/>
      <c r="K381" s="40"/>
      <c r="L381" s="40"/>
    </row>
    <row r="382" spans="1:12">
      <c r="A382" s="40"/>
      <c r="K382" s="40"/>
      <c r="L382" s="40"/>
    </row>
    <row r="383" spans="1:12">
      <c r="A383" s="40"/>
      <c r="K383" s="40"/>
      <c r="L383" s="40"/>
    </row>
    <row r="384" spans="1:12">
      <c r="A384" s="40"/>
      <c r="K384" s="40"/>
      <c r="L384" s="40"/>
    </row>
    <row r="385" spans="1:12">
      <c r="A385" s="40"/>
      <c r="K385" s="40"/>
      <c r="L385" s="40"/>
    </row>
    <row r="386" spans="1:12">
      <c r="A386" s="40"/>
      <c r="K386" s="40"/>
      <c r="L386" s="40"/>
    </row>
    <row r="387" spans="1:12">
      <c r="A387" s="40"/>
      <c r="K387" s="40"/>
      <c r="L387" s="40"/>
    </row>
    <row r="388" spans="1:12">
      <c r="A388" s="40"/>
      <c r="K388" s="40"/>
      <c r="L388" s="40"/>
    </row>
    <row r="389" spans="1:12">
      <c r="A389" s="40"/>
      <c r="K389" s="40"/>
      <c r="L389" s="40"/>
    </row>
    <row r="390" spans="1:12">
      <c r="A390" s="40"/>
      <c r="K390" s="40"/>
      <c r="L390" s="40"/>
    </row>
    <row r="391" spans="1:12">
      <c r="A391" s="40"/>
      <c r="K391" s="40"/>
      <c r="L391" s="40"/>
    </row>
    <row r="392" spans="1:12">
      <c r="A392" s="40"/>
      <c r="K392" s="40"/>
      <c r="L392" s="40"/>
    </row>
    <row r="393" spans="1:12">
      <c r="A393" s="40"/>
      <c r="K393" s="40"/>
      <c r="L393" s="40"/>
    </row>
    <row r="394" spans="1:12">
      <c r="A394" s="40"/>
      <c r="K394" s="40"/>
      <c r="L394" s="40"/>
    </row>
    <row r="395" spans="1:12">
      <c r="A395" s="40"/>
      <c r="K395" s="40"/>
      <c r="L395" s="40"/>
    </row>
    <row r="396" spans="1:12">
      <c r="A396" s="40"/>
      <c r="K396" s="40"/>
      <c r="L396" s="40"/>
    </row>
    <row r="397" spans="1:12">
      <c r="A397" s="40"/>
      <c r="K397" s="40"/>
      <c r="L397" s="40"/>
    </row>
    <row r="398" spans="1:12">
      <c r="A398" s="40"/>
      <c r="K398" s="40"/>
      <c r="L398" s="40"/>
    </row>
    <row r="399" spans="1:12">
      <c r="A399" s="40"/>
      <c r="K399" s="40"/>
      <c r="L399" s="40"/>
    </row>
    <row r="400" spans="1:12">
      <c r="A400" s="40"/>
      <c r="K400" s="40"/>
      <c r="L400" s="40"/>
    </row>
    <row r="401" spans="1:12">
      <c r="A401" s="40"/>
      <c r="K401" s="40"/>
      <c r="L401" s="40"/>
    </row>
    <row r="402" spans="1:12">
      <c r="A402" s="40"/>
      <c r="K402" s="40"/>
      <c r="L402" s="40"/>
    </row>
    <row r="403" spans="1:12">
      <c r="A403" s="40"/>
      <c r="K403" s="40"/>
      <c r="L403" s="40"/>
    </row>
    <row r="404" spans="1:12">
      <c r="A404" s="40"/>
      <c r="K404" s="40"/>
      <c r="L404" s="40"/>
    </row>
    <row r="405" spans="1:12">
      <c r="A405" s="40"/>
      <c r="K405" s="40"/>
      <c r="L405" s="40"/>
    </row>
    <row r="406" spans="1:12">
      <c r="A406" s="40"/>
      <c r="K406" s="40"/>
      <c r="L406" s="40"/>
    </row>
    <row r="407" spans="1:12">
      <c r="A407" s="40"/>
      <c r="K407" s="40"/>
      <c r="L407" s="40"/>
    </row>
    <row r="408" spans="1:12">
      <c r="A408" s="40"/>
      <c r="K408" s="40"/>
      <c r="L408" s="40"/>
    </row>
    <row r="409" spans="1:12">
      <c r="A409" s="40"/>
      <c r="K409" s="40"/>
      <c r="L409" s="40"/>
    </row>
    <row r="410" spans="1:12">
      <c r="A410" s="40"/>
      <c r="K410" s="40"/>
      <c r="L410" s="40"/>
    </row>
    <row r="411" spans="1:12">
      <c r="A411" s="40"/>
      <c r="K411" s="40"/>
      <c r="L411" s="40"/>
    </row>
    <row r="412" spans="1:12">
      <c r="A412" s="40"/>
      <c r="K412" s="40"/>
      <c r="L412" s="40"/>
    </row>
    <row r="413" spans="1:12">
      <c r="A413" s="40"/>
      <c r="K413" s="40"/>
      <c r="L413" s="40"/>
    </row>
    <row r="414" spans="1:12">
      <c r="A414" s="40"/>
      <c r="K414" s="40"/>
      <c r="L414" s="40"/>
    </row>
    <row r="415" spans="1:12">
      <c r="A415" s="40"/>
      <c r="K415" s="40"/>
      <c r="L415" s="40"/>
    </row>
    <row r="416" spans="1:12">
      <c r="A416" s="40"/>
      <c r="K416" s="40"/>
      <c r="L416" s="40"/>
    </row>
    <row r="417" spans="1:12">
      <c r="A417" s="40"/>
      <c r="K417" s="40"/>
      <c r="L417" s="40"/>
    </row>
    <row r="418" spans="1:12">
      <c r="A418" s="40"/>
      <c r="K418" s="40"/>
      <c r="L418" s="40"/>
    </row>
    <row r="419" spans="1:12">
      <c r="A419" s="40"/>
      <c r="K419" s="40"/>
      <c r="L419" s="40"/>
    </row>
    <row r="420" spans="1:12">
      <c r="A420" s="40"/>
      <c r="K420" s="40"/>
      <c r="L420" s="40"/>
    </row>
    <row r="421" spans="1:12">
      <c r="A421" s="40"/>
      <c r="K421" s="40"/>
      <c r="L421" s="40"/>
    </row>
    <row r="422" spans="1:12">
      <c r="A422" s="40"/>
      <c r="K422" s="40"/>
      <c r="L422" s="40"/>
    </row>
    <row r="423" spans="1:12">
      <c r="A423" s="40"/>
      <c r="K423" s="40"/>
      <c r="L423" s="40"/>
    </row>
    <row r="424" spans="1:12">
      <c r="A424" s="40"/>
      <c r="K424" s="40"/>
      <c r="L424" s="40"/>
    </row>
    <row r="425" spans="1:12">
      <c r="A425" s="40"/>
      <c r="K425" s="40"/>
      <c r="L425" s="40"/>
    </row>
    <row r="426" spans="1:12">
      <c r="A426" s="40"/>
      <c r="K426" s="40"/>
      <c r="L426" s="40"/>
    </row>
    <row r="427" spans="1:12">
      <c r="A427" s="40"/>
      <c r="K427" s="40"/>
      <c r="L427" s="40"/>
    </row>
    <row r="428" spans="1:12">
      <c r="A428" s="40"/>
      <c r="K428" s="40"/>
      <c r="L428" s="40"/>
    </row>
    <row r="429" spans="1:12">
      <c r="A429" s="40"/>
      <c r="K429" s="40"/>
      <c r="L429" s="40"/>
    </row>
    <row r="430" spans="1:12">
      <c r="A430" s="40"/>
      <c r="K430" s="40"/>
      <c r="L430" s="40"/>
    </row>
    <row r="431" spans="1:12">
      <c r="A431" s="40"/>
      <c r="K431" s="40"/>
      <c r="L431" s="40"/>
    </row>
    <row r="432" spans="1:12">
      <c r="A432" s="40"/>
      <c r="K432" s="40"/>
      <c r="L432" s="40"/>
    </row>
    <row r="433" spans="1:12">
      <c r="A433" s="40"/>
      <c r="K433" s="40"/>
      <c r="L433" s="40"/>
    </row>
    <row r="434" spans="1:12">
      <c r="A434" s="40"/>
      <c r="K434" s="40"/>
      <c r="L434" s="40"/>
    </row>
    <row r="435" spans="1:12">
      <c r="A435" s="40"/>
      <c r="K435" s="40"/>
      <c r="L435" s="40"/>
    </row>
    <row r="436" spans="1:12">
      <c r="A436" s="40"/>
      <c r="K436" s="40"/>
      <c r="L436" s="40"/>
    </row>
    <row r="437" spans="1:12">
      <c r="A437" s="40"/>
      <c r="K437" s="40"/>
      <c r="L437" s="40"/>
    </row>
    <row r="438" spans="1:12">
      <c r="A438" s="40"/>
      <c r="K438" s="40"/>
      <c r="L438" s="40"/>
    </row>
    <row r="439" spans="1:12">
      <c r="A439" s="40"/>
      <c r="K439" s="40"/>
      <c r="L439" s="40"/>
    </row>
    <row r="440" spans="1:12">
      <c r="A440" s="40"/>
      <c r="K440" s="40"/>
      <c r="L440" s="40"/>
    </row>
    <row r="441" spans="1:12">
      <c r="A441" s="40"/>
      <c r="K441" s="40"/>
      <c r="L441" s="40"/>
    </row>
    <row r="442" spans="1:12">
      <c r="A442" s="40"/>
      <c r="K442" s="40"/>
      <c r="L442" s="40"/>
    </row>
    <row r="443" spans="1:12">
      <c r="A443" s="40"/>
      <c r="K443" s="40"/>
      <c r="L443" s="40"/>
    </row>
    <row r="444" spans="1:12">
      <c r="A444" s="40"/>
      <c r="K444" s="40"/>
      <c r="L444" s="40"/>
    </row>
    <row r="445" spans="1:12">
      <c r="A445" s="40"/>
      <c r="K445" s="40"/>
      <c r="L445" s="40"/>
    </row>
    <row r="446" spans="1:12">
      <c r="A446" s="40"/>
      <c r="K446" s="40"/>
      <c r="L446" s="40"/>
    </row>
    <row r="447" spans="1:12">
      <c r="A447" s="40"/>
      <c r="K447" s="40"/>
      <c r="L447" s="40"/>
    </row>
    <row r="448" spans="1:12">
      <c r="A448" s="40"/>
      <c r="K448" s="40"/>
      <c r="L448" s="40"/>
    </row>
    <row r="449" spans="1:12">
      <c r="A449" s="40"/>
      <c r="K449" s="40"/>
      <c r="L449" s="40"/>
    </row>
    <row r="450" spans="1:12">
      <c r="A450" s="40"/>
      <c r="K450" s="40"/>
      <c r="L450" s="40"/>
    </row>
    <row r="451" spans="1:12">
      <c r="A451" s="40"/>
      <c r="K451" s="40"/>
      <c r="L451" s="40"/>
    </row>
    <row r="452" spans="1:12">
      <c r="A452" s="40"/>
      <c r="K452" s="40"/>
      <c r="L452" s="40"/>
    </row>
    <row r="453" spans="1:12">
      <c r="A453" s="40"/>
      <c r="K453" s="40"/>
      <c r="L453" s="40"/>
    </row>
    <row r="454" spans="1:12">
      <c r="A454" s="40"/>
      <c r="K454" s="40"/>
      <c r="L454" s="40"/>
    </row>
    <row r="455" spans="1:12">
      <c r="A455" s="40"/>
      <c r="K455" s="40"/>
      <c r="L455" s="40"/>
    </row>
    <row r="456" spans="1:12">
      <c r="A456" s="40"/>
      <c r="K456" s="40"/>
      <c r="L456" s="40"/>
    </row>
    <row r="457" spans="1:12">
      <c r="A457" s="40"/>
      <c r="K457" s="40"/>
      <c r="L457" s="40"/>
    </row>
    <row r="458" spans="1:12">
      <c r="A458" s="40"/>
      <c r="K458" s="40"/>
      <c r="L458" s="40"/>
    </row>
    <row r="459" spans="1:12">
      <c r="A459" s="40"/>
      <c r="K459" s="40"/>
      <c r="L459" s="40"/>
    </row>
    <row r="460" spans="1:12">
      <c r="A460" s="40"/>
      <c r="K460" s="40"/>
      <c r="L460" s="40"/>
    </row>
    <row r="461" spans="1:12">
      <c r="A461" s="40"/>
      <c r="K461" s="40"/>
      <c r="L461" s="40"/>
    </row>
    <row r="462" spans="1:12">
      <c r="A462" s="40"/>
      <c r="K462" s="40"/>
      <c r="L462" s="40"/>
    </row>
    <row r="463" spans="1:12">
      <c r="A463" s="40"/>
      <c r="K463" s="40"/>
      <c r="L463" s="40"/>
    </row>
    <row r="464" spans="1:12">
      <c r="A464" s="40"/>
      <c r="K464" s="40"/>
      <c r="L464" s="40"/>
    </row>
    <row r="465" spans="1:12">
      <c r="A465" s="40"/>
      <c r="K465" s="40"/>
      <c r="L465" s="40"/>
    </row>
    <row r="466" spans="1:12">
      <c r="A466" s="40"/>
      <c r="K466" s="40"/>
      <c r="L466" s="40"/>
    </row>
    <row r="467" spans="1:12">
      <c r="A467" s="40"/>
      <c r="K467" s="40"/>
      <c r="L467" s="40"/>
    </row>
    <row r="468" spans="1:12">
      <c r="A468" s="40"/>
      <c r="K468" s="40"/>
      <c r="L468" s="40"/>
    </row>
    <row r="469" spans="1:12">
      <c r="A469" s="40"/>
      <c r="K469" s="40"/>
      <c r="L469" s="40"/>
    </row>
    <row r="470" spans="1:12">
      <c r="A470" s="40"/>
      <c r="K470" s="40"/>
      <c r="L470" s="40"/>
    </row>
    <row r="471" spans="1:12">
      <c r="A471" s="40"/>
      <c r="K471" s="40"/>
      <c r="L471" s="40"/>
    </row>
    <row r="472" spans="1:12">
      <c r="A472" s="40"/>
      <c r="K472" s="40"/>
      <c r="L472" s="40"/>
    </row>
    <row r="473" spans="1:12">
      <c r="A473" s="40"/>
      <c r="K473" s="40"/>
      <c r="L473" s="40"/>
    </row>
    <row r="474" spans="1:12">
      <c r="A474" s="40"/>
      <c r="K474" s="40"/>
      <c r="L474" s="40"/>
    </row>
    <row r="475" spans="1:12">
      <c r="A475" s="40"/>
      <c r="K475" s="40"/>
      <c r="L475" s="40"/>
    </row>
    <row r="476" spans="1:12">
      <c r="A476" s="40"/>
      <c r="K476" s="40"/>
      <c r="L476" s="40"/>
    </row>
    <row r="477" spans="1:12">
      <c r="A477" s="40"/>
      <c r="K477" s="40"/>
      <c r="L477" s="40"/>
    </row>
    <row r="478" spans="1:12">
      <c r="A478" s="40"/>
      <c r="K478" s="40"/>
      <c r="L478" s="40"/>
    </row>
    <row r="479" spans="1:12">
      <c r="A479" s="40"/>
      <c r="K479" s="40"/>
      <c r="L479" s="40"/>
    </row>
    <row r="480" spans="1:12">
      <c r="A480" s="40"/>
      <c r="K480" s="40"/>
      <c r="L480" s="40"/>
    </row>
    <row r="481" spans="1:12">
      <c r="A481" s="40"/>
      <c r="K481" s="40"/>
      <c r="L481" s="40"/>
    </row>
    <row r="482" spans="1:12">
      <c r="A482" s="40"/>
      <c r="K482" s="40"/>
      <c r="L482" s="40"/>
    </row>
    <row r="483" spans="1:12">
      <c r="A483" s="40"/>
      <c r="K483" s="40"/>
      <c r="L483" s="40"/>
    </row>
    <row r="484" spans="1:12">
      <c r="A484" s="40"/>
      <c r="K484" s="40"/>
      <c r="L484" s="40"/>
    </row>
    <row r="485" spans="1:12">
      <c r="A485" s="40"/>
      <c r="K485" s="40"/>
      <c r="L485" s="40"/>
    </row>
    <row r="486" spans="1:12">
      <c r="A486" s="40"/>
      <c r="K486" s="40"/>
      <c r="L486" s="40"/>
    </row>
    <row r="487" spans="1:12">
      <c r="A487" s="40"/>
      <c r="K487" s="40"/>
      <c r="L487" s="40"/>
    </row>
    <row r="488" spans="1:12">
      <c r="A488" s="40"/>
      <c r="K488" s="40"/>
      <c r="L488" s="40"/>
    </row>
    <row r="489" spans="1:12">
      <c r="A489" s="40"/>
      <c r="K489" s="40"/>
      <c r="L489" s="40"/>
    </row>
    <row r="490" spans="1:12">
      <c r="A490" s="40"/>
      <c r="K490" s="40"/>
      <c r="L490" s="40"/>
    </row>
    <row r="491" spans="1:12">
      <c r="A491" s="40"/>
      <c r="K491" s="40"/>
      <c r="L491" s="40"/>
    </row>
    <row r="492" spans="1:12">
      <c r="A492" s="40"/>
      <c r="K492" s="40"/>
      <c r="L492" s="40"/>
    </row>
    <row r="493" spans="1:12">
      <c r="A493" s="40"/>
      <c r="K493" s="40"/>
      <c r="L493" s="40"/>
    </row>
    <row r="494" spans="1:12">
      <c r="A494" s="40"/>
      <c r="K494" s="40"/>
      <c r="L494" s="40"/>
    </row>
    <row r="495" spans="1:12">
      <c r="A495" s="40"/>
      <c r="K495" s="40"/>
      <c r="L495" s="40"/>
    </row>
    <row r="496" spans="1:12">
      <c r="A496" s="40"/>
      <c r="K496" s="40"/>
      <c r="L496" s="40"/>
    </row>
    <row r="497" spans="1:12">
      <c r="A497" s="40"/>
      <c r="K497" s="40"/>
      <c r="L497" s="40"/>
    </row>
    <row r="498" spans="1:12">
      <c r="A498" s="40"/>
      <c r="K498" s="40"/>
      <c r="L498" s="40"/>
    </row>
    <row r="499" spans="1:12">
      <c r="A499" s="40"/>
      <c r="K499" s="40"/>
      <c r="L499" s="40"/>
    </row>
    <row r="500" spans="1:12">
      <c r="A500" s="40"/>
      <c r="K500" s="40"/>
      <c r="L500" s="40"/>
    </row>
    <row r="501" spans="1:12">
      <c r="A501" s="40"/>
      <c r="K501" s="40"/>
      <c r="L501" s="40"/>
    </row>
    <row r="502" spans="1:12">
      <c r="A502" s="40"/>
      <c r="K502" s="40"/>
      <c r="L502" s="40"/>
    </row>
    <row r="503" spans="1:12">
      <c r="A503" s="40"/>
      <c r="K503" s="40"/>
      <c r="L503" s="40"/>
    </row>
    <row r="504" spans="1:12">
      <c r="A504" s="40"/>
      <c r="K504" s="40"/>
      <c r="L504" s="40"/>
    </row>
    <row r="505" spans="1:12">
      <c r="A505" s="40"/>
      <c r="K505" s="40"/>
      <c r="L505" s="40"/>
    </row>
    <row r="506" spans="1:12">
      <c r="A506" s="40"/>
      <c r="K506" s="40"/>
      <c r="L506" s="40"/>
    </row>
    <row r="507" spans="1:12">
      <c r="A507" s="40"/>
      <c r="K507" s="40"/>
      <c r="L507" s="40"/>
    </row>
    <row r="508" spans="1:12">
      <c r="A508" s="40"/>
      <c r="K508" s="40"/>
      <c r="L508" s="40"/>
    </row>
    <row r="509" spans="1:12">
      <c r="A509" s="40"/>
      <c r="K509" s="40"/>
      <c r="L509" s="40"/>
    </row>
    <row r="510" spans="1:12">
      <c r="A510" s="40"/>
      <c r="K510" s="40"/>
      <c r="L510" s="40"/>
    </row>
    <row r="511" spans="1:12">
      <c r="A511" s="40"/>
      <c r="K511" s="40"/>
      <c r="L511" s="40"/>
    </row>
    <row r="512" spans="1:12">
      <c r="A512" s="40"/>
      <c r="K512" s="40"/>
      <c r="L512" s="40"/>
    </row>
    <row r="513" spans="1:12">
      <c r="A513" s="40"/>
      <c r="K513" s="40"/>
      <c r="L513" s="40"/>
    </row>
    <row r="514" spans="1:12">
      <c r="A514" s="40"/>
      <c r="K514" s="40"/>
      <c r="L514" s="40"/>
    </row>
    <row r="515" spans="1:12">
      <c r="A515" s="40"/>
      <c r="K515" s="40"/>
      <c r="L515" s="40"/>
    </row>
    <row r="516" spans="1:12">
      <c r="A516" s="40"/>
      <c r="K516" s="40"/>
      <c r="L516" s="40"/>
    </row>
    <row r="517" spans="1:12">
      <c r="A517" s="40"/>
      <c r="K517" s="40"/>
      <c r="L517" s="40"/>
    </row>
    <row r="518" spans="1:12">
      <c r="A518" s="40"/>
      <c r="K518" s="40"/>
      <c r="L518" s="40"/>
    </row>
    <row r="519" spans="1:12">
      <c r="A519" s="40"/>
      <c r="K519" s="40"/>
      <c r="L519" s="40"/>
    </row>
    <row r="520" spans="1:12">
      <c r="A520" s="40"/>
      <c r="K520" s="40"/>
      <c r="L520" s="40"/>
    </row>
    <row r="521" spans="1:12">
      <c r="A521" s="40"/>
      <c r="K521" s="40"/>
      <c r="L521" s="40"/>
    </row>
    <row r="522" spans="1:12">
      <c r="A522" s="40"/>
      <c r="K522" s="40"/>
      <c r="L522" s="40"/>
    </row>
    <row r="523" spans="1:12">
      <c r="A523" s="40"/>
      <c r="K523" s="40"/>
      <c r="L523" s="40"/>
    </row>
    <row r="524" spans="1:12">
      <c r="A524" s="40"/>
      <c r="K524" s="40"/>
      <c r="L524" s="40"/>
    </row>
    <row r="525" spans="1:12">
      <c r="A525" s="40"/>
      <c r="K525" s="40"/>
      <c r="L525" s="40"/>
    </row>
    <row r="526" spans="1:12">
      <c r="A526" s="40"/>
      <c r="K526" s="40"/>
      <c r="L526" s="40"/>
    </row>
    <row r="527" spans="1:12">
      <c r="A527" s="40"/>
      <c r="K527" s="40"/>
      <c r="L527" s="40"/>
    </row>
    <row r="528" spans="1:12">
      <c r="A528" s="40"/>
      <c r="K528" s="40"/>
      <c r="L528" s="40"/>
    </row>
    <row r="529" spans="1:12">
      <c r="A529" s="40"/>
      <c r="K529" s="40"/>
      <c r="L529" s="40"/>
    </row>
    <row r="530" spans="1:12">
      <c r="A530" s="40"/>
      <c r="K530" s="40"/>
      <c r="L530" s="40"/>
    </row>
    <row r="531" spans="1:12">
      <c r="A531" s="40"/>
      <c r="K531" s="40"/>
      <c r="L531" s="40"/>
    </row>
    <row r="532" spans="1:12">
      <c r="A532" s="40"/>
      <c r="K532" s="40"/>
      <c r="L532" s="40"/>
    </row>
    <row r="533" spans="1:12">
      <c r="A533" s="40"/>
      <c r="K533" s="40"/>
      <c r="L533" s="40"/>
    </row>
    <row r="534" spans="1:12">
      <c r="A534" s="40"/>
      <c r="K534" s="40"/>
      <c r="L534" s="40"/>
    </row>
    <row r="535" spans="1:12">
      <c r="A535" s="40"/>
      <c r="K535" s="40"/>
      <c r="L535" s="40"/>
    </row>
    <row r="536" spans="1:12">
      <c r="A536" s="40"/>
      <c r="K536" s="40"/>
      <c r="L536" s="40"/>
    </row>
    <row r="537" spans="1:12">
      <c r="A537" s="40"/>
      <c r="K537" s="40"/>
      <c r="L537" s="40"/>
    </row>
    <row r="538" spans="1:12">
      <c r="A538" s="40"/>
      <c r="K538" s="40"/>
      <c r="L538" s="40"/>
    </row>
    <row r="539" spans="1:12">
      <c r="A539" s="40"/>
      <c r="K539" s="40"/>
      <c r="L539" s="40"/>
    </row>
    <row r="540" spans="1:12">
      <c r="A540" s="40"/>
      <c r="K540" s="40"/>
      <c r="L540" s="40"/>
    </row>
    <row r="541" spans="1:12">
      <c r="A541" s="40"/>
      <c r="K541" s="40"/>
      <c r="L541" s="40"/>
    </row>
    <row r="542" spans="1:12">
      <c r="A542" s="40"/>
      <c r="K542" s="40"/>
      <c r="L542" s="40"/>
    </row>
    <row r="543" spans="1:12">
      <c r="A543" s="40"/>
      <c r="K543" s="40"/>
      <c r="L543" s="40"/>
    </row>
    <row r="544" spans="1:12">
      <c r="A544" s="40"/>
      <c r="K544" s="40"/>
      <c r="L544" s="40"/>
    </row>
    <row r="545" spans="1:12">
      <c r="A545" s="40"/>
      <c r="K545" s="40"/>
      <c r="L545" s="40"/>
    </row>
    <row r="546" spans="1:12">
      <c r="A546" s="40"/>
      <c r="K546" s="40"/>
      <c r="L546" s="40"/>
    </row>
    <row r="547" spans="1:12">
      <c r="A547" s="40"/>
      <c r="K547" s="40"/>
      <c r="L547" s="40"/>
    </row>
    <row r="548" spans="1:12">
      <c r="A548" s="40"/>
      <c r="K548" s="40"/>
      <c r="L548" s="40"/>
    </row>
    <row r="549" spans="1:12">
      <c r="A549" s="40"/>
      <c r="K549" s="40"/>
      <c r="L549" s="40"/>
    </row>
    <row r="550" spans="1:12">
      <c r="A550" s="40"/>
      <c r="K550" s="40"/>
      <c r="L550" s="40"/>
    </row>
    <row r="551" spans="1:12">
      <c r="A551" s="40"/>
      <c r="K551" s="40"/>
      <c r="L551" s="40"/>
    </row>
    <row r="552" spans="1:12">
      <c r="A552" s="40"/>
      <c r="K552" s="40"/>
      <c r="L552" s="40"/>
    </row>
    <row r="553" spans="1:12">
      <c r="A553" s="40"/>
      <c r="K553" s="40"/>
      <c r="L553" s="40"/>
    </row>
    <row r="554" spans="1:12">
      <c r="A554" s="40"/>
      <c r="K554" s="40"/>
      <c r="L554" s="40"/>
    </row>
    <row r="555" spans="1:12">
      <c r="A555" s="40"/>
      <c r="K555" s="40"/>
      <c r="L555" s="40"/>
    </row>
    <row r="556" spans="1:12">
      <c r="A556" s="40"/>
      <c r="K556" s="40"/>
      <c r="L556" s="40"/>
    </row>
    <row r="557" spans="1:12">
      <c r="A557" s="40"/>
      <c r="K557" s="40"/>
      <c r="L557" s="40"/>
    </row>
    <row r="558" spans="1:12">
      <c r="A558" s="40"/>
      <c r="K558" s="40"/>
      <c r="L558" s="40"/>
    </row>
    <row r="559" spans="1:12">
      <c r="A559" s="40"/>
      <c r="K559" s="40"/>
      <c r="L559" s="40"/>
    </row>
    <row r="560" spans="1:12">
      <c r="A560" s="40"/>
      <c r="K560" s="40"/>
      <c r="L560" s="40"/>
    </row>
    <row r="561" spans="1:12">
      <c r="A561" s="40"/>
      <c r="K561" s="40"/>
      <c r="L561" s="40"/>
    </row>
    <row r="562" spans="1:12">
      <c r="A562" s="40"/>
      <c r="K562" s="40"/>
      <c r="L562" s="40"/>
    </row>
    <row r="563" spans="1:12">
      <c r="A563" s="40"/>
      <c r="K563" s="40"/>
      <c r="L563" s="40"/>
    </row>
    <row r="564" spans="1:12">
      <c r="A564" s="40"/>
      <c r="K564" s="40"/>
      <c r="L564" s="40"/>
    </row>
    <row r="565" spans="1:12">
      <c r="A565" s="40"/>
      <c r="K565" s="40"/>
      <c r="L565" s="40"/>
    </row>
    <row r="566" spans="1:12">
      <c r="A566" s="40"/>
      <c r="K566" s="40"/>
      <c r="L566" s="40"/>
    </row>
    <row r="567" spans="1:12">
      <c r="A567" s="40"/>
      <c r="K567" s="40"/>
      <c r="L567" s="40"/>
    </row>
    <row r="568" spans="1:12">
      <c r="A568" s="40"/>
      <c r="K568" s="40"/>
      <c r="L568" s="40"/>
    </row>
    <row r="569" spans="1:12">
      <c r="A569" s="40"/>
      <c r="K569" s="40"/>
      <c r="L569" s="40"/>
    </row>
    <row r="570" spans="1:12">
      <c r="A570" s="40"/>
      <c r="K570" s="40"/>
      <c r="L570" s="40"/>
    </row>
    <row r="571" spans="1:12">
      <c r="A571" s="40"/>
      <c r="K571" s="40"/>
      <c r="L571" s="40"/>
    </row>
    <row r="572" spans="1:12">
      <c r="A572" s="40"/>
      <c r="K572" s="40"/>
      <c r="L572" s="40"/>
    </row>
    <row r="573" spans="1:12">
      <c r="A573" s="40"/>
      <c r="K573" s="40"/>
      <c r="L573" s="40"/>
    </row>
    <row r="574" spans="1:12">
      <c r="A574" s="40"/>
      <c r="K574" s="40"/>
      <c r="L574" s="40"/>
    </row>
    <row r="575" spans="1:12">
      <c r="A575" s="40"/>
      <c r="K575" s="40"/>
      <c r="L575" s="40"/>
    </row>
    <row r="576" spans="1:12">
      <c r="A576" s="40"/>
      <c r="K576" s="40"/>
      <c r="L576" s="40"/>
    </row>
    <row r="577" spans="1:12">
      <c r="A577" s="40"/>
      <c r="K577" s="40"/>
      <c r="L577" s="40"/>
    </row>
    <row r="578" spans="1:12">
      <c r="A578" s="40"/>
      <c r="K578" s="40"/>
      <c r="L578" s="40"/>
    </row>
    <row r="579" spans="1:12">
      <c r="A579" s="40"/>
      <c r="K579" s="40"/>
      <c r="L579" s="40"/>
    </row>
    <row r="580" spans="1:12">
      <c r="A580" s="40"/>
      <c r="K580" s="40"/>
      <c r="L580" s="40"/>
    </row>
    <row r="581" spans="1:12">
      <c r="A581" s="40"/>
      <c r="K581" s="40"/>
      <c r="L581" s="40"/>
    </row>
    <row r="582" spans="1:12">
      <c r="A582" s="40"/>
      <c r="K582" s="40"/>
      <c r="L582" s="40"/>
    </row>
    <row r="583" spans="1:12">
      <c r="A583" s="40"/>
      <c r="K583" s="40"/>
      <c r="L583" s="40"/>
    </row>
    <row r="584" spans="1:12">
      <c r="A584" s="40"/>
      <c r="K584" s="40"/>
      <c r="L584" s="40"/>
    </row>
    <row r="585" spans="1:12">
      <c r="A585" s="40"/>
      <c r="K585" s="40"/>
      <c r="L585" s="40"/>
    </row>
    <row r="586" spans="1:12">
      <c r="A586" s="40"/>
      <c r="K586" s="40"/>
      <c r="L586" s="40"/>
    </row>
    <row r="587" spans="1:12">
      <c r="A587" s="40"/>
      <c r="K587" s="40"/>
      <c r="L587" s="40"/>
    </row>
    <row r="588" spans="1:12">
      <c r="A588" s="40"/>
      <c r="K588" s="40"/>
      <c r="L588" s="40"/>
    </row>
    <row r="589" spans="1:12">
      <c r="A589" s="40"/>
      <c r="K589" s="40"/>
      <c r="L589" s="40"/>
    </row>
    <row r="590" spans="1:12">
      <c r="A590" s="40"/>
      <c r="K590" s="40"/>
      <c r="L590" s="40"/>
    </row>
    <row r="591" spans="1:12">
      <c r="A591" s="40"/>
      <c r="K591" s="40"/>
      <c r="L591" s="40"/>
    </row>
    <row r="592" spans="1:12">
      <c r="A592" s="40"/>
      <c r="K592" s="40"/>
      <c r="L592" s="40"/>
    </row>
    <row r="593" spans="1:12">
      <c r="A593" s="40"/>
      <c r="K593" s="40"/>
      <c r="L593" s="40"/>
    </row>
    <row r="594" spans="1:12">
      <c r="A594" s="40"/>
      <c r="K594" s="40"/>
      <c r="L594" s="40"/>
    </row>
    <row r="595" spans="1:12">
      <c r="A595" s="40"/>
      <c r="K595" s="40"/>
      <c r="L595" s="40"/>
    </row>
    <row r="596" spans="1:12">
      <c r="A596" s="40"/>
      <c r="K596" s="40"/>
      <c r="L596" s="40"/>
    </row>
    <row r="597" spans="1:12">
      <c r="A597" s="40"/>
      <c r="K597" s="40"/>
      <c r="L597" s="40"/>
    </row>
    <row r="598" spans="1:12">
      <c r="A598" s="40"/>
      <c r="K598" s="40"/>
      <c r="L598" s="40"/>
    </row>
    <row r="599" spans="1:12">
      <c r="A599" s="40"/>
      <c r="K599" s="40"/>
      <c r="L599" s="40"/>
    </row>
    <row r="600" spans="1:12">
      <c r="A600" s="40"/>
      <c r="K600" s="40"/>
      <c r="L600" s="40"/>
    </row>
    <row r="601" spans="1:12">
      <c r="A601" s="40"/>
      <c r="K601" s="40"/>
      <c r="L601" s="40"/>
    </row>
    <row r="602" spans="1:12">
      <c r="A602" s="40"/>
      <c r="K602" s="40"/>
      <c r="L602" s="40"/>
    </row>
    <row r="603" spans="1:12">
      <c r="A603" s="40"/>
      <c r="K603" s="40"/>
      <c r="L603" s="40"/>
    </row>
    <row r="604" spans="1:12">
      <c r="A604" s="40"/>
      <c r="K604" s="40"/>
      <c r="L604" s="40"/>
    </row>
    <row r="605" spans="1:12">
      <c r="A605" s="40"/>
      <c r="K605" s="40"/>
      <c r="L605" s="40"/>
    </row>
    <row r="606" spans="1:12">
      <c r="A606" s="40"/>
      <c r="K606" s="40"/>
      <c r="L606" s="40"/>
    </row>
    <row r="607" spans="1:12">
      <c r="A607" s="40"/>
      <c r="K607" s="40"/>
      <c r="L607" s="40"/>
    </row>
    <row r="608" spans="1:12">
      <c r="A608" s="40"/>
      <c r="K608" s="40"/>
      <c r="L608" s="40"/>
    </row>
    <row r="609" spans="1:12">
      <c r="A609" s="40"/>
      <c r="K609" s="40"/>
      <c r="L609" s="40"/>
    </row>
    <row r="610" spans="1:12">
      <c r="A610" s="40"/>
      <c r="K610" s="40"/>
      <c r="L610" s="40"/>
    </row>
    <row r="611" spans="1:12">
      <c r="A611" s="40"/>
      <c r="K611" s="40"/>
      <c r="L611" s="40"/>
    </row>
    <row r="612" spans="1:12">
      <c r="A612" s="40"/>
      <c r="K612" s="40"/>
      <c r="L612" s="40"/>
    </row>
    <row r="613" spans="1:12">
      <c r="A613" s="40"/>
      <c r="K613" s="40"/>
      <c r="L613" s="40"/>
    </row>
    <row r="614" spans="1:12">
      <c r="A614" s="40"/>
      <c r="K614" s="40"/>
      <c r="L614" s="40"/>
    </row>
    <row r="615" spans="1:12">
      <c r="A615" s="40"/>
      <c r="K615" s="40"/>
      <c r="L615" s="40"/>
    </row>
    <row r="616" spans="1:12">
      <c r="A616" s="40"/>
      <c r="K616" s="40"/>
      <c r="L616" s="40"/>
    </row>
    <row r="617" spans="1:12">
      <c r="A617" s="40"/>
      <c r="K617" s="40"/>
      <c r="L617" s="40"/>
    </row>
    <row r="618" spans="1:12">
      <c r="A618" s="40"/>
      <c r="K618" s="40"/>
      <c r="L618" s="40"/>
    </row>
    <row r="619" spans="1:12">
      <c r="A619" s="40"/>
      <c r="K619" s="40"/>
      <c r="L619" s="40"/>
    </row>
    <row r="620" spans="1:12">
      <c r="A620" s="40"/>
      <c r="K620" s="40"/>
      <c r="L620" s="40"/>
    </row>
    <row r="621" spans="1:12">
      <c r="A621" s="40"/>
      <c r="K621" s="40"/>
      <c r="L621" s="40"/>
    </row>
    <row r="622" spans="1:12">
      <c r="A622" s="40"/>
      <c r="K622" s="40"/>
      <c r="L622" s="40"/>
    </row>
    <row r="623" spans="1:12">
      <c r="A623" s="40"/>
      <c r="K623" s="40"/>
      <c r="L623" s="40"/>
    </row>
    <row r="624" spans="1:12">
      <c r="A624" s="40"/>
      <c r="K624" s="40"/>
      <c r="L624" s="40"/>
    </row>
    <row r="625" spans="1:12">
      <c r="A625" s="40"/>
      <c r="K625" s="40"/>
      <c r="L625" s="40"/>
    </row>
    <row r="626" spans="1:12">
      <c r="A626" s="40"/>
      <c r="K626" s="40"/>
      <c r="L626" s="40"/>
    </row>
    <row r="627" spans="1:12">
      <c r="A627" s="40"/>
      <c r="K627" s="40"/>
      <c r="L627" s="40"/>
    </row>
    <row r="628" spans="1:12">
      <c r="A628" s="40"/>
      <c r="K628" s="40"/>
      <c r="L628" s="40"/>
    </row>
    <row r="629" spans="1:12">
      <c r="A629" s="40"/>
      <c r="K629" s="40"/>
      <c r="L629" s="40"/>
    </row>
    <row r="630" spans="1:12">
      <c r="A630" s="40"/>
      <c r="K630" s="40"/>
      <c r="L630" s="40"/>
    </row>
    <row r="631" spans="1:12">
      <c r="A631" s="40"/>
      <c r="K631" s="40"/>
      <c r="L631" s="40"/>
    </row>
    <row r="632" spans="1:12">
      <c r="A632" s="40"/>
      <c r="K632" s="40"/>
      <c r="L632" s="40"/>
    </row>
    <row r="633" spans="1:12">
      <c r="A633" s="40"/>
      <c r="K633" s="40"/>
      <c r="L633" s="40"/>
    </row>
    <row r="634" spans="1:12">
      <c r="A634" s="40"/>
      <c r="K634" s="40"/>
      <c r="L634" s="40"/>
    </row>
    <row r="635" spans="1:12">
      <c r="A635" s="40"/>
      <c r="K635" s="40"/>
      <c r="L635" s="40"/>
    </row>
    <row r="636" spans="1:12">
      <c r="A636" s="40"/>
      <c r="K636" s="40"/>
      <c r="L636" s="40"/>
    </row>
    <row r="637" spans="1:12">
      <c r="A637" s="40"/>
      <c r="K637" s="40"/>
      <c r="L637" s="40"/>
    </row>
    <row r="638" spans="1:12">
      <c r="A638" s="40"/>
      <c r="K638" s="40"/>
      <c r="L638" s="40"/>
    </row>
    <row r="639" spans="1:12">
      <c r="A639" s="40"/>
      <c r="K639" s="40"/>
      <c r="L639" s="40"/>
    </row>
    <row r="640" spans="1:12">
      <c r="A640" s="40"/>
      <c r="K640" s="40"/>
      <c r="L640" s="40"/>
    </row>
    <row r="641" spans="1:12">
      <c r="A641" s="40"/>
      <c r="K641" s="40"/>
      <c r="L641" s="40"/>
    </row>
    <row r="642" spans="1:12">
      <c r="A642" s="40"/>
      <c r="K642" s="40"/>
      <c r="L642" s="40"/>
    </row>
    <row r="643" spans="1:12">
      <c r="A643" s="40"/>
      <c r="K643" s="40"/>
      <c r="L643" s="40"/>
    </row>
    <row r="644" spans="1:12">
      <c r="A644" s="40"/>
      <c r="K644" s="40"/>
      <c r="L644" s="40"/>
    </row>
    <row r="645" spans="1:12">
      <c r="A645" s="40"/>
      <c r="K645" s="40"/>
      <c r="L645" s="40"/>
    </row>
    <row r="646" spans="1:12">
      <c r="A646" s="40"/>
      <c r="K646" s="40"/>
      <c r="L646" s="40"/>
    </row>
    <row r="647" spans="1:12">
      <c r="A647" s="40"/>
      <c r="K647" s="40"/>
      <c r="L647" s="40"/>
    </row>
    <row r="648" spans="1:12">
      <c r="A648" s="40"/>
      <c r="K648" s="40"/>
      <c r="L648" s="40"/>
    </row>
    <row r="649" spans="1:12">
      <c r="A649" s="40"/>
      <c r="K649" s="40"/>
      <c r="L649" s="40"/>
    </row>
    <row r="650" spans="1:12">
      <c r="A650" s="40"/>
      <c r="K650" s="40"/>
      <c r="L650" s="40"/>
    </row>
    <row r="651" spans="1:12">
      <c r="A651" s="40"/>
      <c r="K651" s="40"/>
      <c r="L651" s="40"/>
    </row>
    <row r="652" spans="1:12">
      <c r="A652" s="40"/>
      <c r="K652" s="40"/>
      <c r="L652" s="40"/>
    </row>
    <row r="653" spans="1:12">
      <c r="A653" s="40"/>
      <c r="K653" s="40"/>
      <c r="L653" s="40"/>
    </row>
    <row r="654" spans="1:12">
      <c r="A654" s="40"/>
      <c r="K654" s="40"/>
      <c r="L654" s="40"/>
    </row>
    <row r="655" spans="1:12">
      <c r="A655" s="40"/>
      <c r="K655" s="40"/>
      <c r="L655" s="40"/>
    </row>
    <row r="656" spans="1:12">
      <c r="A656" s="40"/>
      <c r="K656" s="40"/>
      <c r="L656" s="40"/>
    </row>
    <row r="657" spans="1:12">
      <c r="A657" s="40"/>
      <c r="K657" s="40"/>
      <c r="L657" s="40"/>
    </row>
    <row r="658" spans="1:12">
      <c r="A658" s="40"/>
      <c r="K658" s="40"/>
      <c r="L658" s="40"/>
    </row>
    <row r="659" spans="1:12">
      <c r="A659" s="40"/>
      <c r="K659" s="40"/>
      <c r="L659" s="40"/>
    </row>
    <row r="660" spans="1:12">
      <c r="A660" s="40"/>
      <c r="K660" s="40"/>
      <c r="L660" s="40"/>
    </row>
    <row r="661" spans="1:12">
      <c r="A661" s="40"/>
      <c r="K661" s="40"/>
      <c r="L661" s="40"/>
    </row>
    <row r="662" spans="1:12">
      <c r="A662" s="40"/>
      <c r="K662" s="40"/>
      <c r="L662" s="40"/>
    </row>
    <row r="663" spans="1:12">
      <c r="A663" s="40"/>
      <c r="K663" s="40"/>
      <c r="L663" s="40"/>
    </row>
    <row r="664" spans="1:12">
      <c r="A664" s="40"/>
      <c r="K664" s="40"/>
      <c r="L664" s="40"/>
    </row>
    <row r="665" spans="1:12">
      <c r="A665" s="40"/>
      <c r="K665" s="40"/>
      <c r="L665" s="40"/>
    </row>
    <row r="666" spans="1:12">
      <c r="A666" s="40"/>
      <c r="K666" s="40"/>
      <c r="L666" s="40"/>
    </row>
    <row r="667" spans="1:12">
      <c r="A667" s="40"/>
      <c r="K667" s="40"/>
      <c r="L667" s="40"/>
    </row>
    <row r="668" spans="1:12">
      <c r="A668" s="40"/>
      <c r="K668" s="40"/>
      <c r="L668" s="40"/>
    </row>
    <row r="669" spans="1:12">
      <c r="A669" s="40"/>
      <c r="K669" s="40"/>
      <c r="L669" s="40"/>
    </row>
    <row r="670" spans="1:12">
      <c r="A670" s="40"/>
      <c r="K670" s="40"/>
      <c r="L670" s="40"/>
    </row>
    <row r="671" spans="1:12">
      <c r="A671" s="40"/>
      <c r="K671" s="40"/>
      <c r="L671" s="40"/>
    </row>
    <row r="672" spans="1:12">
      <c r="A672" s="40"/>
      <c r="K672" s="40"/>
      <c r="L672" s="40"/>
    </row>
    <row r="673" spans="1:12">
      <c r="A673" s="40"/>
      <c r="K673" s="40"/>
      <c r="L673" s="40"/>
    </row>
    <row r="674" spans="1:12">
      <c r="A674" s="40"/>
      <c r="K674" s="40"/>
      <c r="L674" s="40"/>
    </row>
    <row r="675" spans="1:12">
      <c r="A675" s="40"/>
      <c r="K675" s="40"/>
      <c r="L675" s="40"/>
    </row>
    <row r="676" spans="1:12">
      <c r="A676" s="40"/>
      <c r="K676" s="40"/>
      <c r="L676" s="40"/>
    </row>
    <row r="677" spans="1:12">
      <c r="A677" s="40"/>
      <c r="K677" s="40"/>
      <c r="L677" s="40"/>
    </row>
    <row r="678" spans="1:12">
      <c r="A678" s="40"/>
      <c r="K678" s="40"/>
      <c r="L678" s="40"/>
    </row>
    <row r="679" spans="1:12">
      <c r="A679" s="40"/>
      <c r="K679" s="40"/>
      <c r="L679" s="40"/>
    </row>
    <row r="680" spans="1:12">
      <c r="A680" s="40"/>
      <c r="K680" s="40"/>
      <c r="L680" s="40"/>
    </row>
    <row r="681" spans="1:12">
      <c r="A681" s="40"/>
      <c r="K681" s="40"/>
      <c r="L681" s="40"/>
    </row>
    <row r="682" spans="1:12">
      <c r="A682" s="40"/>
      <c r="K682" s="40"/>
      <c r="L682" s="40"/>
    </row>
    <row r="683" spans="1:12">
      <c r="A683" s="40"/>
      <c r="K683" s="40"/>
      <c r="L683" s="40"/>
    </row>
    <row r="684" spans="1:12">
      <c r="A684" s="40"/>
      <c r="K684" s="40"/>
      <c r="L684" s="40"/>
    </row>
    <row r="685" spans="1:12">
      <c r="A685" s="40"/>
      <c r="K685" s="40"/>
      <c r="L685" s="40"/>
    </row>
    <row r="686" spans="1:12">
      <c r="A686" s="40"/>
      <c r="K686" s="40"/>
      <c r="L686" s="40"/>
    </row>
    <row r="687" spans="1:12">
      <c r="A687" s="40"/>
      <c r="K687" s="40"/>
      <c r="L687" s="40"/>
    </row>
    <row r="688" spans="1:12">
      <c r="A688" s="40"/>
      <c r="K688" s="40"/>
      <c r="L688" s="40"/>
    </row>
    <row r="689" spans="1:12">
      <c r="A689" s="40"/>
      <c r="K689" s="40"/>
      <c r="L689" s="40"/>
    </row>
    <row r="690" spans="1:12">
      <c r="A690" s="40"/>
      <c r="K690" s="40"/>
      <c r="L690" s="40"/>
    </row>
    <row r="691" spans="1:12">
      <c r="A691" s="40"/>
      <c r="K691" s="40"/>
      <c r="L691" s="40"/>
    </row>
    <row r="692" spans="1:12">
      <c r="A692" s="40"/>
      <c r="K692" s="40"/>
      <c r="L692" s="40"/>
    </row>
    <row r="693" spans="1:12">
      <c r="A693" s="40"/>
      <c r="K693" s="40"/>
      <c r="L693" s="40"/>
    </row>
    <row r="694" spans="1:12">
      <c r="A694" s="40"/>
      <c r="K694" s="40"/>
      <c r="L694" s="40"/>
    </row>
    <row r="695" spans="1:12">
      <c r="A695" s="40"/>
      <c r="K695" s="40"/>
      <c r="L695" s="40"/>
    </row>
    <row r="696" spans="1:12">
      <c r="A696" s="40"/>
      <c r="K696" s="40"/>
      <c r="L696" s="40"/>
    </row>
    <row r="697" spans="1:12">
      <c r="A697" s="40"/>
      <c r="K697" s="40"/>
      <c r="L697" s="40"/>
    </row>
    <row r="698" spans="1:12">
      <c r="A698" s="40"/>
      <c r="K698" s="40"/>
      <c r="L698" s="40"/>
    </row>
    <row r="699" spans="1:12">
      <c r="A699" s="40"/>
      <c r="K699" s="40"/>
      <c r="L699" s="40"/>
    </row>
    <row r="700" spans="1:12">
      <c r="A700" s="40"/>
      <c r="K700" s="40"/>
      <c r="L700" s="40"/>
    </row>
    <row r="701" spans="1:12">
      <c r="A701" s="40"/>
      <c r="K701" s="40"/>
      <c r="L701" s="40"/>
    </row>
    <row r="702" spans="1:12">
      <c r="A702" s="40"/>
      <c r="K702" s="40"/>
      <c r="L702" s="40"/>
    </row>
    <row r="703" spans="1:12">
      <c r="A703" s="40"/>
      <c r="K703" s="40"/>
      <c r="L703" s="40"/>
    </row>
    <row r="704" spans="1:12">
      <c r="A704" s="40"/>
      <c r="K704" s="40"/>
      <c r="L704" s="40"/>
    </row>
    <row r="705" spans="1:12">
      <c r="A705" s="40"/>
      <c r="K705" s="40"/>
      <c r="L705" s="40"/>
    </row>
    <row r="706" spans="1:12">
      <c r="A706" s="40"/>
      <c r="K706" s="40"/>
      <c r="L706" s="40"/>
    </row>
    <row r="707" spans="1:12">
      <c r="A707" s="40"/>
      <c r="K707" s="40"/>
      <c r="L707" s="40"/>
    </row>
    <row r="708" spans="1:12">
      <c r="A708" s="40"/>
      <c r="K708" s="40"/>
      <c r="L708" s="40"/>
    </row>
    <row r="709" spans="1:12">
      <c r="A709" s="40"/>
      <c r="K709" s="40"/>
      <c r="L709" s="40"/>
    </row>
    <row r="710" spans="1:12">
      <c r="A710" s="40"/>
      <c r="K710" s="40"/>
      <c r="L710" s="40"/>
    </row>
    <row r="711" spans="1:12">
      <c r="A711" s="40"/>
      <c r="K711" s="40"/>
      <c r="L711" s="40"/>
    </row>
    <row r="712" spans="1:12">
      <c r="A712" s="40"/>
      <c r="K712" s="40"/>
      <c r="L712" s="40"/>
    </row>
    <row r="713" spans="1:12">
      <c r="A713" s="40"/>
      <c r="K713" s="40"/>
      <c r="L713" s="40"/>
    </row>
    <row r="714" spans="1:12">
      <c r="A714" s="40"/>
      <c r="K714" s="40"/>
      <c r="L714" s="40"/>
    </row>
    <row r="715" spans="1:12">
      <c r="A715" s="40"/>
      <c r="K715" s="40"/>
      <c r="L715" s="40"/>
    </row>
    <row r="716" spans="1:12">
      <c r="A716" s="40"/>
      <c r="K716" s="40"/>
      <c r="L716" s="40"/>
    </row>
    <row r="717" spans="1:12">
      <c r="A717" s="40"/>
      <c r="K717" s="40"/>
      <c r="L717" s="40"/>
    </row>
    <row r="718" spans="1:12">
      <c r="A718" s="40"/>
      <c r="K718" s="40"/>
      <c r="L718" s="40"/>
    </row>
    <row r="719" spans="1:12">
      <c r="A719" s="40"/>
      <c r="K719" s="40"/>
      <c r="L719" s="40"/>
    </row>
    <row r="720" spans="1:12">
      <c r="A720" s="40"/>
      <c r="K720" s="40"/>
      <c r="L720" s="40"/>
    </row>
    <row r="721" spans="1:12">
      <c r="A721" s="40"/>
      <c r="K721" s="40"/>
      <c r="L721" s="40"/>
    </row>
    <row r="722" spans="1:12">
      <c r="A722" s="40"/>
      <c r="K722" s="40"/>
      <c r="L722" s="40"/>
    </row>
    <row r="723" spans="1:12">
      <c r="A723" s="40"/>
      <c r="K723" s="40"/>
      <c r="L723" s="40"/>
    </row>
    <row r="724" spans="1:12">
      <c r="A724" s="40"/>
      <c r="K724" s="40"/>
      <c r="L724" s="40"/>
    </row>
    <row r="725" spans="1:12">
      <c r="A725" s="40"/>
      <c r="K725" s="40"/>
      <c r="L725" s="40"/>
    </row>
    <row r="726" spans="1:12">
      <c r="A726" s="40"/>
      <c r="K726" s="40"/>
      <c r="L726" s="40"/>
    </row>
    <row r="727" spans="1:12">
      <c r="A727" s="40"/>
      <c r="K727" s="40"/>
      <c r="L727" s="40"/>
    </row>
    <row r="728" spans="1:12">
      <c r="A728" s="40"/>
      <c r="K728" s="40"/>
      <c r="L728" s="40"/>
    </row>
    <row r="729" spans="1:12">
      <c r="A729" s="40"/>
      <c r="K729" s="40"/>
      <c r="L729" s="40"/>
    </row>
    <row r="730" spans="1:12">
      <c r="A730" s="40"/>
      <c r="K730" s="40"/>
      <c r="L730" s="40"/>
    </row>
    <row r="731" spans="1:12">
      <c r="A731" s="40"/>
      <c r="K731" s="40"/>
      <c r="L731" s="40"/>
    </row>
    <row r="732" spans="1:12">
      <c r="A732" s="40"/>
      <c r="K732" s="40"/>
      <c r="L732" s="40"/>
    </row>
    <row r="733" spans="1:12">
      <c r="A733" s="40"/>
      <c r="K733" s="40"/>
      <c r="L733" s="40"/>
    </row>
    <row r="734" spans="1:12">
      <c r="A734" s="40"/>
      <c r="K734" s="40"/>
      <c r="L734" s="40"/>
    </row>
    <row r="735" spans="1:12">
      <c r="A735" s="40"/>
      <c r="K735" s="40"/>
      <c r="L735" s="40"/>
    </row>
    <row r="736" spans="1:12">
      <c r="A736" s="40"/>
      <c r="K736" s="40"/>
      <c r="L736" s="40"/>
    </row>
    <row r="737" spans="1:12">
      <c r="A737" s="40"/>
      <c r="K737" s="40"/>
      <c r="L737" s="40"/>
    </row>
    <row r="738" spans="1:12">
      <c r="A738" s="40"/>
      <c r="K738" s="40"/>
      <c r="L738" s="40"/>
    </row>
    <row r="739" spans="1:12">
      <c r="A739" s="40"/>
      <c r="K739" s="40"/>
      <c r="L739" s="40"/>
    </row>
    <row r="740" spans="1:12">
      <c r="A740" s="40"/>
      <c r="K740" s="40"/>
      <c r="L740" s="40"/>
    </row>
    <row r="741" spans="1:12">
      <c r="A741" s="40"/>
      <c r="K741" s="40"/>
      <c r="L741" s="40"/>
    </row>
    <row r="742" spans="1:12">
      <c r="A742" s="40"/>
      <c r="K742" s="40"/>
      <c r="L742" s="40"/>
    </row>
    <row r="743" spans="1:12">
      <c r="A743" s="40"/>
      <c r="K743" s="40"/>
      <c r="L743" s="40"/>
    </row>
    <row r="744" spans="1:12">
      <c r="A744" s="40"/>
      <c r="K744" s="40"/>
      <c r="L744" s="40"/>
    </row>
    <row r="745" spans="1:12">
      <c r="A745" s="40"/>
      <c r="K745" s="40"/>
      <c r="L745" s="40"/>
    </row>
    <row r="746" spans="1:12">
      <c r="A746" s="40"/>
      <c r="K746" s="40"/>
      <c r="L746" s="40"/>
    </row>
    <row r="747" spans="1:12">
      <c r="A747" s="40"/>
      <c r="K747" s="40"/>
      <c r="L747" s="40"/>
    </row>
    <row r="748" spans="1:12">
      <c r="A748" s="40"/>
      <c r="K748" s="40"/>
      <c r="L748" s="40"/>
    </row>
    <row r="749" spans="1:12">
      <c r="A749" s="40"/>
      <c r="K749" s="40"/>
      <c r="L749" s="40"/>
    </row>
    <row r="750" spans="1:12">
      <c r="A750" s="40"/>
      <c r="K750" s="40"/>
      <c r="L750" s="40"/>
    </row>
    <row r="751" spans="1:12">
      <c r="A751" s="40"/>
      <c r="K751" s="40"/>
      <c r="L751" s="40"/>
    </row>
    <row r="752" spans="1:12">
      <c r="A752" s="40"/>
      <c r="K752" s="40"/>
      <c r="L752" s="40"/>
    </row>
    <row r="753" spans="1:12">
      <c r="A753" s="40"/>
      <c r="K753" s="40"/>
      <c r="L753" s="40"/>
    </row>
    <row r="754" spans="1:12">
      <c r="A754" s="40"/>
      <c r="K754" s="40"/>
      <c r="L754" s="40"/>
    </row>
    <row r="755" spans="1:12">
      <c r="A755" s="40"/>
      <c r="K755" s="40"/>
      <c r="L755" s="40"/>
    </row>
    <row r="756" spans="1:12">
      <c r="A756" s="40"/>
      <c r="K756" s="40"/>
      <c r="L756" s="40"/>
    </row>
    <row r="757" spans="1:12">
      <c r="A757" s="40"/>
      <c r="K757" s="40"/>
      <c r="L757" s="40"/>
    </row>
    <row r="758" spans="1:12">
      <c r="A758" s="40"/>
      <c r="K758" s="40"/>
      <c r="L758" s="40"/>
    </row>
    <row r="759" spans="1:12">
      <c r="A759" s="40"/>
      <c r="K759" s="40"/>
      <c r="L759" s="40"/>
    </row>
    <row r="760" spans="1:12">
      <c r="A760" s="40"/>
      <c r="K760" s="40"/>
      <c r="L760" s="40"/>
    </row>
    <row r="761" spans="1:12">
      <c r="A761" s="40"/>
      <c r="K761" s="40"/>
      <c r="L761" s="40"/>
    </row>
    <row r="762" spans="1:12">
      <c r="A762" s="40"/>
      <c r="K762" s="40"/>
      <c r="L762" s="40"/>
    </row>
    <row r="763" spans="1:12">
      <c r="A763" s="40"/>
      <c r="K763" s="40"/>
      <c r="L763" s="40"/>
    </row>
    <row r="764" spans="1:12">
      <c r="A764" s="40"/>
      <c r="K764" s="40"/>
      <c r="L764" s="40"/>
    </row>
    <row r="765" spans="1:12">
      <c r="A765" s="40"/>
      <c r="K765" s="40"/>
      <c r="L765" s="40"/>
    </row>
    <row r="766" spans="1:12">
      <c r="A766" s="40"/>
      <c r="K766" s="40"/>
      <c r="L766" s="40"/>
    </row>
    <row r="767" spans="1:12">
      <c r="A767" s="40"/>
      <c r="K767" s="40"/>
      <c r="L767" s="40"/>
    </row>
    <row r="768" spans="1:12">
      <c r="A768" s="40"/>
      <c r="K768" s="40"/>
      <c r="L768" s="40"/>
    </row>
    <row r="769" spans="1:12">
      <c r="A769" s="40"/>
      <c r="K769" s="40"/>
      <c r="L769" s="40"/>
    </row>
    <row r="770" spans="1:12">
      <c r="A770" s="40"/>
      <c r="K770" s="40"/>
      <c r="L770" s="40"/>
    </row>
    <row r="771" spans="1:12">
      <c r="A771" s="40"/>
      <c r="K771" s="40"/>
      <c r="L771" s="40"/>
    </row>
    <row r="772" spans="1:12">
      <c r="A772" s="40"/>
      <c r="K772" s="40"/>
      <c r="L772" s="40"/>
    </row>
    <row r="773" spans="1:12">
      <c r="A773" s="40"/>
      <c r="K773" s="40"/>
      <c r="L773" s="40"/>
    </row>
    <row r="774" spans="1:12">
      <c r="A774" s="40"/>
      <c r="K774" s="40"/>
      <c r="L774" s="40"/>
    </row>
    <row r="775" spans="1:12">
      <c r="A775" s="40"/>
      <c r="K775" s="40"/>
      <c r="L775" s="40"/>
    </row>
    <row r="776" spans="1:12">
      <c r="A776" s="40"/>
      <c r="K776" s="40"/>
      <c r="L776" s="40"/>
    </row>
    <row r="777" spans="1:12">
      <c r="A777" s="40"/>
      <c r="K777" s="40"/>
      <c r="L777" s="40"/>
    </row>
    <row r="778" spans="1:12">
      <c r="A778" s="40"/>
      <c r="K778" s="40"/>
      <c r="L778" s="40"/>
    </row>
    <row r="779" spans="1:12">
      <c r="A779" s="40"/>
      <c r="K779" s="40"/>
      <c r="L779" s="40"/>
    </row>
    <row r="780" spans="1:12">
      <c r="A780" s="40"/>
      <c r="K780" s="40"/>
      <c r="L780" s="40"/>
    </row>
    <row r="781" spans="1:12">
      <c r="A781" s="40"/>
      <c r="K781" s="40"/>
      <c r="L781" s="40"/>
    </row>
    <row r="782" spans="1:12">
      <c r="A782" s="40"/>
      <c r="K782" s="40"/>
      <c r="L782" s="40"/>
    </row>
    <row r="783" spans="1:12">
      <c r="A783" s="40"/>
      <c r="K783" s="40"/>
      <c r="L783" s="40"/>
    </row>
    <row r="784" spans="1:12">
      <c r="A784" s="40"/>
      <c r="K784" s="40"/>
      <c r="L784" s="40"/>
    </row>
    <row r="785" spans="1:12">
      <c r="A785" s="40"/>
      <c r="K785" s="40"/>
      <c r="L785" s="40"/>
    </row>
    <row r="786" spans="1:12">
      <c r="A786" s="40"/>
      <c r="K786" s="40"/>
      <c r="L786" s="40"/>
    </row>
    <row r="787" spans="1:12">
      <c r="A787" s="40"/>
      <c r="K787" s="40"/>
      <c r="L787" s="40"/>
    </row>
    <row r="788" spans="1:12">
      <c r="A788" s="40"/>
      <c r="K788" s="40"/>
      <c r="L788" s="40"/>
    </row>
    <row r="789" spans="1:12">
      <c r="A789" s="40"/>
      <c r="K789" s="40"/>
      <c r="L789" s="40"/>
    </row>
    <row r="790" spans="1:12">
      <c r="A790" s="40"/>
      <c r="K790" s="40"/>
      <c r="L790" s="40"/>
    </row>
    <row r="791" spans="1:12">
      <c r="A791" s="40"/>
      <c r="K791" s="40"/>
      <c r="L791" s="40"/>
    </row>
    <row r="792" spans="1:12">
      <c r="A792" s="40"/>
      <c r="K792" s="40"/>
      <c r="L792" s="40"/>
    </row>
    <row r="793" spans="1:12">
      <c r="A793" s="40"/>
      <c r="K793" s="40"/>
      <c r="L793" s="40"/>
    </row>
    <row r="794" spans="1:12">
      <c r="A794" s="40"/>
      <c r="K794" s="40"/>
      <c r="L794" s="40"/>
    </row>
    <row r="795" spans="1:12">
      <c r="A795" s="40"/>
      <c r="K795" s="40"/>
      <c r="L795" s="40"/>
    </row>
    <row r="796" spans="1:12">
      <c r="A796" s="40"/>
      <c r="K796" s="40"/>
      <c r="L796" s="40"/>
    </row>
    <row r="797" spans="1:12">
      <c r="A797" s="40"/>
      <c r="K797" s="40"/>
      <c r="L797" s="40"/>
    </row>
    <row r="798" spans="1:12">
      <c r="A798" s="40"/>
      <c r="K798" s="40"/>
      <c r="L798" s="40"/>
    </row>
    <row r="799" spans="1:12">
      <c r="A799" s="40"/>
      <c r="K799" s="40"/>
      <c r="L799" s="40"/>
    </row>
    <row r="800" spans="1:12">
      <c r="A800" s="40"/>
      <c r="K800" s="40"/>
      <c r="L800" s="40"/>
    </row>
    <row r="801" spans="1:12">
      <c r="A801" s="40"/>
      <c r="K801" s="40"/>
      <c r="L801" s="40"/>
    </row>
    <row r="802" spans="1:12">
      <c r="A802" s="40"/>
      <c r="K802" s="40"/>
      <c r="L802" s="40"/>
    </row>
    <row r="803" spans="1:12">
      <c r="A803" s="40"/>
      <c r="K803" s="40"/>
      <c r="L803" s="40"/>
    </row>
    <row r="804" spans="1:12">
      <c r="A804" s="40"/>
      <c r="K804" s="40"/>
      <c r="L804" s="40"/>
    </row>
    <row r="805" spans="1:12">
      <c r="A805" s="40"/>
      <c r="K805" s="40"/>
      <c r="L805" s="40"/>
    </row>
    <row r="806" spans="1:12">
      <c r="A806" s="40"/>
      <c r="K806" s="40"/>
      <c r="L806" s="40"/>
    </row>
    <row r="807" spans="1:12">
      <c r="A807" s="40"/>
      <c r="K807" s="40"/>
      <c r="L807" s="40"/>
    </row>
    <row r="808" spans="1:12">
      <c r="A808" s="40"/>
      <c r="K808" s="40"/>
      <c r="L808" s="40"/>
    </row>
    <row r="809" spans="1:12">
      <c r="A809" s="40"/>
      <c r="K809" s="40"/>
      <c r="L809" s="40"/>
    </row>
    <row r="810" spans="1:12">
      <c r="A810" s="40"/>
      <c r="K810" s="40"/>
      <c r="L810" s="40"/>
    </row>
    <row r="811" spans="1:12">
      <c r="A811" s="40"/>
      <c r="K811" s="40"/>
      <c r="L811" s="40"/>
    </row>
    <row r="812" spans="1:12">
      <c r="A812" s="40"/>
      <c r="K812" s="40"/>
      <c r="L812" s="40"/>
    </row>
    <row r="813" spans="1:12">
      <c r="A813" s="40"/>
      <c r="K813" s="40"/>
      <c r="L813" s="40"/>
    </row>
    <row r="814" spans="1:12">
      <c r="A814" s="40"/>
      <c r="K814" s="40"/>
      <c r="L814" s="40"/>
    </row>
    <row r="815" spans="1:12">
      <c r="A815" s="40"/>
      <c r="K815" s="40"/>
      <c r="L815" s="40"/>
    </row>
    <row r="816" spans="1:12">
      <c r="A816" s="40"/>
      <c r="K816" s="40"/>
      <c r="L816" s="40"/>
    </row>
    <row r="817" spans="1:12">
      <c r="A817" s="40"/>
      <c r="K817" s="40"/>
      <c r="L817" s="40"/>
    </row>
    <row r="818" spans="1:12">
      <c r="A818" s="40"/>
      <c r="K818" s="40"/>
      <c r="L818" s="40"/>
    </row>
    <row r="819" spans="1:12">
      <c r="A819" s="40"/>
      <c r="K819" s="40"/>
      <c r="L819" s="40"/>
    </row>
    <row r="820" spans="1:12">
      <c r="A820" s="40"/>
      <c r="K820" s="40"/>
      <c r="L820" s="40"/>
    </row>
    <row r="821" spans="1:12">
      <c r="A821" s="40"/>
      <c r="K821" s="40"/>
      <c r="L821" s="40"/>
    </row>
    <row r="822" spans="1:12">
      <c r="A822" s="40"/>
      <c r="K822" s="40"/>
      <c r="L822" s="40"/>
    </row>
    <row r="823" spans="1:12">
      <c r="A823" s="40"/>
      <c r="K823" s="40"/>
      <c r="L823" s="40"/>
    </row>
    <row r="824" spans="1:12">
      <c r="A824" s="40"/>
      <c r="K824" s="40"/>
      <c r="L824" s="40"/>
    </row>
    <row r="825" spans="1:12">
      <c r="A825" s="40"/>
      <c r="K825" s="40"/>
      <c r="L825" s="40"/>
    </row>
    <row r="826" spans="1:12">
      <c r="A826" s="40"/>
      <c r="K826" s="40"/>
      <c r="L826" s="40"/>
    </row>
    <row r="827" spans="1:12">
      <c r="A827" s="40"/>
      <c r="K827" s="40"/>
      <c r="L827" s="40"/>
    </row>
    <row r="828" spans="1:12">
      <c r="A828" s="40"/>
      <c r="K828" s="40"/>
      <c r="L828" s="40"/>
    </row>
    <row r="829" spans="1:12">
      <c r="A829" s="40"/>
      <c r="K829" s="40"/>
      <c r="L829" s="40"/>
    </row>
    <row r="830" spans="1:12">
      <c r="A830" s="40"/>
      <c r="K830" s="40"/>
      <c r="L830" s="40"/>
    </row>
    <row r="831" spans="1:12">
      <c r="A831" s="40"/>
      <c r="K831" s="40"/>
      <c r="L831" s="40"/>
    </row>
    <row r="832" spans="1:12">
      <c r="A832" s="40"/>
      <c r="K832" s="40"/>
      <c r="L832" s="40"/>
    </row>
    <row r="833" spans="1:12">
      <c r="A833" s="40"/>
      <c r="K833" s="40"/>
      <c r="L833" s="40"/>
    </row>
    <row r="834" spans="1:12">
      <c r="A834" s="40"/>
      <c r="K834" s="40"/>
      <c r="L834" s="40"/>
    </row>
    <row r="835" spans="1:12">
      <c r="A835" s="40"/>
      <c r="K835" s="40"/>
      <c r="L835" s="40"/>
    </row>
    <row r="836" spans="1:12">
      <c r="A836" s="40"/>
      <c r="K836" s="40"/>
      <c r="L836" s="40"/>
    </row>
    <row r="837" spans="1:12">
      <c r="A837" s="40"/>
      <c r="K837" s="40"/>
      <c r="L837" s="40"/>
    </row>
    <row r="838" spans="1:12">
      <c r="A838" s="40"/>
      <c r="K838" s="40"/>
      <c r="L838" s="40"/>
    </row>
    <row r="839" spans="1:12">
      <c r="A839" s="40"/>
      <c r="K839" s="40"/>
      <c r="L839" s="40"/>
    </row>
    <row r="840" spans="1:12">
      <c r="A840" s="40"/>
      <c r="K840" s="40"/>
      <c r="L840" s="40"/>
    </row>
    <row r="841" spans="1:12">
      <c r="A841" s="40"/>
      <c r="K841" s="40"/>
      <c r="L841" s="40"/>
    </row>
    <row r="842" spans="1:12">
      <c r="A842" s="40"/>
      <c r="K842" s="40"/>
      <c r="L842" s="40"/>
    </row>
    <row r="843" spans="1:12">
      <c r="A843" s="40"/>
      <c r="K843" s="40"/>
      <c r="L843" s="40"/>
    </row>
    <row r="844" spans="1:12">
      <c r="A844" s="40"/>
      <c r="K844" s="40"/>
      <c r="L844" s="40"/>
    </row>
    <row r="845" spans="1:12">
      <c r="A845" s="40"/>
      <c r="K845" s="40"/>
      <c r="L845" s="40"/>
    </row>
    <row r="846" spans="1:12">
      <c r="A846" s="40"/>
      <c r="K846" s="40"/>
      <c r="L846" s="40"/>
    </row>
    <row r="847" spans="1:12">
      <c r="A847" s="40"/>
      <c r="K847" s="40"/>
      <c r="L847" s="40"/>
    </row>
    <row r="848" spans="1:12">
      <c r="A848" s="40"/>
      <c r="K848" s="40"/>
      <c r="L848" s="40"/>
    </row>
    <row r="849" spans="1:12">
      <c r="A849" s="40"/>
      <c r="K849" s="40"/>
      <c r="L849" s="40"/>
    </row>
    <row r="850" spans="1:12">
      <c r="A850" s="40"/>
      <c r="K850" s="40"/>
      <c r="L850" s="40"/>
    </row>
    <row r="851" spans="1:12">
      <c r="A851" s="40"/>
      <c r="K851" s="40"/>
      <c r="L851" s="40"/>
    </row>
    <row r="852" spans="1:12">
      <c r="A852" s="40"/>
      <c r="K852" s="40"/>
      <c r="L852" s="40"/>
    </row>
    <row r="853" spans="1:12">
      <c r="A853" s="40"/>
      <c r="K853" s="40"/>
      <c r="L853" s="40"/>
    </row>
    <row r="854" spans="1:12">
      <c r="A854" s="40"/>
      <c r="K854" s="40"/>
      <c r="L854" s="40"/>
    </row>
    <row r="855" spans="1:12">
      <c r="A855" s="40"/>
      <c r="K855" s="40"/>
      <c r="L855" s="40"/>
    </row>
    <row r="856" spans="1:12">
      <c r="A856" s="40"/>
      <c r="K856" s="40"/>
      <c r="L856" s="40"/>
    </row>
    <row r="857" spans="1:12">
      <c r="A857" s="40"/>
      <c r="K857" s="40"/>
      <c r="L857" s="40"/>
    </row>
    <row r="858" spans="1:12">
      <c r="A858" s="40"/>
      <c r="K858" s="40"/>
      <c r="L858" s="40"/>
    </row>
    <row r="859" spans="1:12">
      <c r="A859" s="40"/>
      <c r="K859" s="40"/>
      <c r="L859" s="40"/>
    </row>
    <row r="860" spans="1:12">
      <c r="A860" s="40"/>
      <c r="K860" s="40"/>
      <c r="L860" s="40"/>
    </row>
    <row r="861" spans="1:12">
      <c r="A861" s="40"/>
      <c r="K861" s="40"/>
      <c r="L861" s="40"/>
    </row>
    <row r="862" spans="1:12">
      <c r="A862" s="40"/>
      <c r="K862" s="40"/>
      <c r="L862" s="40"/>
    </row>
    <row r="863" spans="1:12">
      <c r="A863" s="40"/>
      <c r="K863" s="40"/>
      <c r="L863" s="40"/>
    </row>
    <row r="864" spans="1:12">
      <c r="A864" s="40"/>
      <c r="K864" s="40"/>
      <c r="L864" s="40"/>
    </row>
    <row r="865" spans="1:12">
      <c r="A865" s="40"/>
      <c r="K865" s="40"/>
      <c r="L865" s="40"/>
    </row>
    <row r="866" spans="1:12">
      <c r="A866" s="40"/>
      <c r="K866" s="40"/>
      <c r="L866" s="40"/>
    </row>
    <row r="867" spans="1:12">
      <c r="A867" s="40"/>
      <c r="K867" s="40"/>
      <c r="L867" s="40"/>
    </row>
    <row r="868" spans="1:12">
      <c r="A868" s="40"/>
      <c r="K868" s="40"/>
      <c r="L868" s="40"/>
    </row>
    <row r="869" spans="1:12">
      <c r="A869" s="40"/>
      <c r="K869" s="40"/>
      <c r="L869" s="40"/>
    </row>
    <row r="870" spans="1:12">
      <c r="A870" s="40"/>
      <c r="K870" s="40"/>
      <c r="L870" s="40"/>
    </row>
    <row r="871" spans="1:12">
      <c r="A871" s="40"/>
      <c r="K871" s="40"/>
      <c r="L871" s="40"/>
    </row>
    <row r="872" spans="1:12">
      <c r="A872" s="40"/>
      <c r="K872" s="40"/>
      <c r="L872" s="40"/>
    </row>
    <row r="873" spans="1:12">
      <c r="A873" s="40"/>
      <c r="K873" s="40"/>
      <c r="L873" s="40"/>
    </row>
    <row r="874" spans="1:12">
      <c r="A874" s="40"/>
      <c r="K874" s="40"/>
      <c r="L874" s="40"/>
    </row>
    <row r="875" spans="1:12">
      <c r="A875" s="40"/>
      <c r="K875" s="40"/>
      <c r="L875" s="40"/>
    </row>
    <row r="876" spans="1:12">
      <c r="A876" s="40"/>
      <c r="K876" s="40"/>
      <c r="L876" s="40"/>
    </row>
    <row r="877" spans="1:12">
      <c r="A877" s="40"/>
      <c r="K877" s="40"/>
      <c r="L877" s="40"/>
    </row>
    <row r="878" spans="1:12">
      <c r="A878" s="40"/>
      <c r="K878" s="40"/>
      <c r="L878" s="40"/>
    </row>
    <row r="879" spans="1:12">
      <c r="A879" s="40"/>
      <c r="K879" s="40"/>
      <c r="L879" s="40"/>
    </row>
    <row r="880" spans="1:12">
      <c r="A880" s="40"/>
      <c r="K880" s="40"/>
      <c r="L880" s="40"/>
    </row>
    <row r="881" spans="1:12">
      <c r="A881" s="40"/>
      <c r="K881" s="40"/>
      <c r="L881" s="40"/>
    </row>
    <row r="882" spans="1:12">
      <c r="A882" s="40"/>
      <c r="K882" s="40"/>
      <c r="L882" s="40"/>
    </row>
    <row r="883" spans="1:12">
      <c r="A883" s="40"/>
      <c r="K883" s="40"/>
      <c r="L883" s="40"/>
    </row>
    <row r="884" spans="1:12">
      <c r="A884" s="40"/>
      <c r="K884" s="40"/>
      <c r="L884" s="40"/>
    </row>
    <row r="885" spans="1:12">
      <c r="A885" s="40"/>
      <c r="K885" s="40"/>
      <c r="L885" s="40"/>
    </row>
    <row r="886" spans="1:12">
      <c r="A886" s="40"/>
      <c r="K886" s="40"/>
      <c r="L886" s="40"/>
    </row>
    <row r="887" spans="1:12">
      <c r="A887" s="40"/>
      <c r="K887" s="40"/>
      <c r="L887" s="40"/>
    </row>
    <row r="888" spans="1:12">
      <c r="A888" s="40"/>
      <c r="K888" s="40"/>
      <c r="L888" s="40"/>
    </row>
    <row r="889" spans="1:12">
      <c r="A889" s="40"/>
      <c r="K889" s="40"/>
      <c r="L889" s="40"/>
    </row>
    <row r="890" spans="1:12">
      <c r="A890" s="40"/>
      <c r="K890" s="40"/>
      <c r="L890" s="40"/>
    </row>
    <row r="891" spans="1:12">
      <c r="A891" s="40"/>
      <c r="K891" s="40"/>
      <c r="L891" s="40"/>
    </row>
    <row r="892" spans="1:12">
      <c r="A892" s="40"/>
      <c r="K892" s="40"/>
      <c r="L892" s="40"/>
    </row>
    <row r="893" spans="1:12">
      <c r="A893" s="40"/>
      <c r="K893" s="40"/>
      <c r="L893" s="40"/>
    </row>
    <row r="894" spans="1:12">
      <c r="A894" s="40"/>
      <c r="K894" s="40"/>
      <c r="L894" s="40"/>
    </row>
    <row r="895" spans="1:12">
      <c r="A895" s="40"/>
      <c r="K895" s="40"/>
      <c r="L895" s="40"/>
    </row>
    <row r="896" spans="1:12">
      <c r="A896" s="40"/>
      <c r="K896" s="40"/>
      <c r="L896" s="40"/>
    </row>
    <row r="897" spans="1:12">
      <c r="A897" s="40"/>
      <c r="K897" s="40"/>
      <c r="L897" s="40"/>
    </row>
    <row r="898" spans="1:12">
      <c r="A898" s="40"/>
      <c r="K898" s="40"/>
      <c r="L898" s="40"/>
    </row>
    <row r="899" spans="1:12">
      <c r="A899" s="40"/>
      <c r="K899" s="40"/>
      <c r="L899" s="40"/>
    </row>
    <row r="900" spans="1:12">
      <c r="A900" s="40"/>
      <c r="K900" s="40"/>
      <c r="L900" s="40"/>
    </row>
    <row r="901" spans="1:12">
      <c r="A901" s="40"/>
      <c r="K901" s="40"/>
      <c r="L901" s="40"/>
    </row>
    <row r="902" spans="1:12">
      <c r="A902" s="40"/>
      <c r="K902" s="40"/>
      <c r="L902" s="40"/>
    </row>
    <row r="903" spans="1:12">
      <c r="A903" s="40"/>
      <c r="K903" s="40"/>
      <c r="L903" s="40"/>
    </row>
    <row r="904" spans="1:12">
      <c r="A904" s="40"/>
      <c r="K904" s="40"/>
      <c r="L904" s="40"/>
    </row>
    <row r="905" spans="1:12">
      <c r="A905" s="40"/>
      <c r="K905" s="40"/>
      <c r="L905" s="40"/>
    </row>
    <row r="906" spans="1:12">
      <c r="A906" s="40"/>
      <c r="K906" s="40"/>
      <c r="L906" s="40"/>
    </row>
    <row r="907" spans="1:12">
      <c r="A907" s="40"/>
      <c r="K907" s="40"/>
      <c r="L907" s="40"/>
    </row>
    <row r="908" spans="1:12">
      <c r="A908" s="40"/>
      <c r="K908" s="40"/>
      <c r="L908" s="40"/>
    </row>
    <row r="909" spans="1:12">
      <c r="A909" s="40"/>
      <c r="K909" s="40"/>
      <c r="L909" s="40"/>
    </row>
    <row r="910" spans="1:12">
      <c r="A910" s="40"/>
      <c r="K910" s="40"/>
      <c r="L910" s="40"/>
    </row>
    <row r="911" spans="1:12">
      <c r="A911" s="40"/>
      <c r="K911" s="40"/>
      <c r="L911" s="40"/>
    </row>
    <row r="912" spans="1:12">
      <c r="A912" s="40"/>
      <c r="K912" s="40"/>
      <c r="L912" s="40"/>
    </row>
    <row r="913" spans="1:12">
      <c r="A913" s="40"/>
      <c r="K913" s="40"/>
      <c r="L913" s="40"/>
    </row>
    <row r="914" spans="1:12">
      <c r="A914" s="40"/>
      <c r="K914" s="40"/>
      <c r="L914" s="40"/>
    </row>
    <row r="915" spans="1:12">
      <c r="A915" s="40"/>
      <c r="K915" s="40"/>
      <c r="L915" s="40"/>
    </row>
    <row r="916" spans="1:12">
      <c r="A916" s="40"/>
      <c r="K916" s="40"/>
      <c r="L916" s="40"/>
    </row>
    <row r="917" spans="1:12">
      <c r="A917" s="40"/>
      <c r="K917" s="40"/>
      <c r="L917" s="40"/>
    </row>
    <row r="918" spans="1:12">
      <c r="A918" s="40"/>
      <c r="K918" s="40"/>
      <c r="L918" s="40"/>
    </row>
    <row r="919" spans="1:12">
      <c r="A919" s="40"/>
      <c r="K919" s="40"/>
      <c r="L919" s="40"/>
    </row>
    <row r="920" spans="1:12">
      <c r="A920" s="40"/>
      <c r="K920" s="40"/>
      <c r="L920" s="40"/>
    </row>
    <row r="921" spans="1:12">
      <c r="A921" s="40"/>
      <c r="K921" s="40"/>
      <c r="L921" s="40"/>
    </row>
    <row r="922" spans="1:12">
      <c r="A922" s="40"/>
      <c r="K922" s="40"/>
      <c r="L922" s="40"/>
    </row>
    <row r="923" spans="1:12">
      <c r="A923" s="40"/>
      <c r="K923" s="40"/>
      <c r="L923" s="40"/>
    </row>
    <row r="924" spans="1:12">
      <c r="A924" s="40"/>
      <c r="K924" s="40"/>
      <c r="L924" s="40"/>
    </row>
    <row r="925" spans="1:12">
      <c r="A925" s="40"/>
      <c r="K925" s="40"/>
      <c r="L925" s="40"/>
    </row>
    <row r="926" spans="1:12">
      <c r="A926" s="40"/>
      <c r="K926" s="40"/>
      <c r="L926" s="40"/>
    </row>
    <row r="927" spans="1:12">
      <c r="A927" s="40"/>
      <c r="K927" s="40"/>
      <c r="L927" s="40"/>
    </row>
    <row r="928" spans="1:12">
      <c r="A928" s="40"/>
      <c r="K928" s="40"/>
      <c r="L928" s="40"/>
    </row>
    <row r="929" spans="1:12">
      <c r="A929" s="40"/>
      <c r="K929" s="40"/>
      <c r="L929" s="40"/>
    </row>
    <row r="930" spans="1:12">
      <c r="A930" s="40"/>
      <c r="K930" s="40"/>
      <c r="L930" s="40"/>
    </row>
    <row r="931" spans="1:12">
      <c r="A931" s="40"/>
      <c r="K931" s="40"/>
      <c r="L931" s="40"/>
    </row>
    <row r="932" spans="1:12">
      <c r="A932" s="40"/>
      <c r="K932" s="40"/>
      <c r="L932" s="40"/>
    </row>
    <row r="933" spans="1:12">
      <c r="A933" s="40"/>
      <c r="K933" s="40"/>
      <c r="L933" s="40"/>
    </row>
    <row r="934" spans="1:12">
      <c r="A934" s="40"/>
      <c r="K934" s="40"/>
      <c r="L934" s="40"/>
    </row>
    <row r="935" spans="1:12">
      <c r="A935" s="40"/>
      <c r="K935" s="40"/>
      <c r="L935" s="40"/>
    </row>
    <row r="936" spans="1:12">
      <c r="A936" s="40"/>
      <c r="K936" s="40"/>
      <c r="L936" s="40"/>
    </row>
    <row r="937" spans="1:12">
      <c r="A937" s="40"/>
      <c r="K937" s="40"/>
      <c r="L937" s="40"/>
    </row>
    <row r="938" spans="1:12">
      <c r="A938" s="40"/>
      <c r="K938" s="40"/>
      <c r="L938" s="40"/>
    </row>
    <row r="939" spans="1:12">
      <c r="A939" s="40"/>
      <c r="K939" s="40"/>
      <c r="L939" s="40"/>
    </row>
    <row r="940" spans="1:12">
      <c r="A940" s="40"/>
      <c r="K940" s="40"/>
      <c r="L940" s="40"/>
    </row>
    <row r="941" spans="1:12">
      <c r="A941" s="40"/>
      <c r="K941" s="40"/>
      <c r="L941" s="40"/>
    </row>
    <row r="942" spans="1:12">
      <c r="A942" s="40"/>
      <c r="K942" s="40"/>
      <c r="L942" s="40"/>
    </row>
    <row r="943" spans="1:12">
      <c r="A943" s="40"/>
      <c r="K943" s="40"/>
      <c r="L943" s="40"/>
    </row>
    <row r="944" spans="1:12">
      <c r="A944" s="40"/>
      <c r="K944" s="40"/>
      <c r="L944" s="40"/>
    </row>
    <row r="945" spans="1:12">
      <c r="A945" s="40"/>
      <c r="K945" s="40"/>
      <c r="L945" s="40"/>
    </row>
    <row r="946" spans="1:12">
      <c r="A946" s="40"/>
      <c r="K946" s="40"/>
      <c r="L946" s="40"/>
    </row>
    <row r="947" spans="1:12">
      <c r="A947" s="40"/>
      <c r="K947" s="40"/>
      <c r="L947" s="40"/>
    </row>
    <row r="948" spans="1:12">
      <c r="A948" s="40"/>
      <c r="K948" s="40"/>
      <c r="L948" s="40"/>
    </row>
    <row r="949" spans="1:12">
      <c r="A949" s="40"/>
      <c r="K949" s="40"/>
      <c r="L949" s="40"/>
    </row>
    <row r="950" spans="1:12">
      <c r="A950" s="40"/>
      <c r="K950" s="40"/>
      <c r="L950" s="40"/>
    </row>
    <row r="951" spans="1:12">
      <c r="A951" s="40"/>
      <c r="K951" s="40"/>
      <c r="L951" s="40"/>
    </row>
    <row r="952" spans="1:12">
      <c r="A952" s="40"/>
      <c r="K952" s="40"/>
      <c r="L952" s="40"/>
    </row>
    <row r="953" spans="1:12">
      <c r="A953" s="40"/>
      <c r="K953" s="40"/>
      <c r="L953" s="40"/>
    </row>
    <row r="954" spans="1:12">
      <c r="A954" s="40"/>
      <c r="K954" s="40"/>
      <c r="L954" s="40"/>
    </row>
    <row r="955" spans="1:12">
      <c r="A955" s="40"/>
      <c r="K955" s="40"/>
      <c r="L955" s="40"/>
    </row>
    <row r="956" spans="1:12">
      <c r="A956" s="40"/>
      <c r="K956" s="40"/>
      <c r="L956" s="40"/>
    </row>
    <row r="957" spans="1:12">
      <c r="A957" s="40"/>
      <c r="K957" s="40"/>
      <c r="L957" s="40"/>
    </row>
    <row r="958" spans="1:12">
      <c r="A958" s="40"/>
      <c r="K958" s="40"/>
      <c r="L958" s="40"/>
    </row>
    <row r="959" spans="1:12">
      <c r="A959" s="40"/>
      <c r="K959" s="40"/>
      <c r="L959" s="40"/>
    </row>
    <row r="960" spans="1:12">
      <c r="A960" s="40"/>
      <c r="K960" s="40"/>
      <c r="L960" s="40"/>
    </row>
    <row r="961" spans="1:12">
      <c r="A961" s="40"/>
      <c r="K961" s="40"/>
      <c r="L961" s="40"/>
    </row>
    <row r="962" spans="1:12">
      <c r="A962" s="40"/>
      <c r="K962" s="40"/>
      <c r="L962" s="40"/>
    </row>
    <row r="963" spans="1:12">
      <c r="A963" s="40"/>
      <c r="K963" s="40"/>
      <c r="L963" s="40"/>
    </row>
    <row r="964" spans="1:12">
      <c r="A964" s="40"/>
      <c r="K964" s="40"/>
      <c r="L964" s="40"/>
    </row>
    <row r="965" spans="1:12">
      <c r="A965" s="40"/>
      <c r="K965" s="40"/>
      <c r="L965" s="40"/>
    </row>
    <row r="966" spans="1:12">
      <c r="A966" s="40"/>
      <c r="K966" s="40"/>
      <c r="L966" s="40"/>
    </row>
    <row r="967" spans="1:12">
      <c r="A967" s="40"/>
      <c r="K967" s="40"/>
      <c r="L967" s="40"/>
    </row>
    <row r="968" spans="1:12">
      <c r="A968" s="40"/>
      <c r="K968" s="40"/>
      <c r="L968" s="40"/>
    </row>
    <row r="969" spans="1:12">
      <c r="A969" s="40"/>
      <c r="K969" s="40"/>
      <c r="L969" s="40"/>
    </row>
    <row r="970" spans="1:12">
      <c r="A970" s="40"/>
      <c r="K970" s="40"/>
      <c r="L970" s="40"/>
    </row>
    <row r="971" spans="1:12">
      <c r="A971" s="40"/>
      <c r="K971" s="40"/>
      <c r="L971" s="40"/>
    </row>
    <row r="972" spans="1:12">
      <c r="A972" s="40"/>
      <c r="K972" s="40"/>
      <c r="L972" s="40"/>
    </row>
    <row r="973" spans="1:12">
      <c r="A973" s="40"/>
      <c r="K973" s="40"/>
      <c r="L973" s="40"/>
    </row>
    <row r="974" spans="1:12">
      <c r="A974" s="40"/>
      <c r="K974" s="40"/>
      <c r="L974" s="40"/>
    </row>
    <row r="975" spans="1:12">
      <c r="A975" s="40"/>
      <c r="K975" s="40"/>
      <c r="L975" s="40"/>
    </row>
    <row r="976" spans="1:12">
      <c r="A976" s="40"/>
      <c r="K976" s="40"/>
      <c r="L976" s="40"/>
    </row>
    <row r="977" spans="1:12">
      <c r="A977" s="40"/>
      <c r="K977" s="40"/>
      <c r="L977" s="40"/>
    </row>
    <row r="978" spans="1:12">
      <c r="A978" s="40"/>
      <c r="K978" s="40"/>
      <c r="L978" s="40"/>
    </row>
    <row r="979" spans="1:12">
      <c r="A979" s="40"/>
      <c r="K979" s="40"/>
      <c r="L979" s="40"/>
    </row>
    <row r="980" spans="1:12">
      <c r="A980" s="40"/>
      <c r="K980" s="40"/>
      <c r="L980" s="40"/>
    </row>
    <row r="981" spans="1:12">
      <c r="A981" s="40"/>
      <c r="K981" s="40"/>
      <c r="L981" s="40"/>
    </row>
    <row r="982" spans="1:12">
      <c r="A982" s="40"/>
      <c r="K982" s="40"/>
      <c r="L982" s="40"/>
    </row>
    <row r="983" spans="1:12">
      <c r="A983" s="40"/>
      <c r="K983" s="40"/>
      <c r="L983" s="40"/>
    </row>
    <row r="984" spans="1:12">
      <c r="A984" s="40"/>
      <c r="K984" s="40"/>
      <c r="L984" s="40"/>
    </row>
    <row r="985" spans="1:12">
      <c r="A985" s="40"/>
      <c r="K985" s="40"/>
      <c r="L985" s="40"/>
    </row>
    <row r="986" spans="1:12">
      <c r="A986" s="40"/>
      <c r="K986" s="40"/>
      <c r="L986" s="40"/>
    </row>
    <row r="987" spans="1:12">
      <c r="A987" s="40"/>
      <c r="K987" s="40"/>
      <c r="L987" s="40"/>
    </row>
    <row r="988" spans="1:12">
      <c r="A988" s="40"/>
      <c r="K988" s="40"/>
      <c r="L988" s="40"/>
    </row>
    <row r="989" spans="1:12">
      <c r="A989" s="40"/>
      <c r="K989" s="40"/>
      <c r="L989" s="40"/>
    </row>
    <row r="990" spans="1:12">
      <c r="A990" s="40"/>
      <c r="K990" s="40"/>
      <c r="L990" s="40"/>
    </row>
    <row r="991" spans="1:12">
      <c r="A991" s="40"/>
      <c r="K991" s="40"/>
      <c r="L991" s="40"/>
    </row>
    <row r="992" spans="1:12">
      <c r="A992" s="40"/>
      <c r="K992" s="40"/>
      <c r="L992" s="40"/>
    </row>
    <row r="993" spans="1:12">
      <c r="A993" s="40"/>
      <c r="K993" s="40"/>
      <c r="L993" s="40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703125" defaultRowHeight="15.75" customHeight="1"/>
  <cols>
    <col min="1" max="1" width="12.85546875" customWidth="1"/>
    <col min="2" max="2" width="18.7109375" customWidth="1"/>
  </cols>
  <sheetData>
    <row r="1" spans="1:12">
      <c r="A1" s="21"/>
      <c r="B1" s="22"/>
      <c r="C1" s="22"/>
      <c r="D1" s="22"/>
      <c r="E1" s="22"/>
      <c r="F1" s="23"/>
      <c r="G1" s="23"/>
      <c r="H1" s="23"/>
      <c r="I1" s="23"/>
      <c r="J1" s="23"/>
      <c r="K1" s="23"/>
      <c r="L1" s="25" t="s">
        <v>59</v>
      </c>
    </row>
    <row r="2" spans="1:12">
      <c r="A2" s="21"/>
      <c r="B2" s="22"/>
      <c r="C2" s="22"/>
      <c r="D2" s="22"/>
      <c r="E2" s="22"/>
      <c r="F2" s="23"/>
      <c r="G2" s="23"/>
      <c r="H2" s="23"/>
      <c r="I2" s="23"/>
      <c r="J2" s="23"/>
      <c r="K2" s="23"/>
      <c r="L2" s="24" t="s">
        <v>98</v>
      </c>
    </row>
    <row r="3" spans="1:12">
      <c r="A3" s="26"/>
      <c r="B3" s="26"/>
      <c r="C3" s="27"/>
      <c r="D3" s="27"/>
      <c r="E3" s="27"/>
      <c r="F3" s="28"/>
      <c r="G3" s="28"/>
      <c r="H3" s="28"/>
      <c r="I3" s="28"/>
      <c r="J3" s="28"/>
      <c r="K3" s="28"/>
      <c r="L3" s="30">
        <f ca="1">DATEDIF(L4,NOW(),"M")</f>
        <v>1</v>
      </c>
    </row>
    <row r="4" spans="1:12">
      <c r="A4" s="26"/>
      <c r="B4" s="26"/>
      <c r="C4" s="60" t="s">
        <v>101</v>
      </c>
      <c r="D4" s="61"/>
      <c r="E4" s="62"/>
      <c r="F4" s="31"/>
      <c r="G4" s="31"/>
      <c r="H4" s="31"/>
      <c r="I4" s="31"/>
      <c r="J4" s="31"/>
      <c r="K4" s="31"/>
      <c r="L4" s="33">
        <v>45870</v>
      </c>
    </row>
    <row r="5" spans="1:12">
      <c r="A5" s="26"/>
      <c r="B5" s="26"/>
      <c r="C5" s="63"/>
      <c r="D5" s="64"/>
      <c r="E5" s="65"/>
      <c r="F5" s="34"/>
      <c r="G5" s="34"/>
      <c r="H5" s="34"/>
      <c r="I5" s="34"/>
      <c r="J5" s="34"/>
      <c r="K5" s="34"/>
      <c r="L5" s="30">
        <v>2025</v>
      </c>
    </row>
    <row r="6" spans="1:12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/>
      <c r="G6" s="28"/>
      <c r="H6" s="28"/>
      <c r="I6" s="28"/>
      <c r="J6" s="28"/>
      <c r="K6" s="28"/>
      <c r="L6" s="30" t="s">
        <v>107</v>
      </c>
    </row>
    <row r="7" spans="1:12">
      <c r="A7" s="38">
        <v>1</v>
      </c>
      <c r="B7" s="41" t="s">
        <v>120</v>
      </c>
      <c r="C7" s="38">
        <f ca="1">COUNTIFS(F7:L7,"&gt;0",$F$3:L$3,"&lt;13")</f>
        <v>1</v>
      </c>
      <c r="D7" s="38">
        <f ca="1">SUMIF($F$3:L$3,"&lt;13",F7:L7)</f>
        <v>700</v>
      </c>
      <c r="E7" s="38">
        <f ca="1">IFERROR(__xludf.DUMMYFUNCTION("ARRAY_CONSTRAIN(ARRAYFORMULA(SUMPRODUCT(LARGE(FILTER(F7:L7, F$3:L$3 &lt; 13),{1,2,3,4,5,6,7}))), 1, 1)"),700)</f>
        <v>700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5">
        <v>700</v>
      </c>
    </row>
    <row r="8" spans="1:12">
      <c r="A8" s="38">
        <v>2</v>
      </c>
      <c r="B8" s="39" t="s">
        <v>112</v>
      </c>
      <c r="C8" s="38">
        <f>COUNTIFS(F8:L8,"&gt;0",$F$3:L$3,"&lt;13")</f>
        <v>0</v>
      </c>
      <c r="D8" s="38">
        <f ca="1">SUMIF($F$3:L$3,"&lt;13",F8:L8)</f>
        <v>0</v>
      </c>
      <c r="E8" s="38">
        <f ca="1">IFERROR(__xludf.DUMMYFUNCTION("ARRAY_CONSTRAIN(ARRAYFORMULA(SUMPRODUCT(LARGE(FILTER(F8:L8, F$3:L$3 &lt; 13),{1,2,3,4,5,6,7}))), 1, 1)"),0)</f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5">
        <v>0</v>
      </c>
    </row>
    <row r="9" spans="1:12">
      <c r="A9" s="38">
        <v>3</v>
      </c>
      <c r="B9" s="39" t="s">
        <v>44</v>
      </c>
      <c r="C9" s="38">
        <f>COUNTIFS(F9:L9,"&gt;0",$F$3:L$3,"&lt;13")</f>
        <v>0</v>
      </c>
      <c r="D9" s="38">
        <f ca="1">SUMIF($F$3:L$3,"&lt;13",F9:L9)</f>
        <v>0</v>
      </c>
      <c r="E9" s="38">
        <f ca="1">IFERROR(__xludf.DUMMYFUNCTION("ARRAY_CONSTRAIN(ARRAYFORMULA(SUMPRODUCT(LARGE(FILTER(F9:L9, F$3:L$3 &lt; 13),{1,2,3,4,5,6,7}))), 1, 1)"),0)</f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5">
        <v>0</v>
      </c>
    </row>
    <row r="10" spans="1:12">
      <c r="A10" s="38">
        <v>4</v>
      </c>
      <c r="B10" s="39" t="s">
        <v>37</v>
      </c>
      <c r="C10" s="38">
        <f>COUNTIFS(F10:L10,"&gt;0",$F$3:L$3,"&lt;13")</f>
        <v>0</v>
      </c>
      <c r="D10" s="38">
        <f ca="1">SUMIF($F$3:L$3,"&lt;13",F10:L10)</f>
        <v>0</v>
      </c>
      <c r="E10" s="38">
        <f ca="1">IFERROR(__xludf.DUMMYFUNCTION("ARRAY_CONSTRAIN(ARRAYFORMULA(SUMPRODUCT(LARGE(FILTER(F10:L10, F$3:L$3 &lt; 13),{1,2,3,4,5,6,7}))), 1, 1)"),0)</f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5">
        <v>0</v>
      </c>
    </row>
    <row r="11" spans="1:12">
      <c r="A11" s="38">
        <v>5</v>
      </c>
      <c r="B11" s="39" t="s">
        <v>329</v>
      </c>
      <c r="C11" s="38">
        <f>COUNTIFS(F11:L11,"&gt;0",$F$3:L$3,"&lt;13")</f>
        <v>0</v>
      </c>
      <c r="D11" s="38">
        <f ca="1">SUMIF($F$3:L$3,"&lt;13",F11:L11)</f>
        <v>0</v>
      </c>
      <c r="E11" s="38">
        <f ca="1">IFERROR(__xludf.DUMMYFUNCTION("ARRAY_CONSTRAIN(ARRAYFORMULA(SUMPRODUCT(LARGE(FILTER(F11:L11, F$3:L$3 &lt; 13),{1,2,3,4,5,6,7}))), 1, 1)"),0)</f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5">
        <v>0</v>
      </c>
    </row>
    <row r="12" spans="1:12">
      <c r="A12" s="38">
        <v>6</v>
      </c>
      <c r="B12" s="41" t="s">
        <v>151</v>
      </c>
      <c r="C12" s="38">
        <f>COUNTIFS(F12:L12,"&gt;0",$F$3:L$3,"&lt;13")</f>
        <v>0</v>
      </c>
      <c r="D12" s="38">
        <f ca="1">SUMIF($F$3:L$3,"&lt;13",F12:L12)</f>
        <v>0</v>
      </c>
      <c r="E12" s="38">
        <f ca="1">IFERROR(__xludf.DUMMYFUNCTION("ARRAY_CONSTRAIN(ARRAYFORMULA(SUMPRODUCT(LARGE(FILTER(F12:L12, F$3:L$3 &lt; 13),{1,2,3,4,5,6,7}))), 1, 1)"),0)</f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5">
        <v>0</v>
      </c>
    </row>
    <row r="13" spans="1:12">
      <c r="A13" s="38">
        <v>7</v>
      </c>
      <c r="B13" s="39" t="s">
        <v>142</v>
      </c>
      <c r="C13" s="38">
        <f>COUNTIFS(F13:L13,"&gt;0",$F$3:L$3,"&lt;13")</f>
        <v>0</v>
      </c>
      <c r="D13" s="38">
        <f ca="1">SUMIF($F$3:L$3,"&lt;13",F13:L13)</f>
        <v>0</v>
      </c>
      <c r="E13" s="38">
        <f ca="1">IFERROR(__xludf.DUMMYFUNCTION("ARRAY_CONSTRAIN(ARRAYFORMULA(SUMPRODUCT(LARGE(FILTER(F13:L13, F$3:L$3 &lt; 13),{1,2,3,4,5,6,7}))), 1, 1)"),0)</f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5">
        <v>0</v>
      </c>
    </row>
    <row r="14" spans="1:12">
      <c r="A14" s="38">
        <v>8</v>
      </c>
      <c r="B14" s="39" t="s">
        <v>236</v>
      </c>
      <c r="C14" s="38">
        <f>COUNTIFS(F14:L14,"&gt;0",$F$3:L$3,"&lt;13")</f>
        <v>0</v>
      </c>
      <c r="D14" s="38">
        <f ca="1">SUMIF($F$3:L$3,"&lt;13",F14:L14)</f>
        <v>0</v>
      </c>
      <c r="E14" s="38">
        <f ca="1">IFERROR(__xludf.DUMMYFUNCTION("ARRAY_CONSTRAIN(ARRAYFORMULA(SUMPRODUCT(LARGE(FILTER(F14:L14, F$3:L$3 &lt; 13),{1,2,3,4,5,6,7}))), 1, 1)"),0)</f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5">
        <v>0</v>
      </c>
    </row>
    <row r="15" spans="1:12">
      <c r="A15" s="38">
        <v>9</v>
      </c>
      <c r="B15" s="41" t="s">
        <v>362</v>
      </c>
      <c r="C15" s="38">
        <f>COUNTIFS(F15:L15,"&gt;0",$F$3:L$3,"&lt;13")</f>
        <v>0</v>
      </c>
      <c r="D15" s="38">
        <f ca="1">SUMIF($F$3:L$3,"&lt;13",F15:L15)</f>
        <v>0</v>
      </c>
      <c r="E15" s="38">
        <f ca="1">IFERROR(__xludf.DUMMYFUNCTION("ARRAY_CONSTRAIN(ARRAYFORMULA(SUMPRODUCT(LARGE(FILTER(F15:L15, F$3:L$3 &lt; 13),{1,2,3,4,5,6,7}))), 1, 1)"),0)</f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5">
        <v>0</v>
      </c>
    </row>
    <row r="16" spans="1:12">
      <c r="A16" s="38"/>
      <c r="B16" s="39"/>
      <c r="C16" s="38"/>
      <c r="D16" s="38"/>
      <c r="E16" s="38"/>
      <c r="F16" s="40"/>
      <c r="G16" s="40"/>
      <c r="H16" s="40"/>
      <c r="I16" s="40"/>
      <c r="J16" s="40"/>
      <c r="K16" s="40"/>
      <c r="L16" s="40"/>
    </row>
    <row r="17" spans="1:12">
      <c r="A17" s="38"/>
      <c r="B17" s="39"/>
      <c r="C17" s="38"/>
      <c r="D17" s="38"/>
      <c r="E17" s="38"/>
      <c r="F17" s="40"/>
      <c r="G17" s="40"/>
      <c r="H17" s="40"/>
      <c r="I17" s="40"/>
      <c r="J17" s="40"/>
      <c r="K17" s="40"/>
      <c r="L17" s="40"/>
    </row>
    <row r="18" spans="1:12">
      <c r="A18" s="38"/>
      <c r="B18" s="39"/>
      <c r="C18" s="38"/>
      <c r="D18" s="38"/>
      <c r="E18" s="38"/>
      <c r="F18" s="40"/>
      <c r="G18" s="40"/>
      <c r="H18" s="40"/>
      <c r="I18" s="40"/>
      <c r="J18" s="40"/>
      <c r="K18" s="40"/>
      <c r="L18" s="40"/>
    </row>
    <row r="19" spans="1:12">
      <c r="A19" s="38"/>
      <c r="C19" s="38"/>
      <c r="D19" s="38"/>
      <c r="E19" s="38"/>
      <c r="F19" s="40"/>
      <c r="G19" s="40"/>
      <c r="H19" s="40"/>
      <c r="I19" s="40"/>
      <c r="J19" s="40"/>
      <c r="K19" s="40"/>
      <c r="L19" s="40"/>
    </row>
    <row r="20" spans="1:12">
      <c r="A20" s="38"/>
      <c r="B20" s="39"/>
      <c r="C20" s="38"/>
      <c r="D20" s="38"/>
      <c r="E20" s="38"/>
      <c r="F20" s="40"/>
      <c r="G20" s="40"/>
      <c r="H20" s="40"/>
      <c r="I20" s="40"/>
      <c r="J20" s="40"/>
      <c r="K20" s="40"/>
      <c r="L20" s="40"/>
    </row>
    <row r="21" spans="1:12">
      <c r="A21" s="38"/>
      <c r="C21" s="38"/>
      <c r="D21" s="38"/>
      <c r="E21" s="38"/>
      <c r="F21" s="40"/>
      <c r="G21" s="40"/>
      <c r="H21" s="40"/>
      <c r="I21" s="40"/>
      <c r="J21" s="40"/>
      <c r="K21" s="40"/>
      <c r="L21" s="40"/>
    </row>
    <row r="22" spans="1:12">
      <c r="A22" s="38"/>
      <c r="C22" s="38"/>
      <c r="D22" s="38"/>
      <c r="E22" s="38"/>
      <c r="F22" s="46"/>
      <c r="G22" s="46"/>
      <c r="H22" s="46"/>
      <c r="I22" s="46"/>
      <c r="J22" s="46"/>
      <c r="K22" s="46"/>
      <c r="L22" s="40"/>
    </row>
    <row r="23" spans="1:12">
      <c r="A23" s="38"/>
      <c r="B23" s="39"/>
      <c r="C23" s="38"/>
      <c r="D23" s="38"/>
      <c r="E23" s="38"/>
      <c r="F23" s="40"/>
      <c r="G23" s="40"/>
      <c r="H23" s="40"/>
      <c r="I23" s="40"/>
      <c r="J23" s="40"/>
      <c r="K23" s="40"/>
      <c r="L23" s="40"/>
    </row>
    <row r="24" spans="1:12">
      <c r="A24" s="38"/>
      <c r="B24" s="39"/>
      <c r="C24" s="38"/>
      <c r="D24" s="38"/>
      <c r="E24" s="38"/>
      <c r="F24" s="40"/>
      <c r="G24" s="40"/>
      <c r="H24" s="40"/>
      <c r="I24" s="40"/>
      <c r="J24" s="40"/>
      <c r="K24" s="40"/>
      <c r="L24" s="40"/>
    </row>
    <row r="25" spans="1:12">
      <c r="A25" s="38"/>
      <c r="C25" s="38"/>
      <c r="D25" s="38"/>
      <c r="E25" s="38"/>
      <c r="F25" s="46"/>
      <c r="G25" s="46"/>
      <c r="H25" s="46"/>
      <c r="I25" s="46"/>
      <c r="J25" s="46"/>
      <c r="K25" s="46"/>
      <c r="L25" s="40"/>
    </row>
    <row r="26" spans="1:12">
      <c r="A26" s="38"/>
      <c r="C26" s="38"/>
      <c r="D26" s="38"/>
      <c r="E26" s="38"/>
      <c r="F26" s="46"/>
      <c r="G26" s="46"/>
      <c r="H26" s="46"/>
      <c r="I26" s="46"/>
      <c r="J26" s="46"/>
      <c r="K26" s="46"/>
      <c r="L26" s="40"/>
    </row>
    <row r="27" spans="1:12">
      <c r="A27" s="38"/>
      <c r="B27" s="39"/>
      <c r="C27" s="38"/>
      <c r="D27" s="38"/>
      <c r="E27" s="38"/>
      <c r="F27" s="40"/>
      <c r="G27" s="40"/>
      <c r="H27" s="40"/>
      <c r="I27" s="40"/>
      <c r="J27" s="40"/>
      <c r="K27" s="40"/>
      <c r="L27" s="40"/>
    </row>
    <row r="28" spans="1:12">
      <c r="A28" s="38"/>
      <c r="B28" s="39"/>
      <c r="C28" s="38"/>
      <c r="D28" s="38"/>
      <c r="E28" s="38"/>
      <c r="F28" s="40"/>
      <c r="G28" s="40"/>
      <c r="H28" s="40"/>
      <c r="I28" s="40"/>
      <c r="J28" s="40"/>
      <c r="K28" s="40"/>
      <c r="L28" s="40"/>
    </row>
    <row r="29" spans="1:12">
      <c r="A29" s="38"/>
      <c r="B29" s="39"/>
      <c r="C29" s="38"/>
      <c r="D29" s="38"/>
      <c r="E29" s="38"/>
      <c r="F29" s="40"/>
      <c r="G29" s="40"/>
      <c r="H29" s="40"/>
      <c r="I29" s="40"/>
      <c r="J29" s="40"/>
      <c r="K29" s="40"/>
      <c r="L29" s="40"/>
    </row>
    <row r="30" spans="1:12">
      <c r="A30" s="38"/>
      <c r="B30" s="39"/>
      <c r="C30" s="38"/>
      <c r="D30" s="38"/>
      <c r="E30" s="38"/>
      <c r="F30" s="40"/>
      <c r="G30" s="40"/>
      <c r="H30" s="40"/>
      <c r="I30" s="40"/>
      <c r="J30" s="40"/>
      <c r="K30" s="40"/>
      <c r="L30" s="40"/>
    </row>
    <row r="31" spans="1:12">
      <c r="A31" s="38"/>
      <c r="C31" s="38"/>
      <c r="D31" s="38"/>
      <c r="E31" s="38"/>
      <c r="F31" s="40"/>
      <c r="G31" s="40"/>
      <c r="H31" s="40"/>
      <c r="I31" s="40"/>
      <c r="J31" s="40"/>
      <c r="K31" s="40"/>
      <c r="L31" s="40"/>
    </row>
    <row r="32" spans="1:12">
      <c r="A32" s="38"/>
      <c r="C32" s="38"/>
      <c r="D32" s="38"/>
      <c r="E32" s="38"/>
      <c r="F32" s="40"/>
      <c r="G32" s="40"/>
      <c r="H32" s="40"/>
      <c r="I32" s="40"/>
      <c r="J32" s="40"/>
      <c r="K32" s="40"/>
      <c r="L32" s="40"/>
    </row>
    <row r="33" spans="1:12">
      <c r="A33" s="40"/>
      <c r="C33" s="38"/>
      <c r="D33" s="38"/>
      <c r="E33" s="38"/>
      <c r="F33" s="40"/>
      <c r="G33" s="40"/>
      <c r="H33" s="40"/>
      <c r="I33" s="40"/>
      <c r="J33" s="40"/>
      <c r="K33" s="40"/>
      <c r="L33" s="40"/>
    </row>
    <row r="34" spans="1:12">
      <c r="A34" s="40"/>
      <c r="C34" s="38"/>
      <c r="D34" s="38"/>
      <c r="E34" s="38"/>
      <c r="F34" s="40"/>
      <c r="G34" s="40"/>
      <c r="H34" s="40"/>
      <c r="I34" s="40"/>
      <c r="J34" s="40"/>
      <c r="K34" s="40"/>
      <c r="L34" s="40"/>
    </row>
    <row r="35" spans="1:12">
      <c r="A35" s="40"/>
      <c r="B35" s="39"/>
      <c r="C35" s="38"/>
      <c r="D35" s="38"/>
      <c r="E35" s="38"/>
      <c r="F35" s="40"/>
      <c r="G35" s="40"/>
      <c r="H35" s="40"/>
      <c r="I35" s="40"/>
      <c r="J35" s="40"/>
      <c r="K35" s="40"/>
      <c r="L35" s="40"/>
    </row>
    <row r="36" spans="1:12">
      <c r="A36" s="40"/>
      <c r="C36" s="38"/>
      <c r="D36" s="38"/>
      <c r="E36" s="38"/>
      <c r="F36" s="40"/>
      <c r="G36" s="40"/>
      <c r="H36" s="40"/>
      <c r="I36" s="40"/>
      <c r="J36" s="40"/>
      <c r="K36" s="40"/>
      <c r="L36" s="40"/>
    </row>
    <row r="37" spans="1:12">
      <c r="A37" s="40"/>
      <c r="C37" s="38"/>
      <c r="D37" s="38"/>
      <c r="E37" s="38"/>
      <c r="F37" s="40"/>
      <c r="G37" s="40"/>
      <c r="H37" s="40"/>
      <c r="I37" s="40"/>
      <c r="J37" s="40"/>
      <c r="K37" s="40"/>
      <c r="L37" s="40"/>
    </row>
    <row r="38" spans="1:12">
      <c r="A38" s="40"/>
      <c r="C38" s="38"/>
      <c r="D38" s="38"/>
      <c r="E38" s="38"/>
      <c r="F38" s="40"/>
      <c r="G38" s="40"/>
      <c r="H38" s="40"/>
      <c r="I38" s="40"/>
      <c r="J38" s="40"/>
      <c r="K38" s="40"/>
      <c r="L38" s="40"/>
    </row>
    <row r="39" spans="1:12">
      <c r="A39" s="40"/>
      <c r="C39" s="38"/>
      <c r="D39" s="38"/>
      <c r="E39" s="38"/>
      <c r="F39" s="40"/>
      <c r="G39" s="40"/>
      <c r="H39" s="40"/>
      <c r="I39" s="40"/>
      <c r="J39" s="40"/>
      <c r="K39" s="40"/>
      <c r="L39" s="40"/>
    </row>
    <row r="40" spans="1:12">
      <c r="A40" s="40"/>
      <c r="C40" s="38"/>
      <c r="D40" s="38"/>
      <c r="E40" s="38"/>
      <c r="F40" s="40"/>
      <c r="G40" s="40"/>
      <c r="H40" s="40"/>
      <c r="I40" s="40"/>
      <c r="J40" s="40"/>
      <c r="K40" s="40"/>
      <c r="L40" s="40"/>
    </row>
    <row r="41" spans="1:12">
      <c r="A41" s="40"/>
      <c r="C41" s="38"/>
      <c r="D41" s="38"/>
      <c r="E41" s="38"/>
      <c r="F41" s="40"/>
      <c r="G41" s="40"/>
      <c r="H41" s="40"/>
      <c r="I41" s="40"/>
      <c r="J41" s="40"/>
      <c r="K41" s="40"/>
      <c r="L41" s="40"/>
    </row>
    <row r="42" spans="1:12">
      <c r="A42" s="40"/>
      <c r="B42" s="39"/>
      <c r="C42" s="38"/>
      <c r="D42" s="38"/>
      <c r="E42" s="38"/>
      <c r="F42" s="40"/>
      <c r="G42" s="40"/>
      <c r="H42" s="40"/>
      <c r="I42" s="40"/>
      <c r="J42" s="40"/>
      <c r="K42" s="40"/>
      <c r="L42" s="40"/>
    </row>
    <row r="43" spans="1:12">
      <c r="A43" s="40"/>
      <c r="B43" s="39"/>
      <c r="C43" s="38"/>
      <c r="D43" s="38"/>
      <c r="E43" s="38"/>
      <c r="F43" s="40"/>
      <c r="G43" s="40"/>
      <c r="H43" s="40"/>
      <c r="I43" s="40"/>
      <c r="J43" s="40"/>
      <c r="K43" s="40"/>
      <c r="L43" s="40"/>
    </row>
    <row r="44" spans="1:12">
      <c r="A44" s="40"/>
      <c r="B44" s="39"/>
      <c r="C44" s="38"/>
      <c r="D44" s="38"/>
      <c r="E44" s="38"/>
      <c r="F44" s="40"/>
      <c r="G44" s="40"/>
      <c r="H44" s="40"/>
      <c r="I44" s="40"/>
      <c r="J44" s="40"/>
      <c r="K44" s="40"/>
      <c r="L44" s="40"/>
    </row>
    <row r="45" spans="1:12">
      <c r="A45" s="40"/>
      <c r="B45" s="39"/>
      <c r="C45" s="38"/>
      <c r="D45" s="38"/>
      <c r="E45" s="38"/>
      <c r="F45" s="40"/>
      <c r="G45" s="40"/>
      <c r="H45" s="40"/>
      <c r="I45" s="40"/>
      <c r="J45" s="40"/>
      <c r="K45" s="40"/>
      <c r="L45" s="40"/>
    </row>
    <row r="46" spans="1:12">
      <c r="A46" s="40"/>
      <c r="B46" s="39"/>
      <c r="C46" s="38"/>
      <c r="D46" s="38"/>
      <c r="E46" s="38"/>
      <c r="F46" s="40"/>
      <c r="G46" s="40"/>
      <c r="H46" s="40"/>
      <c r="I46" s="40"/>
      <c r="J46" s="40"/>
      <c r="K46" s="40"/>
      <c r="L46" s="40"/>
    </row>
    <row r="47" spans="1:12">
      <c r="A47" s="40"/>
      <c r="B47" s="39"/>
      <c r="C47" s="38"/>
      <c r="D47" s="38"/>
      <c r="E47" s="38"/>
      <c r="F47" s="40"/>
      <c r="G47" s="40"/>
      <c r="H47" s="40"/>
      <c r="I47" s="40"/>
      <c r="J47" s="40"/>
      <c r="K47" s="40"/>
      <c r="L47" s="40"/>
    </row>
    <row r="48" spans="1:12">
      <c r="A48" s="40"/>
      <c r="L48" s="40"/>
    </row>
    <row r="49" spans="1:12">
      <c r="A49" s="40"/>
      <c r="L49" s="40"/>
    </row>
    <row r="50" spans="1:12">
      <c r="A50" s="40"/>
      <c r="L50" s="40"/>
    </row>
    <row r="51" spans="1:12">
      <c r="A51" s="40"/>
      <c r="L51" s="40"/>
    </row>
    <row r="52" spans="1:12">
      <c r="A52" s="40"/>
      <c r="L52" s="40"/>
    </row>
    <row r="53" spans="1:12">
      <c r="A53" s="40"/>
      <c r="L53" s="40"/>
    </row>
    <row r="54" spans="1:12">
      <c r="A54" s="40"/>
      <c r="L54" s="40"/>
    </row>
    <row r="55" spans="1:12">
      <c r="A55" s="40"/>
      <c r="L55" s="40"/>
    </row>
    <row r="56" spans="1:12">
      <c r="A56" s="40"/>
      <c r="L56" s="40"/>
    </row>
    <row r="57" spans="1:12">
      <c r="A57" s="40"/>
      <c r="L57" s="40"/>
    </row>
    <row r="58" spans="1:12">
      <c r="A58" s="40"/>
      <c r="L58" s="40"/>
    </row>
    <row r="59" spans="1:12">
      <c r="A59" s="40"/>
      <c r="L59" s="40"/>
    </row>
    <row r="60" spans="1:12">
      <c r="A60" s="40"/>
      <c r="L60" s="40"/>
    </row>
    <row r="61" spans="1:12">
      <c r="A61" s="40"/>
      <c r="L61" s="40"/>
    </row>
    <row r="62" spans="1:12">
      <c r="A62" s="40"/>
      <c r="L62" s="40"/>
    </row>
    <row r="63" spans="1:12">
      <c r="A63" s="40"/>
      <c r="L63" s="40"/>
    </row>
    <row r="64" spans="1:12">
      <c r="A64" s="40"/>
      <c r="L64" s="40"/>
    </row>
    <row r="65" spans="1:12">
      <c r="A65" s="40"/>
      <c r="L65" s="40"/>
    </row>
    <row r="66" spans="1:12">
      <c r="A66" s="40"/>
      <c r="L66" s="40"/>
    </row>
    <row r="67" spans="1:12">
      <c r="A67" s="40"/>
      <c r="L67" s="40"/>
    </row>
    <row r="68" spans="1:12">
      <c r="A68" s="40"/>
      <c r="L68" s="40"/>
    </row>
    <row r="69" spans="1:12">
      <c r="A69" s="40"/>
      <c r="L69" s="40"/>
    </row>
    <row r="70" spans="1:12">
      <c r="A70" s="40"/>
      <c r="L70" s="40"/>
    </row>
    <row r="71" spans="1:12">
      <c r="A71" s="40"/>
      <c r="L71" s="40"/>
    </row>
    <row r="72" spans="1:12">
      <c r="A72" s="40"/>
      <c r="L72" s="40"/>
    </row>
    <row r="73" spans="1:12">
      <c r="A73" s="40"/>
      <c r="L73" s="40"/>
    </row>
    <row r="74" spans="1:12">
      <c r="A74" s="40"/>
      <c r="L74" s="40"/>
    </row>
    <row r="75" spans="1:12">
      <c r="A75" s="40"/>
      <c r="L75" s="40"/>
    </row>
    <row r="76" spans="1:12">
      <c r="A76" s="40"/>
      <c r="L76" s="40"/>
    </row>
    <row r="77" spans="1:12">
      <c r="A77" s="40"/>
      <c r="L77" s="40"/>
    </row>
    <row r="78" spans="1:12">
      <c r="A78" s="40"/>
      <c r="L78" s="40"/>
    </row>
    <row r="79" spans="1:12">
      <c r="A79" s="40"/>
      <c r="L79" s="40"/>
    </row>
    <row r="80" spans="1:12">
      <c r="A80" s="40"/>
      <c r="L80" s="40"/>
    </row>
    <row r="81" spans="1:12">
      <c r="A81" s="40"/>
      <c r="L81" s="40"/>
    </row>
    <row r="82" spans="1:12">
      <c r="A82" s="40"/>
      <c r="L82" s="40"/>
    </row>
    <row r="83" spans="1:12">
      <c r="A83" s="40"/>
      <c r="L83" s="40"/>
    </row>
    <row r="84" spans="1:12">
      <c r="A84" s="40"/>
      <c r="L84" s="40"/>
    </row>
    <row r="85" spans="1:12">
      <c r="A85" s="40"/>
      <c r="L85" s="40"/>
    </row>
    <row r="86" spans="1:12">
      <c r="A86" s="40"/>
      <c r="L86" s="40"/>
    </row>
    <row r="87" spans="1:12">
      <c r="A87" s="40"/>
      <c r="L87" s="40"/>
    </row>
    <row r="88" spans="1:12">
      <c r="A88" s="40"/>
      <c r="L88" s="40"/>
    </row>
    <row r="89" spans="1:12">
      <c r="A89" s="40"/>
      <c r="L89" s="40"/>
    </row>
    <row r="90" spans="1:12">
      <c r="A90" s="40"/>
      <c r="L90" s="40"/>
    </row>
    <row r="91" spans="1:12">
      <c r="A91" s="40"/>
      <c r="L91" s="40"/>
    </row>
    <row r="92" spans="1:12">
      <c r="A92" s="40"/>
      <c r="L92" s="40"/>
    </row>
    <row r="93" spans="1:12">
      <c r="A93" s="40"/>
      <c r="L93" s="40"/>
    </row>
    <row r="94" spans="1:12">
      <c r="A94" s="40"/>
      <c r="L94" s="40"/>
    </row>
    <row r="95" spans="1:12">
      <c r="A95" s="40"/>
      <c r="L95" s="40"/>
    </row>
    <row r="96" spans="1:12">
      <c r="A96" s="40"/>
      <c r="L96" s="40"/>
    </row>
    <row r="97" spans="1:12">
      <c r="A97" s="40"/>
      <c r="L97" s="40"/>
    </row>
    <row r="98" spans="1:12">
      <c r="A98" s="40"/>
      <c r="L98" s="40"/>
    </row>
    <row r="99" spans="1:12">
      <c r="A99" s="40"/>
      <c r="L99" s="40"/>
    </row>
    <row r="100" spans="1:12">
      <c r="A100" s="40"/>
      <c r="L100" s="40"/>
    </row>
    <row r="101" spans="1:12">
      <c r="A101" s="40"/>
      <c r="L101" s="40"/>
    </row>
    <row r="102" spans="1:12">
      <c r="A102" s="40"/>
      <c r="L102" s="40"/>
    </row>
    <row r="103" spans="1:12">
      <c r="A103" s="40"/>
      <c r="L103" s="40"/>
    </row>
    <row r="104" spans="1:12">
      <c r="A104" s="40"/>
      <c r="L104" s="40"/>
    </row>
    <row r="105" spans="1:12">
      <c r="A105" s="40"/>
      <c r="L105" s="40"/>
    </row>
    <row r="106" spans="1:12">
      <c r="A106" s="40"/>
      <c r="L106" s="40"/>
    </row>
    <row r="107" spans="1:12">
      <c r="A107" s="40"/>
      <c r="L107" s="40"/>
    </row>
    <row r="108" spans="1:12">
      <c r="A108" s="40"/>
      <c r="L108" s="40"/>
    </row>
    <row r="109" spans="1:12">
      <c r="A109" s="40"/>
      <c r="L109" s="40"/>
    </row>
    <row r="110" spans="1:12">
      <c r="A110" s="40"/>
      <c r="L110" s="40"/>
    </row>
    <row r="111" spans="1:12">
      <c r="A111" s="40"/>
      <c r="L111" s="40"/>
    </row>
    <row r="112" spans="1:12">
      <c r="A112" s="40"/>
      <c r="L112" s="40"/>
    </row>
    <row r="113" spans="1:12">
      <c r="A113" s="40"/>
      <c r="L113" s="40"/>
    </row>
    <row r="114" spans="1:12">
      <c r="A114" s="40"/>
      <c r="L114" s="40"/>
    </row>
    <row r="115" spans="1:12">
      <c r="A115" s="40"/>
      <c r="L115" s="40"/>
    </row>
    <row r="116" spans="1:12">
      <c r="A116" s="40"/>
      <c r="L116" s="40"/>
    </row>
    <row r="117" spans="1:12">
      <c r="A117" s="40"/>
      <c r="L117" s="40"/>
    </row>
    <row r="118" spans="1:12">
      <c r="A118" s="40"/>
      <c r="L118" s="40"/>
    </row>
    <row r="119" spans="1:12">
      <c r="A119" s="40"/>
      <c r="L119" s="40"/>
    </row>
    <row r="120" spans="1:12">
      <c r="A120" s="40"/>
      <c r="L120" s="40"/>
    </row>
    <row r="121" spans="1:12">
      <c r="A121" s="40"/>
      <c r="L121" s="40"/>
    </row>
    <row r="122" spans="1:12">
      <c r="A122" s="40"/>
      <c r="L122" s="40"/>
    </row>
    <row r="123" spans="1:12">
      <c r="A123" s="40"/>
      <c r="L123" s="40"/>
    </row>
    <row r="124" spans="1:12">
      <c r="A124" s="40"/>
      <c r="L124" s="40"/>
    </row>
    <row r="125" spans="1:12">
      <c r="A125" s="40"/>
      <c r="L125" s="40"/>
    </row>
    <row r="126" spans="1:12">
      <c r="A126" s="40"/>
      <c r="L126" s="40"/>
    </row>
    <row r="127" spans="1:12">
      <c r="A127" s="40"/>
      <c r="L127" s="40"/>
    </row>
    <row r="128" spans="1:12">
      <c r="A128" s="40"/>
      <c r="L128" s="40"/>
    </row>
    <row r="129" spans="1:12">
      <c r="A129" s="40"/>
      <c r="L129" s="40"/>
    </row>
    <row r="130" spans="1:12">
      <c r="A130" s="40"/>
      <c r="L130" s="40"/>
    </row>
    <row r="131" spans="1:12">
      <c r="A131" s="40"/>
      <c r="L131" s="40"/>
    </row>
    <row r="132" spans="1:12">
      <c r="A132" s="40"/>
      <c r="L132" s="40"/>
    </row>
    <row r="133" spans="1:12">
      <c r="A133" s="40"/>
      <c r="L133" s="40"/>
    </row>
    <row r="134" spans="1:12">
      <c r="A134" s="40"/>
      <c r="L134" s="40"/>
    </row>
    <row r="135" spans="1:12">
      <c r="A135" s="40"/>
      <c r="L135" s="40"/>
    </row>
    <row r="136" spans="1:12">
      <c r="A136" s="40"/>
      <c r="L136" s="40"/>
    </row>
    <row r="137" spans="1:12">
      <c r="A137" s="40"/>
      <c r="L137" s="40"/>
    </row>
    <row r="138" spans="1:12">
      <c r="A138" s="40"/>
      <c r="L138" s="40"/>
    </row>
    <row r="139" spans="1:12">
      <c r="A139" s="40"/>
      <c r="L139" s="40"/>
    </row>
    <row r="140" spans="1:12">
      <c r="A140" s="40"/>
      <c r="L140" s="40"/>
    </row>
    <row r="141" spans="1:12">
      <c r="A141" s="40"/>
      <c r="L141" s="40"/>
    </row>
    <row r="142" spans="1:12">
      <c r="A142" s="40"/>
      <c r="L142" s="40"/>
    </row>
    <row r="143" spans="1:12">
      <c r="A143" s="40"/>
      <c r="L143" s="40"/>
    </row>
    <row r="144" spans="1:12">
      <c r="A144" s="40"/>
      <c r="L144" s="40"/>
    </row>
    <row r="145" spans="1:12">
      <c r="A145" s="40"/>
      <c r="L145" s="40"/>
    </row>
    <row r="146" spans="1:12">
      <c r="A146" s="40"/>
      <c r="L146" s="40"/>
    </row>
    <row r="147" spans="1:12">
      <c r="A147" s="40"/>
      <c r="L147" s="40"/>
    </row>
    <row r="148" spans="1:12">
      <c r="A148" s="40"/>
      <c r="L148" s="40"/>
    </row>
    <row r="149" spans="1:12">
      <c r="A149" s="40"/>
      <c r="L149" s="40"/>
    </row>
    <row r="150" spans="1:12">
      <c r="A150" s="40"/>
      <c r="L150" s="40"/>
    </row>
    <row r="151" spans="1:12">
      <c r="A151" s="40"/>
      <c r="L151" s="40"/>
    </row>
    <row r="152" spans="1:12">
      <c r="A152" s="40"/>
      <c r="L152" s="40"/>
    </row>
    <row r="153" spans="1:12">
      <c r="A153" s="40"/>
      <c r="L153" s="40"/>
    </row>
    <row r="154" spans="1:12">
      <c r="A154" s="40"/>
      <c r="L154" s="40"/>
    </row>
    <row r="155" spans="1:12">
      <c r="A155" s="40"/>
      <c r="L155" s="40"/>
    </row>
    <row r="156" spans="1:12">
      <c r="A156" s="40"/>
      <c r="L156" s="40"/>
    </row>
    <row r="157" spans="1:12">
      <c r="A157" s="40"/>
      <c r="L157" s="40"/>
    </row>
    <row r="158" spans="1:12">
      <c r="A158" s="40"/>
      <c r="L158" s="40"/>
    </row>
    <row r="159" spans="1:12">
      <c r="A159" s="40"/>
      <c r="L159" s="40"/>
    </row>
    <row r="160" spans="1:12">
      <c r="A160" s="40"/>
      <c r="L160" s="40"/>
    </row>
    <row r="161" spans="1:12">
      <c r="A161" s="40"/>
      <c r="L161" s="40"/>
    </row>
    <row r="162" spans="1:12">
      <c r="A162" s="40"/>
      <c r="L162" s="40"/>
    </row>
    <row r="163" spans="1:12">
      <c r="A163" s="40"/>
      <c r="L163" s="40"/>
    </row>
    <row r="164" spans="1:12">
      <c r="A164" s="40"/>
      <c r="L164" s="40"/>
    </row>
    <row r="165" spans="1:12">
      <c r="A165" s="40"/>
      <c r="L165" s="40"/>
    </row>
    <row r="166" spans="1:12">
      <c r="A166" s="40"/>
      <c r="L166" s="40"/>
    </row>
    <row r="167" spans="1:12">
      <c r="A167" s="40"/>
      <c r="L167" s="40"/>
    </row>
    <row r="168" spans="1:12">
      <c r="A168" s="40"/>
      <c r="L168" s="40"/>
    </row>
    <row r="169" spans="1:12">
      <c r="A169" s="40"/>
      <c r="L169" s="40"/>
    </row>
    <row r="170" spans="1:12">
      <c r="A170" s="40"/>
      <c r="L170" s="40"/>
    </row>
    <row r="171" spans="1:12">
      <c r="A171" s="40"/>
      <c r="L171" s="40"/>
    </row>
    <row r="172" spans="1:12">
      <c r="A172" s="40"/>
      <c r="L172" s="40"/>
    </row>
    <row r="173" spans="1:12">
      <c r="A173" s="40"/>
      <c r="L173" s="40"/>
    </row>
    <row r="174" spans="1:12">
      <c r="A174" s="40"/>
      <c r="L174" s="40"/>
    </row>
    <row r="175" spans="1:12">
      <c r="A175" s="40"/>
      <c r="L175" s="40"/>
    </row>
    <row r="176" spans="1:12">
      <c r="A176" s="40"/>
      <c r="L176" s="40"/>
    </row>
    <row r="177" spans="1:12">
      <c r="A177" s="40"/>
      <c r="L177" s="40"/>
    </row>
    <row r="178" spans="1:12">
      <c r="A178" s="40"/>
      <c r="L178" s="40"/>
    </row>
    <row r="179" spans="1:12">
      <c r="A179" s="40"/>
      <c r="L179" s="40"/>
    </row>
    <row r="180" spans="1:12">
      <c r="A180" s="40"/>
      <c r="L180" s="40"/>
    </row>
    <row r="181" spans="1:12">
      <c r="A181" s="40"/>
      <c r="L181" s="40"/>
    </row>
    <row r="182" spans="1:12">
      <c r="A182" s="40"/>
      <c r="L182" s="40"/>
    </row>
    <row r="183" spans="1:12">
      <c r="A183" s="40"/>
      <c r="L183" s="40"/>
    </row>
    <row r="184" spans="1:12">
      <c r="A184" s="40"/>
      <c r="L184" s="40"/>
    </row>
    <row r="185" spans="1:12">
      <c r="A185" s="40"/>
      <c r="L185" s="40"/>
    </row>
    <row r="186" spans="1:12">
      <c r="A186" s="40"/>
      <c r="L186" s="40"/>
    </row>
    <row r="187" spans="1:12">
      <c r="A187" s="40"/>
      <c r="L187" s="40"/>
    </row>
    <row r="188" spans="1:12">
      <c r="A188" s="40"/>
      <c r="L188" s="40"/>
    </row>
    <row r="189" spans="1:12">
      <c r="A189" s="40"/>
      <c r="L189" s="40"/>
    </row>
    <row r="190" spans="1:12">
      <c r="A190" s="40"/>
      <c r="L190" s="40"/>
    </row>
    <row r="191" spans="1:12">
      <c r="A191" s="40"/>
      <c r="L191" s="40"/>
    </row>
    <row r="192" spans="1:12">
      <c r="A192" s="40"/>
      <c r="L192" s="40"/>
    </row>
    <row r="193" spans="1:12">
      <c r="A193" s="40"/>
      <c r="L193" s="40"/>
    </row>
    <row r="194" spans="1:12">
      <c r="A194" s="40"/>
      <c r="L194" s="40"/>
    </row>
    <row r="195" spans="1:12">
      <c r="A195" s="40"/>
      <c r="L195" s="40"/>
    </row>
    <row r="196" spans="1:12">
      <c r="A196" s="40"/>
      <c r="L196" s="40"/>
    </row>
    <row r="197" spans="1:12">
      <c r="A197" s="40"/>
      <c r="L197" s="40"/>
    </row>
    <row r="198" spans="1:12">
      <c r="A198" s="40"/>
      <c r="L198" s="40"/>
    </row>
    <row r="199" spans="1:12">
      <c r="A199" s="40"/>
      <c r="L199" s="40"/>
    </row>
    <row r="200" spans="1:12">
      <c r="A200" s="40"/>
      <c r="L200" s="40"/>
    </row>
    <row r="201" spans="1:12">
      <c r="A201" s="40"/>
      <c r="L201" s="40"/>
    </row>
    <row r="202" spans="1:12">
      <c r="A202" s="40"/>
      <c r="L202" s="40"/>
    </row>
    <row r="203" spans="1:12">
      <c r="A203" s="40"/>
      <c r="L203" s="40"/>
    </row>
    <row r="204" spans="1:12">
      <c r="A204" s="40"/>
      <c r="L204" s="40"/>
    </row>
    <row r="205" spans="1:12">
      <c r="A205" s="40"/>
      <c r="L205" s="40"/>
    </row>
    <row r="206" spans="1:12">
      <c r="A206" s="40"/>
      <c r="L206" s="40"/>
    </row>
    <row r="207" spans="1:12">
      <c r="A207" s="40"/>
      <c r="L207" s="40"/>
    </row>
    <row r="208" spans="1:12">
      <c r="A208" s="40"/>
      <c r="L208" s="40"/>
    </row>
    <row r="209" spans="1:12">
      <c r="A209" s="40"/>
      <c r="L209" s="40"/>
    </row>
    <row r="210" spans="1:12">
      <c r="A210" s="40"/>
      <c r="L210" s="40"/>
    </row>
    <row r="211" spans="1:12">
      <c r="A211" s="40"/>
      <c r="L211" s="40"/>
    </row>
    <row r="212" spans="1:12">
      <c r="A212" s="40"/>
      <c r="L212" s="40"/>
    </row>
    <row r="213" spans="1:12">
      <c r="A213" s="40"/>
      <c r="L213" s="40"/>
    </row>
    <row r="214" spans="1:12">
      <c r="A214" s="40"/>
      <c r="L214" s="40"/>
    </row>
    <row r="215" spans="1:12">
      <c r="A215" s="40"/>
      <c r="L215" s="40"/>
    </row>
    <row r="216" spans="1:12">
      <c r="A216" s="40"/>
      <c r="L216" s="40"/>
    </row>
    <row r="217" spans="1:12">
      <c r="A217" s="40"/>
      <c r="L217" s="40"/>
    </row>
    <row r="218" spans="1:12">
      <c r="A218" s="40"/>
      <c r="L218" s="40"/>
    </row>
    <row r="219" spans="1:12">
      <c r="A219" s="40"/>
      <c r="L219" s="40"/>
    </row>
    <row r="220" spans="1:12">
      <c r="A220" s="40"/>
      <c r="L220" s="40"/>
    </row>
    <row r="221" spans="1:12">
      <c r="A221" s="40"/>
      <c r="L221" s="40"/>
    </row>
    <row r="222" spans="1:12">
      <c r="A222" s="40"/>
      <c r="L222" s="40"/>
    </row>
    <row r="223" spans="1:12">
      <c r="A223" s="40"/>
      <c r="L223" s="40"/>
    </row>
    <row r="224" spans="1:12">
      <c r="A224" s="40"/>
      <c r="L224" s="40"/>
    </row>
    <row r="225" spans="1:12">
      <c r="A225" s="40"/>
      <c r="L225" s="40"/>
    </row>
    <row r="226" spans="1:12">
      <c r="A226" s="40"/>
      <c r="L226" s="40"/>
    </row>
    <row r="227" spans="1:12">
      <c r="A227" s="40"/>
      <c r="L227" s="40"/>
    </row>
    <row r="228" spans="1:12">
      <c r="A228" s="40"/>
      <c r="L228" s="40"/>
    </row>
    <row r="229" spans="1:12">
      <c r="A229" s="40"/>
      <c r="L229" s="40"/>
    </row>
    <row r="230" spans="1:12">
      <c r="A230" s="40"/>
      <c r="L230" s="40"/>
    </row>
    <row r="231" spans="1:12">
      <c r="A231" s="40"/>
      <c r="L231" s="40"/>
    </row>
    <row r="232" spans="1:12">
      <c r="A232" s="40"/>
      <c r="L232" s="40"/>
    </row>
    <row r="233" spans="1:12">
      <c r="A233" s="40"/>
      <c r="L233" s="40"/>
    </row>
    <row r="234" spans="1:12">
      <c r="A234" s="40"/>
      <c r="L234" s="40"/>
    </row>
    <row r="235" spans="1:12">
      <c r="A235" s="40"/>
      <c r="L235" s="40"/>
    </row>
    <row r="236" spans="1:12">
      <c r="A236" s="40"/>
      <c r="L236" s="40"/>
    </row>
    <row r="237" spans="1:12">
      <c r="A237" s="40"/>
      <c r="L237" s="40"/>
    </row>
    <row r="238" spans="1:12">
      <c r="A238" s="40"/>
      <c r="L238" s="40"/>
    </row>
    <row r="239" spans="1:12">
      <c r="A239" s="40"/>
      <c r="L239" s="40"/>
    </row>
    <row r="240" spans="1:12">
      <c r="A240" s="40"/>
      <c r="L240" s="40"/>
    </row>
    <row r="241" spans="1:12">
      <c r="A241" s="40"/>
      <c r="L241" s="40"/>
    </row>
    <row r="242" spans="1:12">
      <c r="A242" s="40"/>
      <c r="L242" s="40"/>
    </row>
    <row r="243" spans="1:12">
      <c r="A243" s="40"/>
      <c r="L243" s="40"/>
    </row>
    <row r="244" spans="1:12">
      <c r="A244" s="40"/>
      <c r="L244" s="40"/>
    </row>
    <row r="245" spans="1:12">
      <c r="A245" s="40"/>
      <c r="L245" s="40"/>
    </row>
    <row r="246" spans="1:12">
      <c r="A246" s="40"/>
      <c r="L246" s="40"/>
    </row>
    <row r="247" spans="1:12">
      <c r="A247" s="40"/>
      <c r="L247" s="40"/>
    </row>
    <row r="248" spans="1:12">
      <c r="A248" s="40"/>
      <c r="L248" s="40"/>
    </row>
    <row r="249" spans="1:12">
      <c r="A249" s="40"/>
      <c r="L249" s="40"/>
    </row>
    <row r="250" spans="1:12">
      <c r="A250" s="40"/>
      <c r="L250" s="40"/>
    </row>
    <row r="251" spans="1:12">
      <c r="A251" s="40"/>
      <c r="L251" s="40"/>
    </row>
    <row r="252" spans="1:12">
      <c r="A252" s="40"/>
      <c r="L252" s="40"/>
    </row>
    <row r="253" spans="1:12">
      <c r="A253" s="40"/>
      <c r="L253" s="40"/>
    </row>
    <row r="254" spans="1:12">
      <c r="A254" s="40"/>
      <c r="L254" s="40"/>
    </row>
    <row r="255" spans="1:12">
      <c r="A255" s="40"/>
      <c r="L255" s="40"/>
    </row>
    <row r="256" spans="1:12">
      <c r="A256" s="40"/>
      <c r="L256" s="40"/>
    </row>
    <row r="257" spans="1:12">
      <c r="A257" s="40"/>
      <c r="L257" s="40"/>
    </row>
    <row r="258" spans="1:12">
      <c r="A258" s="40"/>
      <c r="L258" s="40"/>
    </row>
    <row r="259" spans="1:12">
      <c r="A259" s="40"/>
      <c r="L259" s="40"/>
    </row>
    <row r="260" spans="1:12">
      <c r="A260" s="40"/>
      <c r="L260" s="40"/>
    </row>
    <row r="261" spans="1:12">
      <c r="A261" s="40"/>
      <c r="L261" s="40"/>
    </row>
    <row r="262" spans="1:12">
      <c r="A262" s="40"/>
      <c r="L262" s="40"/>
    </row>
    <row r="263" spans="1:12">
      <c r="A263" s="40"/>
      <c r="L263" s="40"/>
    </row>
    <row r="264" spans="1:12">
      <c r="A264" s="40"/>
      <c r="L264" s="40"/>
    </row>
    <row r="265" spans="1:12">
      <c r="A265" s="40"/>
      <c r="L265" s="40"/>
    </row>
    <row r="266" spans="1:12">
      <c r="A266" s="40"/>
      <c r="L266" s="40"/>
    </row>
    <row r="267" spans="1:12">
      <c r="A267" s="40"/>
      <c r="L267" s="40"/>
    </row>
    <row r="268" spans="1:12">
      <c r="A268" s="40"/>
      <c r="L268" s="40"/>
    </row>
    <row r="269" spans="1:12">
      <c r="A269" s="40"/>
      <c r="L269" s="40"/>
    </row>
    <row r="270" spans="1:12">
      <c r="A270" s="40"/>
      <c r="L270" s="40"/>
    </row>
    <row r="271" spans="1:12">
      <c r="A271" s="40"/>
      <c r="L271" s="40"/>
    </row>
    <row r="272" spans="1:12">
      <c r="A272" s="40"/>
      <c r="L272" s="40"/>
    </row>
    <row r="273" spans="1:12">
      <c r="A273" s="40"/>
      <c r="L273" s="40"/>
    </row>
    <row r="274" spans="1:12">
      <c r="A274" s="40"/>
      <c r="L274" s="40"/>
    </row>
    <row r="275" spans="1:12">
      <c r="A275" s="40"/>
      <c r="L275" s="40"/>
    </row>
    <row r="276" spans="1:12">
      <c r="A276" s="40"/>
      <c r="L276" s="40"/>
    </row>
    <row r="277" spans="1:12">
      <c r="A277" s="40"/>
      <c r="L277" s="40"/>
    </row>
    <row r="278" spans="1:12">
      <c r="A278" s="40"/>
      <c r="L278" s="40"/>
    </row>
    <row r="279" spans="1:12">
      <c r="A279" s="40"/>
      <c r="L279" s="40"/>
    </row>
    <row r="280" spans="1:12">
      <c r="A280" s="40"/>
      <c r="L280" s="40"/>
    </row>
    <row r="281" spans="1:12">
      <c r="A281" s="40"/>
      <c r="L281" s="40"/>
    </row>
    <row r="282" spans="1:12">
      <c r="A282" s="40"/>
      <c r="L282" s="40"/>
    </row>
    <row r="283" spans="1:12">
      <c r="A283" s="40"/>
      <c r="L283" s="40"/>
    </row>
    <row r="284" spans="1:12">
      <c r="A284" s="40"/>
      <c r="L284" s="40"/>
    </row>
    <row r="285" spans="1:12">
      <c r="A285" s="40"/>
      <c r="L285" s="40"/>
    </row>
    <row r="286" spans="1:12">
      <c r="A286" s="40"/>
      <c r="L286" s="40"/>
    </row>
    <row r="287" spans="1:12">
      <c r="A287" s="40"/>
      <c r="L287" s="40"/>
    </row>
    <row r="288" spans="1:12">
      <c r="A288" s="40"/>
      <c r="L288" s="40"/>
    </row>
    <row r="289" spans="1:12">
      <c r="A289" s="40"/>
      <c r="L289" s="40"/>
    </row>
    <row r="290" spans="1:12">
      <c r="A290" s="40"/>
      <c r="L290" s="40"/>
    </row>
    <row r="291" spans="1:12">
      <c r="A291" s="40"/>
      <c r="L291" s="40"/>
    </row>
    <row r="292" spans="1:12">
      <c r="A292" s="40"/>
      <c r="L292" s="40"/>
    </row>
    <row r="293" spans="1:12">
      <c r="A293" s="40"/>
      <c r="L293" s="40"/>
    </row>
    <row r="294" spans="1:12">
      <c r="A294" s="40"/>
      <c r="L294" s="40"/>
    </row>
    <row r="295" spans="1:12">
      <c r="A295" s="40"/>
      <c r="L295" s="40"/>
    </row>
    <row r="296" spans="1:12">
      <c r="A296" s="40"/>
      <c r="L296" s="40"/>
    </row>
    <row r="297" spans="1:12">
      <c r="A297" s="40"/>
      <c r="L297" s="40"/>
    </row>
    <row r="298" spans="1:12">
      <c r="A298" s="40"/>
      <c r="L298" s="40"/>
    </row>
    <row r="299" spans="1:12">
      <c r="A299" s="40"/>
      <c r="L299" s="40"/>
    </row>
    <row r="300" spans="1:12">
      <c r="A300" s="40"/>
      <c r="L300" s="40"/>
    </row>
    <row r="301" spans="1:12">
      <c r="A301" s="40"/>
      <c r="L301" s="40"/>
    </row>
    <row r="302" spans="1:12">
      <c r="A302" s="40"/>
      <c r="L302" s="40"/>
    </row>
    <row r="303" spans="1:12">
      <c r="A303" s="40"/>
      <c r="L303" s="40"/>
    </row>
    <row r="304" spans="1:12">
      <c r="A304" s="40"/>
      <c r="L304" s="40"/>
    </row>
    <row r="305" spans="1:12">
      <c r="A305" s="40"/>
      <c r="L305" s="40"/>
    </row>
    <row r="306" spans="1:12">
      <c r="A306" s="40"/>
      <c r="L306" s="40"/>
    </row>
    <row r="307" spans="1:12">
      <c r="A307" s="40"/>
      <c r="L307" s="40"/>
    </row>
    <row r="308" spans="1:12">
      <c r="A308" s="40"/>
      <c r="L308" s="40"/>
    </row>
    <row r="309" spans="1:12">
      <c r="A309" s="40"/>
      <c r="L309" s="40"/>
    </row>
    <row r="310" spans="1:12">
      <c r="A310" s="40"/>
      <c r="L310" s="40"/>
    </row>
    <row r="311" spans="1:12">
      <c r="A311" s="40"/>
      <c r="L311" s="40"/>
    </row>
    <row r="312" spans="1:12">
      <c r="A312" s="40"/>
      <c r="L312" s="40"/>
    </row>
    <row r="313" spans="1:12">
      <c r="A313" s="40"/>
      <c r="L313" s="40"/>
    </row>
    <row r="314" spans="1:12">
      <c r="A314" s="40"/>
      <c r="L314" s="40"/>
    </row>
    <row r="315" spans="1:12">
      <c r="A315" s="40"/>
      <c r="L315" s="40"/>
    </row>
    <row r="316" spans="1:12">
      <c r="A316" s="40"/>
      <c r="L316" s="40"/>
    </row>
    <row r="317" spans="1:12">
      <c r="A317" s="40"/>
      <c r="L317" s="40"/>
    </row>
    <row r="318" spans="1:12">
      <c r="A318" s="40"/>
      <c r="L318" s="40"/>
    </row>
    <row r="319" spans="1:12">
      <c r="A319" s="40"/>
      <c r="L319" s="40"/>
    </row>
    <row r="320" spans="1:12">
      <c r="A320" s="40"/>
      <c r="L320" s="40"/>
    </row>
    <row r="321" spans="1:12">
      <c r="A321" s="40"/>
      <c r="L321" s="40"/>
    </row>
    <row r="322" spans="1:12">
      <c r="A322" s="40"/>
      <c r="L322" s="40"/>
    </row>
    <row r="323" spans="1:12">
      <c r="A323" s="40"/>
      <c r="L323" s="40"/>
    </row>
    <row r="324" spans="1:12">
      <c r="A324" s="40"/>
      <c r="L324" s="40"/>
    </row>
    <row r="325" spans="1:12">
      <c r="A325" s="40"/>
      <c r="L325" s="40"/>
    </row>
    <row r="326" spans="1:12">
      <c r="A326" s="40"/>
      <c r="L326" s="40"/>
    </row>
    <row r="327" spans="1:12">
      <c r="A327" s="40"/>
      <c r="L327" s="40"/>
    </row>
    <row r="328" spans="1:12">
      <c r="A328" s="40"/>
      <c r="L328" s="40"/>
    </row>
    <row r="329" spans="1:12">
      <c r="A329" s="40"/>
      <c r="L329" s="40"/>
    </row>
    <row r="330" spans="1:12">
      <c r="A330" s="40"/>
      <c r="L330" s="40"/>
    </row>
    <row r="331" spans="1:12">
      <c r="A331" s="40"/>
      <c r="L331" s="40"/>
    </row>
    <row r="332" spans="1:12">
      <c r="A332" s="40"/>
      <c r="L332" s="40"/>
    </row>
    <row r="333" spans="1:12">
      <c r="A333" s="40"/>
      <c r="L333" s="40"/>
    </row>
    <row r="334" spans="1:12">
      <c r="A334" s="40"/>
      <c r="L334" s="40"/>
    </row>
    <row r="335" spans="1:12">
      <c r="A335" s="40"/>
      <c r="L335" s="40"/>
    </row>
    <row r="336" spans="1:12">
      <c r="A336" s="40"/>
      <c r="L336" s="40"/>
    </row>
    <row r="337" spans="1:12">
      <c r="A337" s="40"/>
      <c r="L337" s="40"/>
    </row>
    <row r="338" spans="1:12">
      <c r="A338" s="40"/>
      <c r="L338" s="40"/>
    </row>
    <row r="339" spans="1:12">
      <c r="A339" s="40"/>
      <c r="L339" s="40"/>
    </row>
    <row r="340" spans="1:12">
      <c r="A340" s="40"/>
      <c r="L340" s="40"/>
    </row>
    <row r="341" spans="1:12">
      <c r="A341" s="40"/>
      <c r="L341" s="40"/>
    </row>
    <row r="342" spans="1:12">
      <c r="A342" s="40"/>
      <c r="L342" s="40"/>
    </row>
    <row r="343" spans="1:12">
      <c r="A343" s="40"/>
      <c r="L343" s="40"/>
    </row>
    <row r="344" spans="1:12">
      <c r="A344" s="40"/>
      <c r="L344" s="40"/>
    </row>
    <row r="345" spans="1:12">
      <c r="A345" s="40"/>
      <c r="L345" s="40"/>
    </row>
    <row r="346" spans="1:12">
      <c r="A346" s="40"/>
      <c r="L346" s="40"/>
    </row>
    <row r="347" spans="1:12">
      <c r="A347" s="40"/>
      <c r="L347" s="40"/>
    </row>
    <row r="348" spans="1:12">
      <c r="A348" s="40"/>
      <c r="L348" s="40"/>
    </row>
    <row r="349" spans="1:12">
      <c r="A349" s="40"/>
      <c r="L349" s="40"/>
    </row>
    <row r="350" spans="1:12">
      <c r="A350" s="40"/>
      <c r="L350" s="40"/>
    </row>
    <row r="351" spans="1:12">
      <c r="A351" s="40"/>
      <c r="L351" s="40"/>
    </row>
    <row r="352" spans="1:12">
      <c r="A352" s="40"/>
      <c r="L352" s="40"/>
    </row>
    <row r="353" spans="1:12">
      <c r="A353" s="40"/>
      <c r="L353" s="40"/>
    </row>
    <row r="354" spans="1:12">
      <c r="A354" s="40"/>
      <c r="L354" s="40"/>
    </row>
    <row r="355" spans="1:12">
      <c r="A355" s="40"/>
      <c r="L355" s="40"/>
    </row>
    <row r="356" spans="1:12">
      <c r="A356" s="40"/>
      <c r="L356" s="40"/>
    </row>
    <row r="357" spans="1:12">
      <c r="A357" s="40"/>
      <c r="L357" s="40"/>
    </row>
    <row r="358" spans="1:12">
      <c r="A358" s="40"/>
      <c r="L358" s="40"/>
    </row>
    <row r="359" spans="1:12">
      <c r="A359" s="40"/>
      <c r="L359" s="40"/>
    </row>
    <row r="360" spans="1:12">
      <c r="A360" s="40"/>
      <c r="L360" s="40"/>
    </row>
    <row r="361" spans="1:12">
      <c r="A361" s="40"/>
      <c r="L361" s="40"/>
    </row>
    <row r="362" spans="1:12">
      <c r="A362" s="40"/>
      <c r="L362" s="40"/>
    </row>
    <row r="363" spans="1:12">
      <c r="A363" s="40"/>
      <c r="L363" s="40"/>
    </row>
    <row r="364" spans="1:12">
      <c r="A364" s="40"/>
      <c r="L364" s="40"/>
    </row>
    <row r="365" spans="1:12">
      <c r="A365" s="40"/>
      <c r="L365" s="40"/>
    </row>
    <row r="366" spans="1:12">
      <c r="A366" s="40"/>
      <c r="L366" s="40"/>
    </row>
    <row r="367" spans="1:12">
      <c r="A367" s="40"/>
      <c r="L367" s="40"/>
    </row>
    <row r="368" spans="1:12">
      <c r="A368" s="40"/>
      <c r="L368" s="40"/>
    </row>
    <row r="369" spans="1:12">
      <c r="A369" s="40"/>
      <c r="L369" s="40"/>
    </row>
    <row r="370" spans="1:12">
      <c r="A370" s="40"/>
      <c r="L370" s="40"/>
    </row>
    <row r="371" spans="1:12">
      <c r="A371" s="40"/>
      <c r="L371" s="40"/>
    </row>
    <row r="372" spans="1:12">
      <c r="A372" s="40"/>
      <c r="L372" s="40"/>
    </row>
    <row r="373" spans="1:12">
      <c r="A373" s="40"/>
      <c r="L373" s="40"/>
    </row>
    <row r="374" spans="1:12">
      <c r="A374" s="40"/>
      <c r="L374" s="40"/>
    </row>
    <row r="375" spans="1:12">
      <c r="A375" s="40"/>
      <c r="L375" s="40"/>
    </row>
    <row r="376" spans="1:12">
      <c r="A376" s="40"/>
      <c r="L376" s="40"/>
    </row>
    <row r="377" spans="1:12">
      <c r="A377" s="40"/>
      <c r="L377" s="40"/>
    </row>
    <row r="378" spans="1:12">
      <c r="A378" s="40"/>
      <c r="L378" s="40"/>
    </row>
    <row r="379" spans="1:12">
      <c r="A379" s="40"/>
      <c r="L379" s="40"/>
    </row>
    <row r="380" spans="1:12">
      <c r="A380" s="40"/>
      <c r="L380" s="40"/>
    </row>
    <row r="381" spans="1:12">
      <c r="A381" s="40"/>
      <c r="L381" s="40"/>
    </row>
    <row r="382" spans="1:12">
      <c r="A382" s="40"/>
      <c r="L382" s="40"/>
    </row>
    <row r="383" spans="1:12">
      <c r="A383" s="40"/>
      <c r="L383" s="40"/>
    </row>
    <row r="384" spans="1:12">
      <c r="A384" s="40"/>
      <c r="L384" s="40"/>
    </row>
    <row r="385" spans="1:12">
      <c r="A385" s="40"/>
      <c r="L385" s="40"/>
    </row>
    <row r="386" spans="1:12">
      <c r="A386" s="40"/>
      <c r="L386" s="40"/>
    </row>
    <row r="387" spans="1:12">
      <c r="A387" s="40"/>
      <c r="L387" s="40"/>
    </row>
    <row r="388" spans="1:12">
      <c r="A388" s="40"/>
      <c r="L388" s="40"/>
    </row>
    <row r="389" spans="1:12">
      <c r="A389" s="40"/>
      <c r="L389" s="40"/>
    </row>
    <row r="390" spans="1:12">
      <c r="A390" s="40"/>
      <c r="L390" s="40"/>
    </row>
    <row r="391" spans="1:12">
      <c r="A391" s="40"/>
      <c r="L391" s="40"/>
    </row>
    <row r="392" spans="1:12">
      <c r="A392" s="40"/>
      <c r="L392" s="40"/>
    </row>
    <row r="393" spans="1:12">
      <c r="A393" s="40"/>
      <c r="L393" s="40"/>
    </row>
    <row r="394" spans="1:12">
      <c r="A394" s="40"/>
      <c r="L394" s="40"/>
    </row>
    <row r="395" spans="1:12">
      <c r="A395" s="40"/>
      <c r="L395" s="40"/>
    </row>
    <row r="396" spans="1:12">
      <c r="A396" s="40"/>
      <c r="L396" s="40"/>
    </row>
    <row r="397" spans="1:12">
      <c r="A397" s="40"/>
      <c r="L397" s="40"/>
    </row>
    <row r="398" spans="1:12">
      <c r="A398" s="40"/>
      <c r="L398" s="40"/>
    </row>
    <row r="399" spans="1:12">
      <c r="A399" s="40"/>
      <c r="L399" s="40"/>
    </row>
    <row r="400" spans="1:12">
      <c r="A400" s="40"/>
      <c r="L400" s="40"/>
    </row>
    <row r="401" spans="1:12">
      <c r="A401" s="40"/>
      <c r="L401" s="40"/>
    </row>
    <row r="402" spans="1:12">
      <c r="A402" s="40"/>
      <c r="L402" s="40"/>
    </row>
    <row r="403" spans="1:12">
      <c r="A403" s="40"/>
      <c r="L403" s="40"/>
    </row>
    <row r="404" spans="1:12">
      <c r="A404" s="40"/>
      <c r="L404" s="40"/>
    </row>
    <row r="405" spans="1:12">
      <c r="A405" s="40"/>
      <c r="L405" s="40"/>
    </row>
    <row r="406" spans="1:12">
      <c r="A406" s="40"/>
      <c r="L406" s="40"/>
    </row>
    <row r="407" spans="1:12">
      <c r="A407" s="40"/>
      <c r="L407" s="40"/>
    </row>
    <row r="408" spans="1:12">
      <c r="A408" s="40"/>
      <c r="L408" s="40"/>
    </row>
    <row r="409" spans="1:12">
      <c r="A409" s="40"/>
      <c r="L409" s="40"/>
    </row>
    <row r="410" spans="1:12">
      <c r="A410" s="40"/>
      <c r="L410" s="40"/>
    </row>
    <row r="411" spans="1:12">
      <c r="A411" s="40"/>
      <c r="L411" s="40"/>
    </row>
    <row r="412" spans="1:12">
      <c r="A412" s="40"/>
      <c r="L412" s="40"/>
    </row>
    <row r="413" spans="1:12">
      <c r="A413" s="40"/>
      <c r="L413" s="40"/>
    </row>
    <row r="414" spans="1:12">
      <c r="A414" s="40"/>
      <c r="L414" s="40"/>
    </row>
    <row r="415" spans="1:12">
      <c r="A415" s="40"/>
      <c r="L415" s="40"/>
    </row>
    <row r="416" spans="1:12">
      <c r="A416" s="40"/>
      <c r="L416" s="40"/>
    </row>
    <row r="417" spans="1:12">
      <c r="A417" s="40"/>
      <c r="L417" s="40"/>
    </row>
    <row r="418" spans="1:12">
      <c r="A418" s="40"/>
      <c r="L418" s="40"/>
    </row>
    <row r="419" spans="1:12">
      <c r="A419" s="40"/>
      <c r="L419" s="40"/>
    </row>
    <row r="420" spans="1:12">
      <c r="A420" s="40"/>
      <c r="L420" s="40"/>
    </row>
    <row r="421" spans="1:12">
      <c r="A421" s="40"/>
      <c r="L421" s="40"/>
    </row>
    <row r="422" spans="1:12">
      <c r="A422" s="40"/>
      <c r="L422" s="40"/>
    </row>
    <row r="423" spans="1:12">
      <c r="A423" s="40"/>
      <c r="L423" s="40"/>
    </row>
    <row r="424" spans="1:12">
      <c r="A424" s="40"/>
      <c r="L424" s="40"/>
    </row>
    <row r="425" spans="1:12">
      <c r="A425" s="40"/>
      <c r="L425" s="40"/>
    </row>
    <row r="426" spans="1:12">
      <c r="A426" s="40"/>
      <c r="L426" s="40"/>
    </row>
    <row r="427" spans="1:12">
      <c r="A427" s="40"/>
      <c r="L427" s="40"/>
    </row>
    <row r="428" spans="1:12">
      <c r="A428" s="40"/>
      <c r="L428" s="40"/>
    </row>
    <row r="429" spans="1:12">
      <c r="A429" s="40"/>
      <c r="L429" s="40"/>
    </row>
    <row r="430" spans="1:12">
      <c r="A430" s="40"/>
      <c r="L430" s="40"/>
    </row>
    <row r="431" spans="1:12">
      <c r="A431" s="40"/>
      <c r="L431" s="40"/>
    </row>
    <row r="432" spans="1:12">
      <c r="A432" s="40"/>
      <c r="L432" s="40"/>
    </row>
    <row r="433" spans="1:12">
      <c r="A433" s="40"/>
      <c r="L433" s="40"/>
    </row>
    <row r="434" spans="1:12">
      <c r="A434" s="40"/>
      <c r="L434" s="40"/>
    </row>
    <row r="435" spans="1:12">
      <c r="A435" s="40"/>
      <c r="L435" s="40"/>
    </row>
    <row r="436" spans="1:12">
      <c r="A436" s="40"/>
      <c r="L436" s="40"/>
    </row>
    <row r="437" spans="1:12">
      <c r="A437" s="40"/>
      <c r="L437" s="40"/>
    </row>
    <row r="438" spans="1:12">
      <c r="A438" s="40"/>
      <c r="L438" s="40"/>
    </row>
    <row r="439" spans="1:12">
      <c r="A439" s="40"/>
      <c r="L439" s="40"/>
    </row>
    <row r="440" spans="1:12">
      <c r="A440" s="40"/>
      <c r="L440" s="40"/>
    </row>
    <row r="441" spans="1:12">
      <c r="A441" s="40"/>
      <c r="L441" s="40"/>
    </row>
    <row r="442" spans="1:12">
      <c r="A442" s="40"/>
      <c r="L442" s="40"/>
    </row>
    <row r="443" spans="1:12">
      <c r="A443" s="40"/>
      <c r="L443" s="40"/>
    </row>
    <row r="444" spans="1:12">
      <c r="A444" s="40"/>
      <c r="L444" s="40"/>
    </row>
    <row r="445" spans="1:12">
      <c r="A445" s="40"/>
      <c r="L445" s="40"/>
    </row>
    <row r="446" spans="1:12">
      <c r="A446" s="40"/>
      <c r="L446" s="40"/>
    </row>
    <row r="447" spans="1:12">
      <c r="A447" s="40"/>
      <c r="L447" s="40"/>
    </row>
    <row r="448" spans="1:12">
      <c r="A448" s="40"/>
      <c r="L448" s="40"/>
    </row>
    <row r="449" spans="1:12">
      <c r="A449" s="40"/>
      <c r="L449" s="40"/>
    </row>
    <row r="450" spans="1:12">
      <c r="A450" s="40"/>
      <c r="L450" s="40"/>
    </row>
    <row r="451" spans="1:12">
      <c r="A451" s="40"/>
      <c r="L451" s="40"/>
    </row>
    <row r="452" spans="1:12">
      <c r="A452" s="40"/>
      <c r="L452" s="40"/>
    </row>
    <row r="453" spans="1:12">
      <c r="A453" s="40"/>
      <c r="L453" s="40"/>
    </row>
    <row r="454" spans="1:12">
      <c r="A454" s="40"/>
      <c r="L454" s="40"/>
    </row>
    <row r="455" spans="1:12">
      <c r="A455" s="40"/>
      <c r="L455" s="40"/>
    </row>
    <row r="456" spans="1:12">
      <c r="A456" s="40"/>
      <c r="L456" s="40"/>
    </row>
    <row r="457" spans="1:12">
      <c r="A457" s="40"/>
      <c r="L457" s="40"/>
    </row>
    <row r="458" spans="1:12">
      <c r="A458" s="40"/>
      <c r="L458" s="40"/>
    </row>
    <row r="459" spans="1:12">
      <c r="A459" s="40"/>
      <c r="L459" s="40"/>
    </row>
    <row r="460" spans="1:12">
      <c r="A460" s="40"/>
      <c r="L460" s="40"/>
    </row>
    <row r="461" spans="1:12">
      <c r="A461" s="40"/>
      <c r="L461" s="40"/>
    </row>
    <row r="462" spans="1:12">
      <c r="A462" s="40"/>
      <c r="L462" s="40"/>
    </row>
    <row r="463" spans="1:12">
      <c r="A463" s="40"/>
      <c r="L463" s="40"/>
    </row>
    <row r="464" spans="1:12">
      <c r="A464" s="40"/>
      <c r="L464" s="40"/>
    </row>
    <row r="465" spans="1:12">
      <c r="A465" s="40"/>
      <c r="L465" s="40"/>
    </row>
    <row r="466" spans="1:12">
      <c r="A466" s="40"/>
      <c r="L466" s="40"/>
    </row>
    <row r="467" spans="1:12">
      <c r="A467" s="40"/>
      <c r="L467" s="40"/>
    </row>
    <row r="468" spans="1:12">
      <c r="A468" s="40"/>
      <c r="L468" s="40"/>
    </row>
    <row r="469" spans="1:12">
      <c r="A469" s="40"/>
      <c r="L469" s="40"/>
    </row>
    <row r="470" spans="1:12">
      <c r="A470" s="40"/>
      <c r="L470" s="40"/>
    </row>
    <row r="471" spans="1:12">
      <c r="A471" s="40"/>
      <c r="L471" s="40"/>
    </row>
    <row r="472" spans="1:12">
      <c r="A472" s="40"/>
      <c r="L472" s="40"/>
    </row>
    <row r="473" spans="1:12">
      <c r="A473" s="40"/>
      <c r="L473" s="40"/>
    </row>
    <row r="474" spans="1:12">
      <c r="A474" s="40"/>
      <c r="L474" s="40"/>
    </row>
    <row r="475" spans="1:12">
      <c r="A475" s="40"/>
      <c r="L475" s="40"/>
    </row>
    <row r="476" spans="1:12">
      <c r="A476" s="40"/>
      <c r="L476" s="40"/>
    </row>
    <row r="477" spans="1:12">
      <c r="A477" s="40"/>
      <c r="L477" s="40"/>
    </row>
    <row r="478" spans="1:12">
      <c r="A478" s="40"/>
      <c r="L478" s="40"/>
    </row>
    <row r="479" spans="1:12">
      <c r="A479" s="40"/>
      <c r="L479" s="40"/>
    </row>
    <row r="480" spans="1:12">
      <c r="A480" s="40"/>
      <c r="L480" s="40"/>
    </row>
    <row r="481" spans="1:12">
      <c r="A481" s="40"/>
      <c r="L481" s="40"/>
    </row>
    <row r="482" spans="1:12">
      <c r="A482" s="40"/>
      <c r="L482" s="40"/>
    </row>
    <row r="483" spans="1:12">
      <c r="A483" s="40"/>
      <c r="L483" s="40"/>
    </row>
    <row r="484" spans="1:12">
      <c r="A484" s="40"/>
      <c r="L484" s="40"/>
    </row>
    <row r="485" spans="1:12">
      <c r="A485" s="40"/>
      <c r="L485" s="40"/>
    </row>
    <row r="486" spans="1:12">
      <c r="A486" s="40"/>
      <c r="L486" s="40"/>
    </row>
    <row r="487" spans="1:12">
      <c r="A487" s="40"/>
      <c r="L487" s="40"/>
    </row>
    <row r="488" spans="1:12">
      <c r="A488" s="40"/>
      <c r="L488" s="40"/>
    </row>
    <row r="489" spans="1:12">
      <c r="A489" s="40"/>
      <c r="L489" s="40"/>
    </row>
    <row r="490" spans="1:12">
      <c r="A490" s="40"/>
      <c r="L490" s="40"/>
    </row>
    <row r="491" spans="1:12">
      <c r="A491" s="40"/>
      <c r="L491" s="40"/>
    </row>
    <row r="492" spans="1:12">
      <c r="A492" s="40"/>
      <c r="L492" s="40"/>
    </row>
    <row r="493" spans="1:12">
      <c r="A493" s="40"/>
      <c r="L493" s="40"/>
    </row>
    <row r="494" spans="1:12">
      <c r="A494" s="40"/>
      <c r="L494" s="40"/>
    </row>
    <row r="495" spans="1:12">
      <c r="A495" s="40"/>
      <c r="L495" s="40"/>
    </row>
    <row r="496" spans="1:12">
      <c r="A496" s="40"/>
      <c r="L496" s="40"/>
    </row>
    <row r="497" spans="1:12">
      <c r="A497" s="40"/>
      <c r="L497" s="40"/>
    </row>
    <row r="498" spans="1:12">
      <c r="A498" s="40"/>
      <c r="L498" s="40"/>
    </row>
    <row r="499" spans="1:12">
      <c r="A499" s="40"/>
      <c r="L499" s="40"/>
    </row>
    <row r="500" spans="1:12">
      <c r="A500" s="40"/>
      <c r="L500" s="40"/>
    </row>
    <row r="501" spans="1:12">
      <c r="A501" s="40"/>
      <c r="L501" s="40"/>
    </row>
    <row r="502" spans="1:12">
      <c r="A502" s="40"/>
      <c r="L502" s="40"/>
    </row>
    <row r="503" spans="1:12">
      <c r="A503" s="40"/>
      <c r="L503" s="40"/>
    </row>
    <row r="504" spans="1:12">
      <c r="A504" s="40"/>
      <c r="L504" s="40"/>
    </row>
    <row r="505" spans="1:12">
      <c r="A505" s="40"/>
      <c r="L505" s="40"/>
    </row>
    <row r="506" spans="1:12">
      <c r="A506" s="40"/>
      <c r="L506" s="40"/>
    </row>
    <row r="507" spans="1:12">
      <c r="A507" s="40"/>
      <c r="L507" s="40"/>
    </row>
    <row r="508" spans="1:12">
      <c r="A508" s="40"/>
      <c r="L508" s="40"/>
    </row>
    <row r="509" spans="1:12">
      <c r="A509" s="40"/>
      <c r="L509" s="40"/>
    </row>
    <row r="510" spans="1:12">
      <c r="A510" s="40"/>
      <c r="L510" s="40"/>
    </row>
    <row r="511" spans="1:12">
      <c r="A511" s="40"/>
      <c r="L511" s="40"/>
    </row>
    <row r="512" spans="1:12">
      <c r="A512" s="40"/>
      <c r="L512" s="40"/>
    </row>
    <row r="513" spans="1:12">
      <c r="A513" s="40"/>
      <c r="L513" s="40"/>
    </row>
    <row r="514" spans="1:12">
      <c r="A514" s="40"/>
      <c r="L514" s="40"/>
    </row>
    <row r="515" spans="1:12">
      <c r="A515" s="40"/>
      <c r="L515" s="40"/>
    </row>
    <row r="516" spans="1:12">
      <c r="A516" s="40"/>
      <c r="L516" s="40"/>
    </row>
    <row r="517" spans="1:12">
      <c r="A517" s="40"/>
      <c r="L517" s="40"/>
    </row>
    <row r="518" spans="1:12">
      <c r="A518" s="40"/>
      <c r="L518" s="40"/>
    </row>
    <row r="519" spans="1:12">
      <c r="A519" s="40"/>
      <c r="L519" s="40"/>
    </row>
    <row r="520" spans="1:12">
      <c r="A520" s="40"/>
      <c r="L520" s="40"/>
    </row>
    <row r="521" spans="1:12">
      <c r="A521" s="40"/>
      <c r="L521" s="40"/>
    </row>
    <row r="522" spans="1:12">
      <c r="A522" s="40"/>
      <c r="L522" s="40"/>
    </row>
    <row r="523" spans="1:12">
      <c r="A523" s="40"/>
      <c r="L523" s="40"/>
    </row>
    <row r="524" spans="1:12">
      <c r="A524" s="40"/>
      <c r="L524" s="40"/>
    </row>
    <row r="525" spans="1:12">
      <c r="A525" s="40"/>
      <c r="L525" s="40"/>
    </row>
    <row r="526" spans="1:12">
      <c r="A526" s="40"/>
      <c r="L526" s="40"/>
    </row>
    <row r="527" spans="1:12">
      <c r="A527" s="40"/>
      <c r="L527" s="40"/>
    </row>
    <row r="528" spans="1:12">
      <c r="A528" s="40"/>
      <c r="L528" s="40"/>
    </row>
    <row r="529" spans="1:12">
      <c r="A529" s="40"/>
      <c r="L529" s="40"/>
    </row>
    <row r="530" spans="1:12">
      <c r="A530" s="40"/>
      <c r="L530" s="40"/>
    </row>
    <row r="531" spans="1:12">
      <c r="A531" s="40"/>
      <c r="L531" s="40"/>
    </row>
    <row r="532" spans="1:12">
      <c r="A532" s="40"/>
      <c r="L532" s="40"/>
    </row>
    <row r="533" spans="1:12">
      <c r="A533" s="40"/>
      <c r="L533" s="40"/>
    </row>
    <row r="534" spans="1:12">
      <c r="A534" s="40"/>
      <c r="L534" s="40"/>
    </row>
    <row r="535" spans="1:12">
      <c r="A535" s="40"/>
      <c r="L535" s="40"/>
    </row>
    <row r="536" spans="1:12">
      <c r="A536" s="40"/>
      <c r="L536" s="40"/>
    </row>
    <row r="537" spans="1:12">
      <c r="A537" s="40"/>
      <c r="L537" s="40"/>
    </row>
    <row r="538" spans="1:12">
      <c r="A538" s="40"/>
      <c r="L538" s="40"/>
    </row>
    <row r="539" spans="1:12">
      <c r="A539" s="40"/>
      <c r="L539" s="40"/>
    </row>
    <row r="540" spans="1:12">
      <c r="A540" s="40"/>
      <c r="L540" s="40"/>
    </row>
    <row r="541" spans="1:12">
      <c r="A541" s="40"/>
      <c r="L541" s="40"/>
    </row>
    <row r="542" spans="1:12">
      <c r="A542" s="40"/>
      <c r="L542" s="40"/>
    </row>
    <row r="543" spans="1:12">
      <c r="A543" s="40"/>
      <c r="L543" s="40"/>
    </row>
    <row r="544" spans="1:12">
      <c r="A544" s="40"/>
      <c r="L544" s="40"/>
    </row>
    <row r="545" spans="1:12">
      <c r="A545" s="40"/>
      <c r="L545" s="40"/>
    </row>
    <row r="546" spans="1:12">
      <c r="A546" s="40"/>
      <c r="L546" s="40"/>
    </row>
    <row r="547" spans="1:12">
      <c r="A547" s="40"/>
      <c r="L547" s="40"/>
    </row>
    <row r="548" spans="1:12">
      <c r="A548" s="40"/>
      <c r="L548" s="40"/>
    </row>
    <row r="549" spans="1:12">
      <c r="A549" s="40"/>
      <c r="L549" s="40"/>
    </row>
    <row r="550" spans="1:12">
      <c r="A550" s="40"/>
      <c r="L550" s="40"/>
    </row>
    <row r="551" spans="1:12">
      <c r="A551" s="40"/>
      <c r="L551" s="40"/>
    </row>
    <row r="552" spans="1:12">
      <c r="A552" s="40"/>
      <c r="L552" s="40"/>
    </row>
    <row r="553" spans="1:12">
      <c r="A553" s="40"/>
      <c r="L553" s="40"/>
    </row>
    <row r="554" spans="1:12">
      <c r="A554" s="40"/>
      <c r="L554" s="40"/>
    </row>
    <row r="555" spans="1:12">
      <c r="A555" s="40"/>
      <c r="L555" s="40"/>
    </row>
    <row r="556" spans="1:12">
      <c r="A556" s="40"/>
      <c r="L556" s="40"/>
    </row>
    <row r="557" spans="1:12">
      <c r="A557" s="40"/>
      <c r="L557" s="40"/>
    </row>
    <row r="558" spans="1:12">
      <c r="A558" s="40"/>
      <c r="L558" s="40"/>
    </row>
    <row r="559" spans="1:12">
      <c r="A559" s="40"/>
      <c r="L559" s="40"/>
    </row>
    <row r="560" spans="1:12">
      <c r="A560" s="40"/>
      <c r="L560" s="40"/>
    </row>
    <row r="561" spans="1:12">
      <c r="A561" s="40"/>
      <c r="L561" s="40"/>
    </row>
    <row r="562" spans="1:12">
      <c r="A562" s="40"/>
      <c r="L562" s="40"/>
    </row>
    <row r="563" spans="1:12">
      <c r="A563" s="40"/>
      <c r="L563" s="40"/>
    </row>
    <row r="564" spans="1:12">
      <c r="A564" s="40"/>
      <c r="L564" s="40"/>
    </row>
    <row r="565" spans="1:12">
      <c r="A565" s="40"/>
      <c r="L565" s="40"/>
    </row>
    <row r="566" spans="1:12">
      <c r="A566" s="40"/>
      <c r="L566" s="40"/>
    </row>
    <row r="567" spans="1:12">
      <c r="A567" s="40"/>
      <c r="L567" s="40"/>
    </row>
    <row r="568" spans="1:12">
      <c r="A568" s="40"/>
      <c r="L568" s="40"/>
    </row>
    <row r="569" spans="1:12">
      <c r="A569" s="40"/>
      <c r="L569" s="40"/>
    </row>
    <row r="570" spans="1:12">
      <c r="A570" s="40"/>
      <c r="L570" s="40"/>
    </row>
    <row r="571" spans="1:12">
      <c r="A571" s="40"/>
      <c r="L571" s="40"/>
    </row>
    <row r="572" spans="1:12">
      <c r="A572" s="40"/>
      <c r="L572" s="40"/>
    </row>
    <row r="573" spans="1:12">
      <c r="A573" s="40"/>
      <c r="L573" s="40"/>
    </row>
    <row r="574" spans="1:12">
      <c r="A574" s="40"/>
      <c r="L574" s="40"/>
    </row>
    <row r="575" spans="1:12">
      <c r="A575" s="40"/>
      <c r="L575" s="40"/>
    </row>
    <row r="576" spans="1:12">
      <c r="A576" s="40"/>
      <c r="L576" s="40"/>
    </row>
    <row r="577" spans="1:12">
      <c r="A577" s="40"/>
      <c r="L577" s="40"/>
    </row>
    <row r="578" spans="1:12">
      <c r="A578" s="40"/>
      <c r="L578" s="40"/>
    </row>
    <row r="579" spans="1:12">
      <c r="A579" s="40"/>
      <c r="L579" s="40"/>
    </row>
    <row r="580" spans="1:12">
      <c r="A580" s="40"/>
      <c r="L580" s="40"/>
    </row>
    <row r="581" spans="1:12">
      <c r="A581" s="40"/>
      <c r="L581" s="40"/>
    </row>
    <row r="582" spans="1:12">
      <c r="A582" s="40"/>
      <c r="L582" s="40"/>
    </row>
    <row r="583" spans="1:12">
      <c r="A583" s="40"/>
      <c r="L583" s="40"/>
    </row>
    <row r="584" spans="1:12">
      <c r="A584" s="40"/>
      <c r="L584" s="40"/>
    </row>
    <row r="585" spans="1:12">
      <c r="A585" s="40"/>
      <c r="L585" s="40"/>
    </row>
    <row r="586" spans="1:12">
      <c r="A586" s="40"/>
      <c r="L586" s="40"/>
    </row>
    <row r="587" spans="1:12">
      <c r="A587" s="40"/>
      <c r="L587" s="40"/>
    </row>
    <row r="588" spans="1:12">
      <c r="A588" s="40"/>
      <c r="L588" s="40"/>
    </row>
    <row r="589" spans="1:12">
      <c r="A589" s="40"/>
      <c r="L589" s="40"/>
    </row>
    <row r="590" spans="1:12">
      <c r="A590" s="40"/>
      <c r="L590" s="40"/>
    </row>
    <row r="591" spans="1:12">
      <c r="A591" s="40"/>
      <c r="L591" s="40"/>
    </row>
    <row r="592" spans="1:12">
      <c r="A592" s="40"/>
      <c r="L592" s="40"/>
    </row>
    <row r="593" spans="1:12">
      <c r="A593" s="40"/>
      <c r="L593" s="40"/>
    </row>
    <row r="594" spans="1:12">
      <c r="A594" s="40"/>
      <c r="L594" s="40"/>
    </row>
    <row r="595" spans="1:12">
      <c r="A595" s="40"/>
      <c r="L595" s="40"/>
    </row>
    <row r="596" spans="1:12">
      <c r="A596" s="40"/>
      <c r="L596" s="40"/>
    </row>
    <row r="597" spans="1:12">
      <c r="A597" s="40"/>
      <c r="L597" s="40"/>
    </row>
    <row r="598" spans="1:12">
      <c r="A598" s="40"/>
      <c r="L598" s="40"/>
    </row>
    <row r="599" spans="1:12">
      <c r="A599" s="40"/>
      <c r="L599" s="40"/>
    </row>
    <row r="600" spans="1:12">
      <c r="A600" s="40"/>
      <c r="L600" s="40"/>
    </row>
    <row r="601" spans="1:12">
      <c r="A601" s="40"/>
      <c r="L601" s="40"/>
    </row>
    <row r="602" spans="1:12">
      <c r="A602" s="40"/>
      <c r="L602" s="40"/>
    </row>
    <row r="603" spans="1:12">
      <c r="A603" s="40"/>
      <c r="L603" s="40"/>
    </row>
    <row r="604" spans="1:12">
      <c r="A604" s="40"/>
      <c r="L604" s="40"/>
    </row>
    <row r="605" spans="1:12">
      <c r="A605" s="40"/>
      <c r="L605" s="40"/>
    </row>
    <row r="606" spans="1:12">
      <c r="A606" s="40"/>
      <c r="L606" s="40"/>
    </row>
    <row r="607" spans="1:12">
      <c r="A607" s="40"/>
      <c r="L607" s="40"/>
    </row>
    <row r="608" spans="1:12">
      <c r="A608" s="40"/>
      <c r="L608" s="40"/>
    </row>
    <row r="609" spans="1:12">
      <c r="A609" s="40"/>
      <c r="L609" s="40"/>
    </row>
    <row r="610" spans="1:12">
      <c r="A610" s="40"/>
      <c r="L610" s="40"/>
    </row>
    <row r="611" spans="1:12">
      <c r="A611" s="40"/>
      <c r="L611" s="40"/>
    </row>
    <row r="612" spans="1:12">
      <c r="A612" s="40"/>
      <c r="L612" s="40"/>
    </row>
    <row r="613" spans="1:12">
      <c r="A613" s="40"/>
      <c r="L613" s="40"/>
    </row>
    <row r="614" spans="1:12">
      <c r="A614" s="40"/>
      <c r="L614" s="40"/>
    </row>
    <row r="615" spans="1:12">
      <c r="A615" s="40"/>
      <c r="L615" s="40"/>
    </row>
    <row r="616" spans="1:12">
      <c r="A616" s="40"/>
      <c r="L616" s="40"/>
    </row>
    <row r="617" spans="1:12">
      <c r="A617" s="40"/>
      <c r="L617" s="40"/>
    </row>
    <row r="618" spans="1:12">
      <c r="A618" s="40"/>
      <c r="L618" s="40"/>
    </row>
    <row r="619" spans="1:12">
      <c r="A619" s="40"/>
      <c r="L619" s="40"/>
    </row>
    <row r="620" spans="1:12">
      <c r="A620" s="40"/>
      <c r="L620" s="40"/>
    </row>
    <row r="621" spans="1:12">
      <c r="A621" s="40"/>
      <c r="L621" s="40"/>
    </row>
    <row r="622" spans="1:12">
      <c r="A622" s="40"/>
      <c r="L622" s="40"/>
    </row>
    <row r="623" spans="1:12">
      <c r="A623" s="40"/>
      <c r="L623" s="40"/>
    </row>
    <row r="624" spans="1:12">
      <c r="A624" s="40"/>
      <c r="L624" s="40"/>
    </row>
    <row r="625" spans="1:12">
      <c r="A625" s="40"/>
      <c r="L625" s="40"/>
    </row>
    <row r="626" spans="1:12">
      <c r="A626" s="40"/>
      <c r="L626" s="40"/>
    </row>
    <row r="627" spans="1:12">
      <c r="A627" s="40"/>
      <c r="L627" s="40"/>
    </row>
    <row r="628" spans="1:12">
      <c r="A628" s="40"/>
      <c r="L628" s="40"/>
    </row>
    <row r="629" spans="1:12">
      <c r="A629" s="40"/>
      <c r="L629" s="40"/>
    </row>
    <row r="630" spans="1:12">
      <c r="A630" s="40"/>
      <c r="L630" s="40"/>
    </row>
    <row r="631" spans="1:12">
      <c r="A631" s="40"/>
      <c r="L631" s="40"/>
    </row>
    <row r="632" spans="1:12">
      <c r="A632" s="40"/>
      <c r="L632" s="40"/>
    </row>
    <row r="633" spans="1:12">
      <c r="A633" s="40"/>
      <c r="L633" s="40"/>
    </row>
    <row r="634" spans="1:12">
      <c r="A634" s="40"/>
      <c r="L634" s="40"/>
    </row>
    <row r="635" spans="1:12">
      <c r="A635" s="40"/>
      <c r="L635" s="40"/>
    </row>
    <row r="636" spans="1:12">
      <c r="A636" s="40"/>
      <c r="L636" s="40"/>
    </row>
    <row r="637" spans="1:12">
      <c r="A637" s="40"/>
      <c r="L637" s="40"/>
    </row>
    <row r="638" spans="1:12">
      <c r="A638" s="40"/>
      <c r="L638" s="40"/>
    </row>
    <row r="639" spans="1:12">
      <c r="A639" s="40"/>
      <c r="L639" s="40"/>
    </row>
    <row r="640" spans="1:12">
      <c r="A640" s="40"/>
      <c r="L640" s="40"/>
    </row>
    <row r="641" spans="1:12">
      <c r="A641" s="40"/>
      <c r="L641" s="40"/>
    </row>
    <row r="642" spans="1:12">
      <c r="A642" s="40"/>
      <c r="L642" s="40"/>
    </row>
    <row r="643" spans="1:12">
      <c r="A643" s="40"/>
      <c r="L643" s="40"/>
    </row>
    <row r="644" spans="1:12">
      <c r="A644" s="40"/>
      <c r="L644" s="40"/>
    </row>
    <row r="645" spans="1:12">
      <c r="A645" s="40"/>
      <c r="L645" s="40"/>
    </row>
    <row r="646" spans="1:12">
      <c r="A646" s="40"/>
      <c r="L646" s="40"/>
    </row>
    <row r="647" spans="1:12">
      <c r="A647" s="40"/>
      <c r="L647" s="40"/>
    </row>
    <row r="648" spans="1:12">
      <c r="A648" s="40"/>
      <c r="L648" s="40"/>
    </row>
    <row r="649" spans="1:12">
      <c r="A649" s="40"/>
      <c r="L649" s="40"/>
    </row>
    <row r="650" spans="1:12">
      <c r="A650" s="40"/>
      <c r="L650" s="40"/>
    </row>
    <row r="651" spans="1:12">
      <c r="A651" s="40"/>
      <c r="L651" s="40"/>
    </row>
    <row r="652" spans="1:12">
      <c r="A652" s="40"/>
      <c r="L652" s="40"/>
    </row>
    <row r="653" spans="1:12">
      <c r="A653" s="40"/>
      <c r="L653" s="40"/>
    </row>
    <row r="654" spans="1:12">
      <c r="A654" s="40"/>
      <c r="L654" s="40"/>
    </row>
    <row r="655" spans="1:12">
      <c r="A655" s="40"/>
      <c r="L655" s="40"/>
    </row>
    <row r="656" spans="1:12">
      <c r="A656" s="40"/>
      <c r="L656" s="40"/>
    </row>
    <row r="657" spans="1:12">
      <c r="A657" s="40"/>
      <c r="L657" s="40"/>
    </row>
    <row r="658" spans="1:12">
      <c r="A658" s="40"/>
      <c r="L658" s="40"/>
    </row>
    <row r="659" spans="1:12">
      <c r="A659" s="40"/>
      <c r="L659" s="40"/>
    </row>
    <row r="660" spans="1:12">
      <c r="A660" s="40"/>
      <c r="L660" s="40"/>
    </row>
    <row r="661" spans="1:12">
      <c r="A661" s="40"/>
      <c r="L661" s="40"/>
    </row>
    <row r="662" spans="1:12">
      <c r="A662" s="40"/>
      <c r="L662" s="40"/>
    </row>
    <row r="663" spans="1:12">
      <c r="A663" s="40"/>
      <c r="L663" s="40"/>
    </row>
    <row r="664" spans="1:12">
      <c r="A664" s="40"/>
      <c r="L664" s="40"/>
    </row>
    <row r="665" spans="1:12">
      <c r="A665" s="40"/>
      <c r="L665" s="40"/>
    </row>
    <row r="666" spans="1:12">
      <c r="A666" s="40"/>
      <c r="L666" s="40"/>
    </row>
    <row r="667" spans="1:12">
      <c r="A667" s="40"/>
      <c r="L667" s="40"/>
    </row>
    <row r="668" spans="1:12">
      <c r="A668" s="40"/>
      <c r="L668" s="40"/>
    </row>
    <row r="669" spans="1:12">
      <c r="A669" s="40"/>
      <c r="L669" s="40"/>
    </row>
    <row r="670" spans="1:12">
      <c r="A670" s="40"/>
      <c r="L670" s="40"/>
    </row>
    <row r="671" spans="1:12">
      <c r="A671" s="40"/>
      <c r="L671" s="40"/>
    </row>
    <row r="672" spans="1:12">
      <c r="A672" s="40"/>
      <c r="L672" s="40"/>
    </row>
    <row r="673" spans="1:12">
      <c r="A673" s="40"/>
      <c r="L673" s="40"/>
    </row>
    <row r="674" spans="1:12">
      <c r="A674" s="40"/>
      <c r="L674" s="40"/>
    </row>
    <row r="675" spans="1:12">
      <c r="A675" s="40"/>
      <c r="L675" s="40"/>
    </row>
    <row r="676" spans="1:12">
      <c r="A676" s="40"/>
      <c r="L676" s="40"/>
    </row>
    <row r="677" spans="1:12">
      <c r="A677" s="40"/>
      <c r="L677" s="40"/>
    </row>
    <row r="678" spans="1:12">
      <c r="A678" s="40"/>
      <c r="L678" s="40"/>
    </row>
    <row r="679" spans="1:12">
      <c r="A679" s="40"/>
      <c r="L679" s="40"/>
    </row>
    <row r="680" spans="1:12">
      <c r="A680" s="40"/>
      <c r="L680" s="40"/>
    </row>
    <row r="681" spans="1:12">
      <c r="A681" s="40"/>
      <c r="L681" s="40"/>
    </row>
    <row r="682" spans="1:12">
      <c r="A682" s="40"/>
      <c r="L682" s="40"/>
    </row>
    <row r="683" spans="1:12">
      <c r="A683" s="40"/>
      <c r="L683" s="40"/>
    </row>
    <row r="684" spans="1:12">
      <c r="A684" s="40"/>
      <c r="L684" s="40"/>
    </row>
    <row r="685" spans="1:12">
      <c r="A685" s="40"/>
      <c r="L685" s="40"/>
    </row>
    <row r="686" spans="1:12">
      <c r="A686" s="40"/>
      <c r="L686" s="40"/>
    </row>
    <row r="687" spans="1:12">
      <c r="A687" s="40"/>
      <c r="L687" s="40"/>
    </row>
    <row r="688" spans="1:12">
      <c r="A688" s="40"/>
      <c r="L688" s="40"/>
    </row>
    <row r="689" spans="1:12">
      <c r="A689" s="40"/>
      <c r="L689" s="40"/>
    </row>
    <row r="690" spans="1:12">
      <c r="A690" s="40"/>
      <c r="L690" s="40"/>
    </row>
    <row r="691" spans="1:12">
      <c r="A691" s="40"/>
      <c r="L691" s="40"/>
    </row>
    <row r="692" spans="1:12">
      <c r="A692" s="40"/>
      <c r="L692" s="40"/>
    </row>
    <row r="693" spans="1:12">
      <c r="A693" s="40"/>
      <c r="L693" s="40"/>
    </row>
    <row r="694" spans="1:12">
      <c r="A694" s="40"/>
      <c r="L694" s="40"/>
    </row>
    <row r="695" spans="1:12">
      <c r="A695" s="40"/>
      <c r="L695" s="40"/>
    </row>
    <row r="696" spans="1:12">
      <c r="A696" s="40"/>
      <c r="L696" s="40"/>
    </row>
    <row r="697" spans="1:12">
      <c r="A697" s="40"/>
      <c r="L697" s="40"/>
    </row>
    <row r="698" spans="1:12">
      <c r="A698" s="40"/>
      <c r="L698" s="40"/>
    </row>
    <row r="699" spans="1:12">
      <c r="A699" s="40"/>
      <c r="L699" s="40"/>
    </row>
    <row r="700" spans="1:12">
      <c r="A700" s="40"/>
      <c r="L700" s="40"/>
    </row>
    <row r="701" spans="1:12">
      <c r="A701" s="40"/>
      <c r="L701" s="40"/>
    </row>
    <row r="702" spans="1:12">
      <c r="A702" s="40"/>
      <c r="L702" s="40"/>
    </row>
    <row r="703" spans="1:12">
      <c r="A703" s="40"/>
      <c r="L703" s="40"/>
    </row>
    <row r="704" spans="1:12">
      <c r="A704" s="40"/>
      <c r="L704" s="40"/>
    </row>
    <row r="705" spans="1:12">
      <c r="A705" s="40"/>
      <c r="L705" s="40"/>
    </row>
    <row r="706" spans="1:12">
      <c r="A706" s="40"/>
      <c r="L706" s="40"/>
    </row>
    <row r="707" spans="1:12">
      <c r="A707" s="40"/>
      <c r="L707" s="40"/>
    </row>
    <row r="708" spans="1:12">
      <c r="A708" s="40"/>
      <c r="L708" s="40"/>
    </row>
    <row r="709" spans="1:12">
      <c r="A709" s="40"/>
      <c r="L709" s="40"/>
    </row>
    <row r="710" spans="1:12">
      <c r="A710" s="40"/>
      <c r="L710" s="40"/>
    </row>
    <row r="711" spans="1:12">
      <c r="A711" s="40"/>
      <c r="L711" s="40"/>
    </row>
    <row r="712" spans="1:12">
      <c r="A712" s="40"/>
      <c r="L712" s="40"/>
    </row>
    <row r="713" spans="1:12">
      <c r="A713" s="40"/>
      <c r="L713" s="40"/>
    </row>
    <row r="714" spans="1:12">
      <c r="A714" s="40"/>
      <c r="L714" s="40"/>
    </row>
    <row r="715" spans="1:12">
      <c r="A715" s="40"/>
      <c r="L715" s="40"/>
    </row>
    <row r="716" spans="1:12">
      <c r="A716" s="40"/>
      <c r="L716" s="40"/>
    </row>
    <row r="717" spans="1:12">
      <c r="A717" s="40"/>
      <c r="L717" s="40"/>
    </row>
    <row r="718" spans="1:12">
      <c r="A718" s="40"/>
      <c r="L718" s="40"/>
    </row>
    <row r="719" spans="1:12">
      <c r="A719" s="40"/>
      <c r="L719" s="40"/>
    </row>
    <row r="720" spans="1:12">
      <c r="A720" s="40"/>
      <c r="L720" s="40"/>
    </row>
    <row r="721" spans="1:12">
      <c r="A721" s="40"/>
      <c r="L721" s="40"/>
    </row>
    <row r="722" spans="1:12">
      <c r="A722" s="40"/>
      <c r="L722" s="40"/>
    </row>
    <row r="723" spans="1:12">
      <c r="A723" s="40"/>
      <c r="L723" s="40"/>
    </row>
    <row r="724" spans="1:12">
      <c r="A724" s="40"/>
      <c r="L724" s="40"/>
    </row>
    <row r="725" spans="1:12">
      <c r="A725" s="40"/>
      <c r="L725" s="40"/>
    </row>
    <row r="726" spans="1:12">
      <c r="A726" s="40"/>
      <c r="L726" s="40"/>
    </row>
    <row r="727" spans="1:12">
      <c r="A727" s="40"/>
      <c r="L727" s="40"/>
    </row>
    <row r="728" spans="1:12">
      <c r="A728" s="40"/>
      <c r="L728" s="40"/>
    </row>
    <row r="729" spans="1:12">
      <c r="A729" s="40"/>
      <c r="L729" s="40"/>
    </row>
    <row r="730" spans="1:12">
      <c r="A730" s="40"/>
      <c r="L730" s="40"/>
    </row>
    <row r="731" spans="1:12">
      <c r="A731" s="40"/>
      <c r="L731" s="40"/>
    </row>
    <row r="732" spans="1:12">
      <c r="A732" s="40"/>
      <c r="L732" s="40"/>
    </row>
    <row r="733" spans="1:12">
      <c r="A733" s="40"/>
      <c r="L733" s="40"/>
    </row>
    <row r="734" spans="1:12">
      <c r="A734" s="40"/>
      <c r="L734" s="40"/>
    </row>
    <row r="735" spans="1:12">
      <c r="A735" s="40"/>
      <c r="L735" s="40"/>
    </row>
    <row r="736" spans="1:12">
      <c r="A736" s="40"/>
      <c r="L736" s="40"/>
    </row>
    <row r="737" spans="1:12">
      <c r="A737" s="40"/>
      <c r="L737" s="40"/>
    </row>
    <row r="738" spans="1:12">
      <c r="A738" s="40"/>
      <c r="L738" s="40"/>
    </row>
    <row r="739" spans="1:12">
      <c r="A739" s="40"/>
      <c r="L739" s="40"/>
    </row>
    <row r="740" spans="1:12">
      <c r="A740" s="40"/>
      <c r="L740" s="40"/>
    </row>
    <row r="741" spans="1:12">
      <c r="A741" s="40"/>
      <c r="L741" s="40"/>
    </row>
    <row r="742" spans="1:12">
      <c r="A742" s="40"/>
      <c r="L742" s="40"/>
    </row>
    <row r="743" spans="1:12">
      <c r="A743" s="40"/>
      <c r="L743" s="40"/>
    </row>
    <row r="744" spans="1:12">
      <c r="A744" s="40"/>
      <c r="L744" s="40"/>
    </row>
    <row r="745" spans="1:12">
      <c r="A745" s="40"/>
      <c r="L745" s="40"/>
    </row>
    <row r="746" spans="1:12">
      <c r="A746" s="40"/>
      <c r="L746" s="40"/>
    </row>
    <row r="747" spans="1:12">
      <c r="A747" s="40"/>
      <c r="L747" s="40"/>
    </row>
    <row r="748" spans="1:12">
      <c r="A748" s="40"/>
      <c r="L748" s="40"/>
    </row>
    <row r="749" spans="1:12">
      <c r="A749" s="40"/>
      <c r="L749" s="40"/>
    </row>
    <row r="750" spans="1:12">
      <c r="A750" s="40"/>
      <c r="L750" s="40"/>
    </row>
    <row r="751" spans="1:12">
      <c r="A751" s="40"/>
      <c r="L751" s="40"/>
    </row>
    <row r="752" spans="1:12">
      <c r="A752" s="40"/>
      <c r="L752" s="40"/>
    </row>
    <row r="753" spans="1:12">
      <c r="A753" s="40"/>
      <c r="L753" s="40"/>
    </row>
    <row r="754" spans="1:12">
      <c r="A754" s="40"/>
      <c r="L754" s="40"/>
    </row>
    <row r="755" spans="1:12">
      <c r="A755" s="40"/>
      <c r="L755" s="40"/>
    </row>
    <row r="756" spans="1:12">
      <c r="A756" s="40"/>
      <c r="L756" s="40"/>
    </row>
    <row r="757" spans="1:12">
      <c r="A757" s="40"/>
      <c r="L757" s="40"/>
    </row>
    <row r="758" spans="1:12">
      <c r="A758" s="40"/>
      <c r="L758" s="40"/>
    </row>
    <row r="759" spans="1:12">
      <c r="A759" s="40"/>
      <c r="L759" s="40"/>
    </row>
    <row r="760" spans="1:12">
      <c r="A760" s="40"/>
      <c r="L760" s="40"/>
    </row>
    <row r="761" spans="1:12">
      <c r="A761" s="40"/>
      <c r="L761" s="40"/>
    </row>
    <row r="762" spans="1:12">
      <c r="A762" s="40"/>
      <c r="L762" s="40"/>
    </row>
    <row r="763" spans="1:12">
      <c r="A763" s="40"/>
      <c r="L763" s="40"/>
    </row>
    <row r="764" spans="1:12">
      <c r="A764" s="40"/>
      <c r="L764" s="40"/>
    </row>
    <row r="765" spans="1:12">
      <c r="A765" s="40"/>
      <c r="L765" s="40"/>
    </row>
    <row r="766" spans="1:12">
      <c r="A766" s="40"/>
      <c r="L766" s="40"/>
    </row>
    <row r="767" spans="1:12">
      <c r="A767" s="40"/>
      <c r="L767" s="40"/>
    </row>
    <row r="768" spans="1:12">
      <c r="A768" s="40"/>
      <c r="L768" s="40"/>
    </row>
    <row r="769" spans="1:12">
      <c r="A769" s="40"/>
      <c r="L769" s="40"/>
    </row>
    <row r="770" spans="1:12">
      <c r="A770" s="40"/>
      <c r="L770" s="40"/>
    </row>
    <row r="771" spans="1:12">
      <c r="A771" s="40"/>
      <c r="L771" s="40"/>
    </row>
    <row r="772" spans="1:12">
      <c r="A772" s="40"/>
      <c r="L772" s="40"/>
    </row>
    <row r="773" spans="1:12">
      <c r="A773" s="40"/>
      <c r="L773" s="40"/>
    </row>
    <row r="774" spans="1:12">
      <c r="A774" s="40"/>
      <c r="L774" s="40"/>
    </row>
    <row r="775" spans="1:12">
      <c r="A775" s="40"/>
      <c r="L775" s="40"/>
    </row>
    <row r="776" spans="1:12">
      <c r="A776" s="40"/>
      <c r="L776" s="40"/>
    </row>
    <row r="777" spans="1:12">
      <c r="A777" s="40"/>
      <c r="L777" s="40"/>
    </row>
    <row r="778" spans="1:12">
      <c r="A778" s="40"/>
      <c r="L778" s="40"/>
    </row>
    <row r="779" spans="1:12">
      <c r="A779" s="40"/>
      <c r="L779" s="40"/>
    </row>
    <row r="780" spans="1:12">
      <c r="A780" s="40"/>
      <c r="L780" s="40"/>
    </row>
    <row r="781" spans="1:12">
      <c r="A781" s="40"/>
      <c r="L781" s="40"/>
    </row>
    <row r="782" spans="1:12">
      <c r="A782" s="40"/>
      <c r="L782" s="40"/>
    </row>
    <row r="783" spans="1:12">
      <c r="A783" s="40"/>
      <c r="L783" s="40"/>
    </row>
    <row r="784" spans="1:12">
      <c r="A784" s="40"/>
      <c r="L784" s="40"/>
    </row>
    <row r="785" spans="1:12">
      <c r="A785" s="40"/>
      <c r="L785" s="40"/>
    </row>
    <row r="786" spans="1:12">
      <c r="A786" s="40"/>
      <c r="L786" s="40"/>
    </row>
    <row r="787" spans="1:12">
      <c r="A787" s="40"/>
      <c r="L787" s="40"/>
    </row>
    <row r="788" spans="1:12">
      <c r="A788" s="40"/>
      <c r="L788" s="40"/>
    </row>
    <row r="789" spans="1:12">
      <c r="A789" s="40"/>
      <c r="L789" s="40"/>
    </row>
    <row r="790" spans="1:12">
      <c r="A790" s="40"/>
      <c r="L790" s="40"/>
    </row>
    <row r="791" spans="1:12">
      <c r="A791" s="40"/>
      <c r="L791" s="40"/>
    </row>
    <row r="792" spans="1:12">
      <c r="A792" s="40"/>
      <c r="L792" s="40"/>
    </row>
    <row r="793" spans="1:12">
      <c r="A793" s="40"/>
      <c r="L793" s="40"/>
    </row>
    <row r="794" spans="1:12">
      <c r="A794" s="40"/>
      <c r="L794" s="40"/>
    </row>
    <row r="795" spans="1:12">
      <c r="A795" s="40"/>
      <c r="L795" s="40"/>
    </row>
    <row r="796" spans="1:12">
      <c r="A796" s="40"/>
      <c r="L796" s="40"/>
    </row>
    <row r="797" spans="1:12">
      <c r="A797" s="40"/>
      <c r="L797" s="40"/>
    </row>
    <row r="798" spans="1:12">
      <c r="A798" s="40"/>
      <c r="L798" s="40"/>
    </row>
    <row r="799" spans="1:12">
      <c r="A799" s="40"/>
      <c r="L799" s="40"/>
    </row>
    <row r="800" spans="1:12">
      <c r="A800" s="40"/>
      <c r="L800" s="40"/>
    </row>
    <row r="801" spans="1:12">
      <c r="A801" s="40"/>
      <c r="L801" s="40"/>
    </row>
    <row r="802" spans="1:12">
      <c r="A802" s="40"/>
      <c r="L802" s="40"/>
    </row>
    <row r="803" spans="1:12">
      <c r="A803" s="40"/>
      <c r="L803" s="40"/>
    </row>
    <row r="804" spans="1:12">
      <c r="A804" s="40"/>
      <c r="L804" s="40"/>
    </row>
    <row r="805" spans="1:12">
      <c r="A805" s="40"/>
      <c r="L805" s="40"/>
    </row>
    <row r="806" spans="1:12">
      <c r="A806" s="40"/>
      <c r="L806" s="40"/>
    </row>
    <row r="807" spans="1:12">
      <c r="A807" s="40"/>
      <c r="L807" s="40"/>
    </row>
    <row r="808" spans="1:12">
      <c r="A808" s="40"/>
      <c r="L808" s="40"/>
    </row>
    <row r="809" spans="1:12">
      <c r="A809" s="40"/>
      <c r="L809" s="40"/>
    </row>
    <row r="810" spans="1:12">
      <c r="A810" s="40"/>
      <c r="L810" s="40"/>
    </row>
    <row r="811" spans="1:12">
      <c r="A811" s="40"/>
      <c r="L811" s="40"/>
    </row>
    <row r="812" spans="1:12">
      <c r="A812" s="40"/>
      <c r="L812" s="40"/>
    </row>
    <row r="813" spans="1:12">
      <c r="A813" s="40"/>
      <c r="L813" s="40"/>
    </row>
    <row r="814" spans="1:12">
      <c r="A814" s="40"/>
      <c r="L814" s="40"/>
    </row>
    <row r="815" spans="1:12">
      <c r="A815" s="40"/>
      <c r="L815" s="40"/>
    </row>
    <row r="816" spans="1:12">
      <c r="A816" s="40"/>
      <c r="L816" s="40"/>
    </row>
    <row r="817" spans="1:12">
      <c r="A817" s="40"/>
      <c r="L817" s="40"/>
    </row>
    <row r="818" spans="1:12">
      <c r="A818" s="40"/>
      <c r="L818" s="40"/>
    </row>
    <row r="819" spans="1:12">
      <c r="A819" s="40"/>
      <c r="L819" s="40"/>
    </row>
    <row r="820" spans="1:12">
      <c r="A820" s="40"/>
      <c r="L820" s="40"/>
    </row>
    <row r="821" spans="1:12">
      <c r="A821" s="40"/>
      <c r="L821" s="40"/>
    </row>
    <row r="822" spans="1:12">
      <c r="A822" s="40"/>
      <c r="L822" s="40"/>
    </row>
    <row r="823" spans="1:12">
      <c r="A823" s="40"/>
      <c r="L823" s="40"/>
    </row>
    <row r="824" spans="1:12">
      <c r="A824" s="40"/>
      <c r="L824" s="40"/>
    </row>
    <row r="825" spans="1:12">
      <c r="A825" s="40"/>
      <c r="L825" s="40"/>
    </row>
    <row r="826" spans="1:12">
      <c r="A826" s="40"/>
      <c r="L826" s="40"/>
    </row>
    <row r="827" spans="1:12">
      <c r="A827" s="40"/>
      <c r="L827" s="40"/>
    </row>
    <row r="828" spans="1:12">
      <c r="A828" s="40"/>
      <c r="L828" s="40"/>
    </row>
    <row r="829" spans="1:12">
      <c r="A829" s="40"/>
      <c r="L829" s="40"/>
    </row>
    <row r="830" spans="1:12">
      <c r="A830" s="40"/>
      <c r="L830" s="40"/>
    </row>
    <row r="831" spans="1:12">
      <c r="A831" s="40"/>
      <c r="L831" s="40"/>
    </row>
    <row r="832" spans="1:12">
      <c r="A832" s="40"/>
      <c r="L832" s="40"/>
    </row>
    <row r="833" spans="1:12">
      <c r="A833" s="40"/>
      <c r="L833" s="40"/>
    </row>
    <row r="834" spans="1:12">
      <c r="A834" s="40"/>
      <c r="L834" s="40"/>
    </row>
    <row r="835" spans="1:12">
      <c r="A835" s="40"/>
      <c r="L835" s="40"/>
    </row>
    <row r="836" spans="1:12">
      <c r="A836" s="40"/>
      <c r="L836" s="40"/>
    </row>
    <row r="837" spans="1:12">
      <c r="A837" s="40"/>
      <c r="L837" s="40"/>
    </row>
    <row r="838" spans="1:12">
      <c r="A838" s="40"/>
      <c r="L838" s="40"/>
    </row>
    <row r="839" spans="1:12">
      <c r="A839" s="40"/>
      <c r="L839" s="40"/>
    </row>
    <row r="840" spans="1:12">
      <c r="A840" s="40"/>
      <c r="L840" s="40"/>
    </row>
    <row r="841" spans="1:12">
      <c r="A841" s="40"/>
      <c r="L841" s="40"/>
    </row>
    <row r="842" spans="1:12">
      <c r="A842" s="40"/>
      <c r="L842" s="40"/>
    </row>
    <row r="843" spans="1:12">
      <c r="A843" s="40"/>
      <c r="L843" s="40"/>
    </row>
    <row r="844" spans="1:12">
      <c r="A844" s="40"/>
      <c r="L844" s="40"/>
    </row>
    <row r="845" spans="1:12">
      <c r="A845" s="40"/>
      <c r="L845" s="40"/>
    </row>
    <row r="846" spans="1:12">
      <c r="A846" s="40"/>
      <c r="L846" s="40"/>
    </row>
    <row r="847" spans="1:12">
      <c r="A847" s="40"/>
      <c r="L847" s="40"/>
    </row>
    <row r="848" spans="1:12">
      <c r="A848" s="40"/>
      <c r="L848" s="40"/>
    </row>
    <row r="849" spans="1:12">
      <c r="A849" s="40"/>
      <c r="L849" s="40"/>
    </row>
    <row r="850" spans="1:12">
      <c r="A850" s="40"/>
      <c r="L850" s="40"/>
    </row>
    <row r="851" spans="1:12">
      <c r="A851" s="40"/>
      <c r="L851" s="40"/>
    </row>
    <row r="852" spans="1:12">
      <c r="A852" s="40"/>
      <c r="L852" s="40"/>
    </row>
    <row r="853" spans="1:12">
      <c r="A853" s="40"/>
      <c r="L853" s="40"/>
    </row>
    <row r="854" spans="1:12">
      <c r="A854" s="40"/>
      <c r="L854" s="40"/>
    </row>
    <row r="855" spans="1:12">
      <c r="A855" s="40"/>
      <c r="L855" s="40"/>
    </row>
    <row r="856" spans="1:12">
      <c r="A856" s="40"/>
      <c r="L856" s="40"/>
    </row>
    <row r="857" spans="1:12">
      <c r="A857" s="40"/>
      <c r="L857" s="40"/>
    </row>
    <row r="858" spans="1:12">
      <c r="A858" s="40"/>
      <c r="L858" s="40"/>
    </row>
    <row r="859" spans="1:12">
      <c r="A859" s="40"/>
      <c r="L859" s="40"/>
    </row>
    <row r="860" spans="1:12">
      <c r="A860" s="40"/>
      <c r="L860" s="40"/>
    </row>
    <row r="861" spans="1:12">
      <c r="A861" s="40"/>
      <c r="L861" s="40"/>
    </row>
    <row r="862" spans="1:12">
      <c r="A862" s="40"/>
      <c r="L862" s="40"/>
    </row>
    <row r="863" spans="1:12">
      <c r="A863" s="40"/>
      <c r="L863" s="40"/>
    </row>
    <row r="864" spans="1:12">
      <c r="A864" s="40"/>
      <c r="L864" s="40"/>
    </row>
    <row r="865" spans="1:12">
      <c r="A865" s="40"/>
      <c r="L865" s="40"/>
    </row>
    <row r="866" spans="1:12">
      <c r="A866" s="40"/>
      <c r="L866" s="40"/>
    </row>
    <row r="867" spans="1:12">
      <c r="A867" s="40"/>
      <c r="L867" s="40"/>
    </row>
    <row r="868" spans="1:12">
      <c r="A868" s="40"/>
      <c r="L868" s="40"/>
    </row>
    <row r="869" spans="1:12">
      <c r="A869" s="40"/>
      <c r="L869" s="40"/>
    </row>
    <row r="870" spans="1:12">
      <c r="A870" s="40"/>
      <c r="L870" s="40"/>
    </row>
    <row r="871" spans="1:12">
      <c r="A871" s="40"/>
      <c r="L871" s="40"/>
    </row>
    <row r="872" spans="1:12">
      <c r="A872" s="40"/>
      <c r="L872" s="40"/>
    </row>
    <row r="873" spans="1:12">
      <c r="A873" s="40"/>
      <c r="L873" s="40"/>
    </row>
    <row r="874" spans="1:12">
      <c r="A874" s="40"/>
      <c r="L874" s="40"/>
    </row>
    <row r="875" spans="1:12">
      <c r="A875" s="40"/>
      <c r="L875" s="40"/>
    </row>
    <row r="876" spans="1:12">
      <c r="A876" s="40"/>
      <c r="L876" s="40"/>
    </row>
    <row r="877" spans="1:12">
      <c r="A877" s="40"/>
      <c r="L877" s="40"/>
    </row>
    <row r="878" spans="1:12">
      <c r="A878" s="40"/>
      <c r="L878" s="40"/>
    </row>
    <row r="879" spans="1:12">
      <c r="A879" s="40"/>
      <c r="L879" s="40"/>
    </row>
    <row r="880" spans="1:12">
      <c r="A880" s="40"/>
      <c r="L880" s="40"/>
    </row>
    <row r="881" spans="1:12">
      <c r="A881" s="40"/>
      <c r="L881" s="40"/>
    </row>
    <row r="882" spans="1:12">
      <c r="A882" s="40"/>
      <c r="L882" s="40"/>
    </row>
    <row r="883" spans="1:12">
      <c r="A883" s="40"/>
      <c r="L883" s="40"/>
    </row>
    <row r="884" spans="1:12">
      <c r="A884" s="40"/>
      <c r="L884" s="40"/>
    </row>
    <row r="885" spans="1:12">
      <c r="A885" s="40"/>
      <c r="L885" s="40"/>
    </row>
    <row r="886" spans="1:12">
      <c r="A886" s="40"/>
      <c r="L886" s="40"/>
    </row>
    <row r="887" spans="1:12">
      <c r="A887" s="40"/>
      <c r="L887" s="40"/>
    </row>
    <row r="888" spans="1:12">
      <c r="A888" s="40"/>
      <c r="L888" s="40"/>
    </row>
    <row r="889" spans="1:12">
      <c r="A889" s="40"/>
      <c r="L889" s="40"/>
    </row>
    <row r="890" spans="1:12">
      <c r="A890" s="40"/>
      <c r="L890" s="40"/>
    </row>
    <row r="891" spans="1:12">
      <c r="A891" s="40"/>
      <c r="L891" s="40"/>
    </row>
    <row r="892" spans="1:12">
      <c r="A892" s="40"/>
      <c r="L892" s="40"/>
    </row>
    <row r="893" spans="1:12">
      <c r="A893" s="40"/>
      <c r="L893" s="40"/>
    </row>
    <row r="894" spans="1:12">
      <c r="A894" s="40"/>
      <c r="L894" s="40"/>
    </row>
    <row r="895" spans="1:12">
      <c r="A895" s="40"/>
      <c r="L895" s="40"/>
    </row>
    <row r="896" spans="1:12">
      <c r="A896" s="40"/>
      <c r="L896" s="40"/>
    </row>
    <row r="897" spans="1:12">
      <c r="A897" s="40"/>
      <c r="L897" s="40"/>
    </row>
    <row r="898" spans="1:12">
      <c r="A898" s="40"/>
      <c r="L898" s="40"/>
    </row>
    <row r="899" spans="1:12">
      <c r="A899" s="40"/>
      <c r="L899" s="40"/>
    </row>
    <row r="900" spans="1:12">
      <c r="A900" s="40"/>
      <c r="L900" s="40"/>
    </row>
    <row r="901" spans="1:12">
      <c r="A901" s="40"/>
      <c r="L901" s="40"/>
    </row>
    <row r="902" spans="1:12">
      <c r="A902" s="40"/>
      <c r="L902" s="40"/>
    </row>
    <row r="903" spans="1:12">
      <c r="A903" s="40"/>
      <c r="L903" s="40"/>
    </row>
    <row r="904" spans="1:12">
      <c r="A904" s="40"/>
      <c r="L904" s="40"/>
    </row>
    <row r="905" spans="1:12">
      <c r="A905" s="40"/>
      <c r="L905" s="40"/>
    </row>
    <row r="906" spans="1:12">
      <c r="A906" s="40"/>
      <c r="L906" s="40"/>
    </row>
    <row r="907" spans="1:12">
      <c r="A907" s="40"/>
      <c r="L907" s="40"/>
    </row>
    <row r="908" spans="1:12">
      <c r="A908" s="40"/>
      <c r="L908" s="40"/>
    </row>
    <row r="909" spans="1:12">
      <c r="A909" s="40"/>
      <c r="L909" s="40"/>
    </row>
    <row r="910" spans="1:12">
      <c r="A910" s="40"/>
      <c r="L910" s="40"/>
    </row>
    <row r="911" spans="1:12">
      <c r="A911" s="40"/>
      <c r="L911" s="40"/>
    </row>
    <row r="912" spans="1:12">
      <c r="A912" s="40"/>
      <c r="L912" s="40"/>
    </row>
    <row r="913" spans="1:12">
      <c r="A913" s="40"/>
      <c r="L913" s="40"/>
    </row>
    <row r="914" spans="1:12">
      <c r="A914" s="40"/>
      <c r="L914" s="40"/>
    </row>
    <row r="915" spans="1:12">
      <c r="A915" s="40"/>
      <c r="L915" s="40"/>
    </row>
    <row r="916" spans="1:12">
      <c r="A916" s="40"/>
      <c r="L916" s="40"/>
    </row>
    <row r="917" spans="1:12">
      <c r="A917" s="40"/>
      <c r="L917" s="40"/>
    </row>
    <row r="918" spans="1:12">
      <c r="A918" s="40"/>
      <c r="L918" s="40"/>
    </row>
    <row r="919" spans="1:12">
      <c r="A919" s="40"/>
      <c r="L919" s="40"/>
    </row>
    <row r="920" spans="1:12">
      <c r="A920" s="40"/>
      <c r="L920" s="40"/>
    </row>
    <row r="921" spans="1:12">
      <c r="A921" s="40"/>
      <c r="L921" s="40"/>
    </row>
    <row r="922" spans="1:12">
      <c r="A922" s="40"/>
      <c r="L922" s="40"/>
    </row>
    <row r="923" spans="1:12">
      <c r="A923" s="40"/>
      <c r="L923" s="40"/>
    </row>
    <row r="924" spans="1:12">
      <c r="A924" s="40"/>
      <c r="L924" s="40"/>
    </row>
    <row r="925" spans="1:12">
      <c r="A925" s="40"/>
      <c r="L925" s="40"/>
    </row>
    <row r="926" spans="1:12">
      <c r="A926" s="40"/>
      <c r="L926" s="40"/>
    </row>
    <row r="927" spans="1:12">
      <c r="A927" s="40"/>
      <c r="L927" s="40"/>
    </row>
    <row r="928" spans="1:12">
      <c r="A928" s="40"/>
      <c r="L928" s="40"/>
    </row>
    <row r="929" spans="1:12">
      <c r="A929" s="40"/>
      <c r="L929" s="40"/>
    </row>
    <row r="930" spans="1:12">
      <c r="A930" s="40"/>
      <c r="L930" s="40"/>
    </row>
    <row r="931" spans="1:12">
      <c r="A931" s="40"/>
      <c r="L931" s="40"/>
    </row>
    <row r="932" spans="1:12">
      <c r="A932" s="40"/>
      <c r="L932" s="40"/>
    </row>
    <row r="933" spans="1:12">
      <c r="A933" s="40"/>
      <c r="L933" s="40"/>
    </row>
    <row r="934" spans="1:12">
      <c r="A934" s="40"/>
      <c r="L934" s="40"/>
    </row>
    <row r="935" spans="1:12">
      <c r="A935" s="40"/>
      <c r="L935" s="40"/>
    </row>
    <row r="936" spans="1:12">
      <c r="A936" s="40"/>
      <c r="L936" s="40"/>
    </row>
    <row r="937" spans="1:12">
      <c r="A937" s="40"/>
      <c r="L937" s="40"/>
    </row>
    <row r="938" spans="1:12">
      <c r="A938" s="40"/>
      <c r="L938" s="40"/>
    </row>
    <row r="939" spans="1:12">
      <c r="A939" s="40"/>
      <c r="L939" s="40"/>
    </row>
    <row r="940" spans="1:12">
      <c r="A940" s="40"/>
      <c r="L940" s="40"/>
    </row>
    <row r="941" spans="1:12">
      <c r="A941" s="40"/>
      <c r="L941" s="40"/>
    </row>
    <row r="942" spans="1:12">
      <c r="A942" s="40"/>
      <c r="L942" s="40"/>
    </row>
    <row r="943" spans="1:12">
      <c r="A943" s="40"/>
      <c r="L943" s="40"/>
    </row>
    <row r="944" spans="1:12">
      <c r="A944" s="40"/>
      <c r="L944" s="40"/>
    </row>
    <row r="945" spans="1:12">
      <c r="A945" s="40"/>
      <c r="L945" s="40"/>
    </row>
    <row r="946" spans="1:12">
      <c r="A946" s="40"/>
      <c r="L946" s="40"/>
    </row>
    <row r="947" spans="1:12">
      <c r="A947" s="40"/>
      <c r="L947" s="40"/>
    </row>
    <row r="948" spans="1:12">
      <c r="A948" s="40"/>
      <c r="L948" s="40"/>
    </row>
    <row r="949" spans="1:12">
      <c r="A949" s="40"/>
      <c r="L949" s="40"/>
    </row>
    <row r="950" spans="1:12">
      <c r="A950" s="40"/>
      <c r="L950" s="40"/>
    </row>
    <row r="951" spans="1:12">
      <c r="A951" s="40"/>
      <c r="L951" s="40"/>
    </row>
    <row r="952" spans="1:12">
      <c r="A952" s="40"/>
      <c r="L952" s="40"/>
    </row>
    <row r="953" spans="1:12">
      <c r="A953" s="40"/>
      <c r="L953" s="40"/>
    </row>
    <row r="954" spans="1:12">
      <c r="A954" s="40"/>
      <c r="L954" s="40"/>
    </row>
    <row r="955" spans="1:12">
      <c r="A955" s="40"/>
      <c r="L955" s="40"/>
    </row>
    <row r="956" spans="1:12">
      <c r="A956" s="40"/>
      <c r="L956" s="40"/>
    </row>
    <row r="957" spans="1:12">
      <c r="A957" s="40"/>
      <c r="L957" s="40"/>
    </row>
    <row r="958" spans="1:12">
      <c r="A958" s="40"/>
      <c r="L958" s="40"/>
    </row>
    <row r="959" spans="1:12">
      <c r="A959" s="40"/>
      <c r="L959" s="40"/>
    </row>
    <row r="960" spans="1:12">
      <c r="A960" s="40"/>
      <c r="L960" s="40"/>
    </row>
    <row r="961" spans="1:12">
      <c r="A961" s="40"/>
      <c r="L961" s="40"/>
    </row>
    <row r="962" spans="1:12">
      <c r="A962" s="40"/>
      <c r="L962" s="40"/>
    </row>
    <row r="963" spans="1:12">
      <c r="A963" s="40"/>
      <c r="L963" s="40"/>
    </row>
    <row r="964" spans="1:12">
      <c r="A964" s="40"/>
      <c r="L964" s="40"/>
    </row>
    <row r="965" spans="1:12">
      <c r="A965" s="40"/>
      <c r="L965" s="40"/>
    </row>
    <row r="966" spans="1:12">
      <c r="A966" s="40"/>
      <c r="L966" s="40"/>
    </row>
    <row r="967" spans="1:12">
      <c r="A967" s="40"/>
      <c r="L967" s="40"/>
    </row>
    <row r="968" spans="1:12">
      <c r="A968" s="40"/>
      <c r="L968" s="40"/>
    </row>
    <row r="969" spans="1:12">
      <c r="A969" s="40"/>
      <c r="L969" s="40"/>
    </row>
    <row r="970" spans="1:12">
      <c r="A970" s="40"/>
      <c r="L970" s="40"/>
    </row>
    <row r="971" spans="1:12">
      <c r="A971" s="40"/>
      <c r="L971" s="40"/>
    </row>
    <row r="972" spans="1:12">
      <c r="A972" s="40"/>
      <c r="L972" s="40"/>
    </row>
    <row r="973" spans="1:12">
      <c r="A973" s="40"/>
      <c r="L973" s="40"/>
    </row>
    <row r="974" spans="1:12">
      <c r="A974" s="40"/>
      <c r="L974" s="40"/>
    </row>
    <row r="975" spans="1:12">
      <c r="A975" s="40"/>
      <c r="L975" s="40"/>
    </row>
    <row r="976" spans="1:12">
      <c r="A976" s="40"/>
      <c r="L976" s="40"/>
    </row>
    <row r="977" spans="1:12">
      <c r="A977" s="40"/>
      <c r="L977" s="40"/>
    </row>
    <row r="978" spans="1:12">
      <c r="A978" s="40"/>
      <c r="L978" s="40"/>
    </row>
    <row r="979" spans="1:12">
      <c r="A979" s="40"/>
      <c r="L979" s="40"/>
    </row>
    <row r="980" spans="1:12">
      <c r="A980" s="40"/>
      <c r="L980" s="40"/>
    </row>
    <row r="981" spans="1:12">
      <c r="A981" s="40"/>
      <c r="L981" s="40"/>
    </row>
    <row r="982" spans="1:12">
      <c r="A982" s="40"/>
      <c r="L982" s="40"/>
    </row>
    <row r="983" spans="1:12">
      <c r="A983" s="40"/>
      <c r="L983" s="40"/>
    </row>
    <row r="984" spans="1:12">
      <c r="A984" s="40"/>
      <c r="L984" s="40"/>
    </row>
    <row r="985" spans="1:12">
      <c r="A985" s="40"/>
      <c r="L985" s="40"/>
    </row>
    <row r="986" spans="1:12">
      <c r="A986" s="40"/>
      <c r="L986" s="40"/>
    </row>
    <row r="987" spans="1:12">
      <c r="A987" s="40"/>
      <c r="L987" s="40"/>
    </row>
    <row r="988" spans="1:12">
      <c r="A988" s="40"/>
      <c r="L988" s="40"/>
    </row>
    <row r="989" spans="1:12">
      <c r="A989" s="40"/>
      <c r="L989" s="40"/>
    </row>
    <row r="990" spans="1:12">
      <c r="A990" s="40"/>
      <c r="L990" s="40"/>
    </row>
    <row r="991" spans="1:12">
      <c r="A991" s="40"/>
      <c r="L991" s="40"/>
    </row>
    <row r="992" spans="1:12">
      <c r="A992" s="40"/>
      <c r="L992" s="40"/>
    </row>
    <row r="993" spans="1:12">
      <c r="A993" s="40"/>
      <c r="L993" s="40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703125" defaultRowHeight="15.75" customHeight="1"/>
  <cols>
    <col min="1" max="1" width="12.85546875" customWidth="1"/>
    <col min="2" max="2" width="18.7109375" customWidth="1"/>
    <col min="6" max="6" width="12.5703125" hidden="1" customWidth="1"/>
    <col min="12" max="12" width="12.5703125" hidden="1" customWidth="1"/>
  </cols>
  <sheetData>
    <row r="1" spans="1:14">
      <c r="A1" s="21"/>
      <c r="B1" s="22"/>
      <c r="C1" s="22"/>
      <c r="D1" s="22"/>
      <c r="E1" s="22"/>
      <c r="F1" s="47" t="s">
        <v>650</v>
      </c>
      <c r="G1" s="23" t="s">
        <v>49</v>
      </c>
      <c r="H1" s="23"/>
      <c r="I1" s="23"/>
      <c r="J1" s="23"/>
      <c r="K1" s="23"/>
      <c r="L1" s="24" t="s">
        <v>651</v>
      </c>
      <c r="M1" s="24" t="s">
        <v>54</v>
      </c>
      <c r="N1" s="25" t="s">
        <v>59</v>
      </c>
    </row>
    <row r="2" spans="1:14">
      <c r="A2" s="21"/>
      <c r="B2" s="22"/>
      <c r="C2" s="22"/>
      <c r="D2" s="22"/>
      <c r="E2" s="22"/>
      <c r="F2" s="47"/>
      <c r="G2" s="23" t="s">
        <v>96</v>
      </c>
      <c r="H2" s="23"/>
      <c r="I2" s="23"/>
      <c r="J2" s="23"/>
      <c r="K2" s="23"/>
      <c r="L2" s="24"/>
      <c r="M2" s="24" t="s">
        <v>98</v>
      </c>
      <c r="N2" s="24" t="s">
        <v>98</v>
      </c>
    </row>
    <row r="3" spans="1:14">
      <c r="A3" s="26"/>
      <c r="B3" s="26"/>
      <c r="C3" s="27"/>
      <c r="D3" s="27"/>
      <c r="E3" s="27"/>
      <c r="F3" s="44">
        <f ca="1">DATEDIF(F4,NOW(),"M")</f>
        <v>14</v>
      </c>
      <c r="G3" s="34">
        <f ca="1">DATEDIF(G4,NOW(),"M")</f>
        <v>1</v>
      </c>
      <c r="H3" s="44"/>
      <c r="I3" s="44"/>
      <c r="J3" s="44"/>
      <c r="K3" s="44"/>
      <c r="L3" s="29">
        <f ca="1">DATEDIF(L4,NOW(),"M")</f>
        <v>11</v>
      </c>
      <c r="M3" s="29">
        <f ca="1">DATEDIF(M4,NOW(),"M")</f>
        <v>7</v>
      </c>
      <c r="N3" s="30">
        <f ca="1">DATEDIF(N4,NOW(),"M")</f>
        <v>1</v>
      </c>
    </row>
    <row r="4" spans="1:14">
      <c r="A4" s="26"/>
      <c r="B4" s="26"/>
      <c r="C4" s="60" t="s">
        <v>101</v>
      </c>
      <c r="D4" s="61"/>
      <c r="E4" s="62"/>
      <c r="F4" s="48">
        <v>45474</v>
      </c>
      <c r="G4" s="31">
        <v>45870</v>
      </c>
      <c r="H4" s="31"/>
      <c r="I4" s="31"/>
      <c r="J4" s="31"/>
      <c r="K4" s="31"/>
      <c r="L4" s="32">
        <v>45566</v>
      </c>
      <c r="M4" s="32">
        <v>45689</v>
      </c>
      <c r="N4" s="33">
        <v>45870</v>
      </c>
    </row>
    <row r="5" spans="1:14">
      <c r="A5" s="26"/>
      <c r="B5" s="26"/>
      <c r="C5" s="63"/>
      <c r="D5" s="64"/>
      <c r="E5" s="65"/>
      <c r="F5" s="44">
        <f>YEAR(F4)</f>
        <v>2024</v>
      </c>
      <c r="G5" s="34">
        <v>2025</v>
      </c>
      <c r="H5" s="44"/>
      <c r="I5" s="44"/>
      <c r="J5" s="44"/>
      <c r="K5" s="44"/>
      <c r="L5" s="29">
        <f>YEAR(L4)</f>
        <v>2024</v>
      </c>
      <c r="M5" s="29">
        <v>2025</v>
      </c>
      <c r="N5" s="30">
        <v>2025</v>
      </c>
    </row>
    <row r="6" spans="1:14">
      <c r="A6" s="35" t="s">
        <v>102</v>
      </c>
      <c r="B6" s="35" t="s">
        <v>103</v>
      </c>
      <c r="C6" s="36" t="s">
        <v>104</v>
      </c>
      <c r="D6" s="36" t="s">
        <v>105</v>
      </c>
      <c r="E6" s="36" t="s">
        <v>106</v>
      </c>
      <c r="F6" s="28" t="s">
        <v>652</v>
      </c>
      <c r="G6" s="28" t="s">
        <v>18</v>
      </c>
      <c r="H6" s="28"/>
      <c r="I6" s="28"/>
      <c r="J6" s="28"/>
      <c r="K6" s="28"/>
      <c r="L6" s="37" t="s">
        <v>15</v>
      </c>
      <c r="M6" s="37" t="s">
        <v>15</v>
      </c>
      <c r="N6" s="30" t="s">
        <v>107</v>
      </c>
    </row>
    <row r="7" spans="1:14">
      <c r="A7" s="38">
        <v>1</v>
      </c>
      <c r="B7" s="39" t="s">
        <v>112</v>
      </c>
      <c r="C7" s="38">
        <f ca="1">COUNTIFS(F7:N7,"&gt;0",$F$3:N$3,"&lt;13")</f>
        <v>3</v>
      </c>
      <c r="D7" s="38">
        <f ca="1">SUMIF($F$3:N$3,"&lt;13",F7:N7)</f>
        <v>1050</v>
      </c>
      <c r="E7" s="38">
        <f ca="1">IFERROR(__xludf.DUMMYFUNCTION("iferror(ARRAY_CONSTRAIN(ARRAYFORMULA(SUMPRODUCT(LARGE(FILTER(F7:N7, F$3:N$3 &lt; 13),{1,2,3,4,5,6,7}))), 1, 1),""&lt;7 events"")"),1050)</f>
        <v>1050</v>
      </c>
      <c r="F7" s="38">
        <v>100</v>
      </c>
      <c r="G7" s="45">
        <v>100</v>
      </c>
      <c r="H7" s="43">
        <v>0</v>
      </c>
      <c r="I7" s="43">
        <v>0</v>
      </c>
      <c r="J7" s="43">
        <v>0</v>
      </c>
      <c r="K7" s="43">
        <v>0</v>
      </c>
      <c r="L7" s="45">
        <v>450</v>
      </c>
      <c r="M7" s="45">
        <v>500</v>
      </c>
      <c r="N7" s="45">
        <v>0</v>
      </c>
    </row>
    <row r="8" spans="1:14">
      <c r="A8" s="38">
        <v>2</v>
      </c>
      <c r="B8" s="39" t="s">
        <v>120</v>
      </c>
      <c r="C8" s="38">
        <f ca="1">COUNTIFS(F8:N8,"&gt;0",$F$3:N$3,"&lt;13")</f>
        <v>3</v>
      </c>
      <c r="D8" s="38">
        <f ca="1">SUMIF($F$3:N$3,"&lt;13",F8:N8)</f>
        <v>740</v>
      </c>
      <c r="E8" s="38">
        <f ca="1">IFERROR(__xludf.DUMMYFUNCTION("iferror(ARRAY_CONSTRAIN(ARRAYFORMULA(SUMPRODUCT(LARGE(FILTER(F8:N8, F$3:N$3 &lt; 13),{1,2,3,4,5,6,7}))), 1, 1),""&lt;7 events"")"),740)</f>
        <v>740</v>
      </c>
      <c r="F8" s="49">
        <v>0</v>
      </c>
      <c r="G8" s="45">
        <v>90</v>
      </c>
      <c r="H8" s="43">
        <v>0</v>
      </c>
      <c r="I8" s="43">
        <v>0</v>
      </c>
      <c r="J8" s="43">
        <v>0</v>
      </c>
      <c r="K8" s="43">
        <v>0</v>
      </c>
      <c r="L8" s="45">
        <v>400</v>
      </c>
      <c r="M8" s="45">
        <v>250</v>
      </c>
      <c r="N8" s="45">
        <v>0</v>
      </c>
    </row>
    <row r="9" spans="1:14">
      <c r="A9" s="38">
        <v>3</v>
      </c>
      <c r="B9" s="39" t="s">
        <v>44</v>
      </c>
      <c r="C9" s="38">
        <f ca="1">COUNTIFS(F9:N9,"&gt;0",$F$3:N$3,"&lt;13")</f>
        <v>1</v>
      </c>
      <c r="D9" s="38">
        <f ca="1">SUMIF($F$3:N$3,"&lt;13",F9:N9)</f>
        <v>250</v>
      </c>
      <c r="E9" s="38">
        <f ca="1">IFERROR(__xludf.DUMMYFUNCTION("iferror(ARRAY_CONSTRAIN(ARRAYFORMULA(SUMPRODUCT(LARGE(FILTER(F9:N9, F$3:N$3 &lt; 13),{1,2,3,4,5,6,7}))), 1, 1),""&lt;7 events"")"),250)</f>
        <v>250</v>
      </c>
      <c r="F9" s="49">
        <v>0</v>
      </c>
      <c r="G9" s="45">
        <v>0</v>
      </c>
      <c r="H9" s="43">
        <v>0</v>
      </c>
      <c r="I9" s="43">
        <v>0</v>
      </c>
      <c r="J9" s="43">
        <v>0</v>
      </c>
      <c r="K9" s="43">
        <v>0</v>
      </c>
      <c r="L9" s="45">
        <v>0</v>
      </c>
      <c r="M9" s="45">
        <v>250</v>
      </c>
      <c r="N9" s="45">
        <v>0</v>
      </c>
    </row>
    <row r="10" spans="1:14">
      <c r="A10" s="38">
        <v>4</v>
      </c>
      <c r="B10" s="39" t="s">
        <v>198</v>
      </c>
      <c r="C10" s="38">
        <f>COUNTIFS(F10:N10,"&gt;0",$F$3:N$3,"&lt;13")</f>
        <v>0</v>
      </c>
      <c r="D10" s="38">
        <f ca="1">SUMIF($F$3:N$3,"&lt;13",F10:N10)</f>
        <v>0</v>
      </c>
      <c r="E10" s="38">
        <f ca="1">IFERROR(__xludf.DUMMYFUNCTION("iferror(ARRAY_CONSTRAIN(ARRAYFORMULA(SUMPRODUCT(LARGE(FILTER(F10:N10, F$3:N$3 &lt; 13),{1,2,3,4,5,6,7}))), 1, 1),""&lt;7 events"")"),0)</f>
        <v>0</v>
      </c>
      <c r="F10" s="49">
        <v>0</v>
      </c>
      <c r="G10" s="45">
        <v>0</v>
      </c>
      <c r="H10" s="43">
        <v>0</v>
      </c>
      <c r="I10" s="43">
        <v>0</v>
      </c>
      <c r="J10" s="43">
        <v>0</v>
      </c>
      <c r="K10" s="43">
        <v>0</v>
      </c>
      <c r="L10" s="45">
        <v>0</v>
      </c>
      <c r="M10" s="45">
        <v>0</v>
      </c>
      <c r="N10" s="45">
        <v>0</v>
      </c>
    </row>
    <row r="11" spans="1:14">
      <c r="A11" s="38"/>
      <c r="B11" s="39"/>
      <c r="C11" s="38"/>
      <c r="D11" s="38"/>
      <c r="E11" s="38"/>
      <c r="F11" s="38"/>
      <c r="G11" s="38"/>
      <c r="H11" s="38"/>
      <c r="I11" s="38"/>
      <c r="J11" s="38"/>
      <c r="K11" s="38"/>
      <c r="L11" s="40"/>
      <c r="M11" s="40"/>
      <c r="N11" s="40"/>
    </row>
    <row r="12" spans="1:14">
      <c r="A12" s="38"/>
      <c r="B12" s="39"/>
      <c r="C12" s="38"/>
      <c r="D12" s="38"/>
      <c r="E12" s="38"/>
      <c r="F12" s="38"/>
      <c r="G12" s="38"/>
      <c r="H12" s="38"/>
      <c r="I12" s="38"/>
      <c r="J12" s="38"/>
      <c r="K12" s="38"/>
      <c r="L12" s="40"/>
      <c r="M12" s="40"/>
      <c r="N12" s="40"/>
    </row>
    <row r="13" spans="1:14">
      <c r="A13" s="38"/>
      <c r="B13" s="39"/>
      <c r="C13" s="38"/>
      <c r="D13" s="38"/>
      <c r="E13" s="38"/>
      <c r="F13" s="38"/>
      <c r="G13" s="38"/>
      <c r="H13" s="38"/>
      <c r="I13" s="38"/>
      <c r="J13" s="38"/>
      <c r="K13" s="38"/>
      <c r="L13" s="40"/>
      <c r="M13" s="40"/>
      <c r="N13" s="40"/>
    </row>
    <row r="14" spans="1:14">
      <c r="A14" s="38"/>
      <c r="B14" s="39"/>
      <c r="C14" s="38"/>
      <c r="D14" s="38"/>
      <c r="E14" s="38"/>
      <c r="F14" s="38"/>
      <c r="G14" s="38"/>
      <c r="H14" s="38"/>
      <c r="I14" s="38"/>
      <c r="J14" s="38"/>
      <c r="K14" s="38"/>
      <c r="L14" s="40"/>
      <c r="M14" s="40"/>
      <c r="N14" s="40"/>
    </row>
    <row r="15" spans="1:14">
      <c r="A15" s="38"/>
      <c r="B15" s="39"/>
      <c r="C15" s="38"/>
      <c r="D15" s="38"/>
      <c r="E15" s="38"/>
      <c r="F15" s="38"/>
      <c r="G15" s="38"/>
      <c r="H15" s="38"/>
      <c r="I15" s="38"/>
      <c r="J15" s="38"/>
      <c r="K15" s="38"/>
      <c r="L15" s="40"/>
      <c r="M15" s="40"/>
      <c r="N15" s="40"/>
    </row>
    <row r="16" spans="1:14">
      <c r="A16" s="38"/>
      <c r="B16" s="39"/>
      <c r="C16" s="38"/>
      <c r="D16" s="38"/>
      <c r="E16" s="38"/>
      <c r="F16" s="38"/>
      <c r="G16" s="38"/>
      <c r="H16" s="38"/>
      <c r="I16" s="38"/>
      <c r="J16" s="38"/>
      <c r="K16" s="38"/>
      <c r="L16" s="40"/>
      <c r="M16" s="40"/>
      <c r="N16" s="40"/>
    </row>
    <row r="17" spans="1:14">
      <c r="A17" s="38"/>
      <c r="B17" s="39"/>
      <c r="C17" s="38"/>
      <c r="D17" s="38"/>
      <c r="E17" s="38"/>
      <c r="F17" s="38"/>
      <c r="G17" s="38"/>
      <c r="H17" s="38"/>
      <c r="I17" s="38"/>
      <c r="J17" s="38"/>
      <c r="K17" s="38"/>
      <c r="L17" s="40"/>
      <c r="M17" s="40"/>
      <c r="N17" s="40"/>
    </row>
    <row r="18" spans="1:14">
      <c r="A18" s="38"/>
      <c r="B18" s="39"/>
      <c r="C18" s="38"/>
      <c r="D18" s="38"/>
      <c r="E18" s="38"/>
      <c r="F18" s="38"/>
      <c r="G18" s="38"/>
      <c r="H18" s="38"/>
      <c r="I18" s="38"/>
      <c r="J18" s="38"/>
      <c r="K18" s="38"/>
      <c r="L18" s="40"/>
      <c r="M18" s="40"/>
      <c r="N18" s="40"/>
    </row>
    <row r="19" spans="1:14">
      <c r="A19" s="38"/>
      <c r="C19" s="38"/>
      <c r="D19" s="38"/>
      <c r="E19" s="38"/>
      <c r="F19" s="40"/>
      <c r="G19" s="40"/>
      <c r="H19" s="40"/>
      <c r="I19" s="40"/>
      <c r="J19" s="40"/>
      <c r="K19" s="40"/>
      <c r="L19" s="40"/>
      <c r="M19" s="40"/>
      <c r="N19" s="40"/>
    </row>
    <row r="20" spans="1:14">
      <c r="A20" s="38"/>
      <c r="B20" s="39"/>
      <c r="C20" s="38"/>
      <c r="D20" s="38"/>
      <c r="E20" s="38"/>
      <c r="F20" s="38"/>
      <c r="G20" s="38"/>
      <c r="H20" s="38"/>
      <c r="I20" s="38"/>
      <c r="J20" s="38"/>
      <c r="K20" s="38"/>
      <c r="L20" s="40"/>
      <c r="M20" s="40"/>
      <c r="N20" s="40"/>
    </row>
    <row r="21" spans="1:14">
      <c r="A21" s="38"/>
      <c r="C21" s="38"/>
      <c r="D21" s="38"/>
      <c r="E21" s="38"/>
      <c r="F21" s="38"/>
      <c r="G21" s="38"/>
      <c r="H21" s="38"/>
      <c r="I21" s="38"/>
      <c r="J21" s="38"/>
      <c r="K21" s="38"/>
      <c r="L21" s="40"/>
      <c r="M21" s="40"/>
      <c r="N21" s="40"/>
    </row>
    <row r="22" spans="1:14">
      <c r="A22" s="38"/>
      <c r="C22" s="38"/>
      <c r="D22" s="38"/>
      <c r="E22" s="38"/>
      <c r="F22" s="40"/>
      <c r="G22" s="40"/>
      <c r="H22" s="40"/>
      <c r="I22" s="40"/>
      <c r="J22" s="40"/>
      <c r="K22" s="40"/>
      <c r="L22" s="40"/>
      <c r="M22" s="40"/>
      <c r="N22" s="40"/>
    </row>
    <row r="23" spans="1:14">
      <c r="A23" s="38"/>
      <c r="B23" s="39"/>
      <c r="C23" s="38"/>
      <c r="D23" s="38"/>
      <c r="E23" s="38"/>
      <c r="F23" s="38"/>
      <c r="G23" s="38"/>
      <c r="H23" s="38"/>
      <c r="I23" s="38"/>
      <c r="J23" s="38"/>
      <c r="K23" s="38"/>
      <c r="L23" s="40"/>
      <c r="M23" s="40"/>
      <c r="N23" s="40"/>
    </row>
    <row r="24" spans="1:14">
      <c r="A24" s="38"/>
      <c r="B24" s="39"/>
      <c r="C24" s="38"/>
      <c r="D24" s="38"/>
      <c r="E24" s="38"/>
      <c r="F24" s="38"/>
      <c r="G24" s="38"/>
      <c r="H24" s="38"/>
      <c r="I24" s="38"/>
      <c r="J24" s="38"/>
      <c r="K24" s="38"/>
      <c r="L24" s="40"/>
      <c r="M24" s="40"/>
      <c r="N24" s="40"/>
    </row>
    <row r="25" spans="1:14">
      <c r="A25" s="38"/>
      <c r="C25" s="38"/>
      <c r="D25" s="38"/>
      <c r="E25" s="38"/>
      <c r="F25" s="40"/>
      <c r="G25" s="40"/>
      <c r="H25" s="40"/>
      <c r="I25" s="40"/>
      <c r="J25" s="40"/>
      <c r="K25" s="40"/>
      <c r="L25" s="40"/>
      <c r="M25" s="40"/>
      <c r="N25" s="40"/>
    </row>
    <row r="26" spans="1:14">
      <c r="A26" s="38"/>
      <c r="C26" s="38"/>
      <c r="D26" s="38"/>
      <c r="E26" s="38"/>
      <c r="F26" s="40"/>
      <c r="G26" s="40"/>
      <c r="H26" s="40"/>
      <c r="I26" s="40"/>
      <c r="J26" s="40"/>
      <c r="K26" s="40"/>
      <c r="L26" s="40"/>
      <c r="M26" s="40"/>
      <c r="N26" s="40"/>
    </row>
    <row r="27" spans="1:14">
      <c r="A27" s="38"/>
      <c r="B27" s="39"/>
      <c r="C27" s="38"/>
      <c r="D27" s="38"/>
      <c r="E27" s="38"/>
      <c r="F27" s="38"/>
      <c r="G27" s="38"/>
      <c r="H27" s="38"/>
      <c r="I27" s="38"/>
      <c r="J27" s="38"/>
      <c r="K27" s="38"/>
      <c r="L27" s="40"/>
      <c r="M27" s="40"/>
      <c r="N27" s="40"/>
    </row>
    <row r="28" spans="1:14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40"/>
      <c r="M28" s="40"/>
      <c r="N28" s="40"/>
    </row>
    <row r="29" spans="1:14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40"/>
      <c r="M29" s="40"/>
      <c r="N29" s="40"/>
    </row>
    <row r="30" spans="1:14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40"/>
      <c r="M30" s="40"/>
      <c r="N30" s="40"/>
    </row>
    <row r="31" spans="1:14">
      <c r="A31" s="38"/>
      <c r="C31" s="38"/>
      <c r="D31" s="38"/>
      <c r="E31" s="38"/>
      <c r="F31" s="38"/>
      <c r="G31" s="38"/>
      <c r="H31" s="38"/>
      <c r="I31" s="38"/>
      <c r="J31" s="38"/>
      <c r="K31" s="38"/>
      <c r="L31" s="40"/>
      <c r="M31" s="40"/>
      <c r="N31" s="40"/>
    </row>
    <row r="32" spans="1:14">
      <c r="A32" s="38"/>
      <c r="C32" s="38"/>
      <c r="D32" s="38"/>
      <c r="E32" s="38"/>
      <c r="F32" s="38"/>
      <c r="G32" s="38"/>
      <c r="H32" s="38"/>
      <c r="I32" s="38"/>
      <c r="J32" s="38"/>
      <c r="K32" s="38"/>
      <c r="L32" s="40"/>
      <c r="M32" s="40"/>
      <c r="N32" s="40"/>
    </row>
    <row r="33" spans="1:14">
      <c r="A33" s="40"/>
      <c r="C33" s="38"/>
      <c r="D33" s="38"/>
      <c r="E33" s="38"/>
      <c r="F33" s="38"/>
      <c r="G33" s="38"/>
      <c r="H33" s="38"/>
      <c r="I33" s="38"/>
      <c r="J33" s="38"/>
      <c r="K33" s="38"/>
      <c r="L33" s="40"/>
      <c r="M33" s="40"/>
      <c r="N33" s="40"/>
    </row>
    <row r="34" spans="1:14">
      <c r="A34" s="40"/>
      <c r="C34" s="38"/>
      <c r="D34" s="38"/>
      <c r="E34" s="38"/>
      <c r="F34" s="38"/>
      <c r="G34" s="38"/>
      <c r="H34" s="38"/>
      <c r="I34" s="38"/>
      <c r="J34" s="38"/>
      <c r="K34" s="38"/>
      <c r="L34" s="40"/>
      <c r="M34" s="40"/>
      <c r="N34" s="40"/>
    </row>
    <row r="35" spans="1:14">
      <c r="A35" s="40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40"/>
      <c r="M35" s="40"/>
      <c r="N35" s="40"/>
    </row>
    <row r="36" spans="1:14">
      <c r="A36" s="40"/>
      <c r="C36" s="38"/>
      <c r="D36" s="38"/>
      <c r="E36" s="38"/>
      <c r="F36" s="38"/>
      <c r="G36" s="38"/>
      <c r="H36" s="38"/>
      <c r="I36" s="38"/>
      <c r="J36" s="38"/>
      <c r="K36" s="38"/>
      <c r="L36" s="40"/>
      <c r="M36" s="40"/>
      <c r="N36" s="40"/>
    </row>
    <row r="37" spans="1:14">
      <c r="A37" s="40"/>
      <c r="C37" s="38"/>
      <c r="D37" s="38"/>
      <c r="E37" s="38"/>
      <c r="F37" s="38"/>
      <c r="G37" s="38"/>
      <c r="H37" s="38"/>
      <c r="I37" s="38"/>
      <c r="J37" s="38"/>
      <c r="K37" s="38"/>
      <c r="L37" s="40"/>
      <c r="M37" s="40"/>
      <c r="N37" s="40"/>
    </row>
    <row r="38" spans="1:14">
      <c r="A38" s="40"/>
      <c r="C38" s="38"/>
      <c r="D38" s="38"/>
      <c r="E38" s="38"/>
      <c r="F38" s="38"/>
      <c r="G38" s="38"/>
      <c r="H38" s="38"/>
      <c r="I38" s="38"/>
      <c r="J38" s="38"/>
      <c r="K38" s="38"/>
      <c r="L38" s="40"/>
      <c r="M38" s="40"/>
      <c r="N38" s="40"/>
    </row>
    <row r="39" spans="1:14">
      <c r="A39" s="40"/>
      <c r="C39" s="38"/>
      <c r="D39" s="38"/>
      <c r="E39" s="38"/>
      <c r="F39" s="38"/>
      <c r="G39" s="38"/>
      <c r="H39" s="38"/>
      <c r="I39" s="38"/>
      <c r="J39" s="38"/>
      <c r="K39" s="38"/>
      <c r="L39" s="40"/>
      <c r="M39" s="40"/>
      <c r="N39" s="40"/>
    </row>
    <row r="40" spans="1:14">
      <c r="A40" s="40"/>
      <c r="C40" s="38"/>
      <c r="D40" s="38"/>
      <c r="E40" s="38"/>
      <c r="F40" s="38"/>
      <c r="G40" s="38"/>
      <c r="H40" s="38"/>
      <c r="I40" s="38"/>
      <c r="J40" s="38"/>
      <c r="K40" s="38"/>
      <c r="L40" s="40"/>
      <c r="M40" s="40"/>
      <c r="N40" s="40"/>
    </row>
    <row r="41" spans="1:14">
      <c r="A41" s="40"/>
      <c r="C41" s="38"/>
      <c r="D41" s="38"/>
      <c r="E41" s="38"/>
      <c r="F41" s="38"/>
      <c r="G41" s="38"/>
      <c r="H41" s="38"/>
      <c r="I41" s="38"/>
      <c r="J41" s="38"/>
      <c r="K41" s="38"/>
      <c r="L41" s="40"/>
      <c r="M41" s="40"/>
      <c r="N41" s="40"/>
    </row>
    <row r="42" spans="1:14">
      <c r="A42" s="40"/>
      <c r="B42" s="39"/>
      <c r="C42" s="38"/>
      <c r="D42" s="38"/>
      <c r="E42" s="38"/>
      <c r="F42" s="38"/>
      <c r="G42" s="38"/>
      <c r="H42" s="38"/>
      <c r="I42" s="38"/>
      <c r="J42" s="38"/>
      <c r="K42" s="38"/>
      <c r="L42" s="40"/>
      <c r="M42" s="40"/>
      <c r="N42" s="40"/>
    </row>
    <row r="43" spans="1:14">
      <c r="A43" s="40"/>
      <c r="B43" s="39"/>
      <c r="C43" s="38"/>
      <c r="D43" s="38"/>
      <c r="E43" s="38"/>
      <c r="F43" s="38"/>
      <c r="G43" s="38"/>
      <c r="H43" s="38"/>
      <c r="I43" s="38"/>
      <c r="J43" s="38"/>
      <c r="K43" s="38"/>
      <c r="L43" s="40"/>
      <c r="M43" s="40"/>
      <c r="N43" s="40"/>
    </row>
    <row r="44" spans="1:14">
      <c r="A44" s="40"/>
      <c r="B44" s="39"/>
      <c r="C44" s="38"/>
      <c r="D44" s="38"/>
      <c r="E44" s="38"/>
      <c r="F44" s="38"/>
      <c r="G44" s="38"/>
      <c r="H44" s="38"/>
      <c r="I44" s="38"/>
      <c r="J44" s="38"/>
      <c r="K44" s="38"/>
      <c r="L44" s="40"/>
      <c r="M44" s="40"/>
      <c r="N44" s="40"/>
    </row>
    <row r="45" spans="1:14">
      <c r="A45" s="40"/>
      <c r="B45" s="39"/>
      <c r="C45" s="38"/>
      <c r="D45" s="38"/>
      <c r="E45" s="38"/>
      <c r="F45" s="38"/>
      <c r="G45" s="38"/>
      <c r="H45" s="38"/>
      <c r="I45" s="38"/>
      <c r="J45" s="38"/>
      <c r="K45" s="38"/>
      <c r="L45" s="40"/>
      <c r="M45" s="40"/>
      <c r="N45" s="40"/>
    </row>
    <row r="46" spans="1:14">
      <c r="A46" s="40"/>
      <c r="B46" s="39"/>
      <c r="C46" s="38"/>
      <c r="D46" s="38"/>
      <c r="E46" s="38"/>
      <c r="F46" s="38"/>
      <c r="G46" s="38"/>
      <c r="H46" s="38"/>
      <c r="I46" s="38"/>
      <c r="J46" s="38"/>
      <c r="K46" s="38"/>
      <c r="L46" s="40"/>
      <c r="M46" s="40"/>
      <c r="N46" s="40"/>
    </row>
    <row r="47" spans="1:14">
      <c r="A47" s="40"/>
      <c r="B47" s="39"/>
      <c r="C47" s="38"/>
      <c r="D47" s="38"/>
      <c r="E47" s="38"/>
      <c r="F47" s="38"/>
      <c r="G47" s="38"/>
      <c r="H47" s="38"/>
      <c r="I47" s="38"/>
      <c r="J47" s="38"/>
      <c r="K47" s="38"/>
      <c r="L47" s="40"/>
      <c r="M47" s="40"/>
      <c r="N47" s="40"/>
    </row>
    <row r="48" spans="1:14">
      <c r="A48" s="40"/>
      <c r="L48" s="40"/>
      <c r="M48" s="40"/>
      <c r="N48" s="40"/>
    </row>
    <row r="49" spans="1:14">
      <c r="A49" s="40"/>
      <c r="L49" s="40"/>
      <c r="M49" s="40"/>
      <c r="N49" s="40"/>
    </row>
    <row r="50" spans="1:14">
      <c r="A50" s="40"/>
      <c r="L50" s="40"/>
      <c r="M50" s="40"/>
      <c r="N50" s="40"/>
    </row>
    <row r="51" spans="1:14">
      <c r="A51" s="40"/>
      <c r="L51" s="40"/>
      <c r="M51" s="40"/>
      <c r="N51" s="40"/>
    </row>
    <row r="52" spans="1:14">
      <c r="A52" s="40"/>
      <c r="L52" s="40"/>
      <c r="M52" s="40"/>
      <c r="N52" s="40"/>
    </row>
    <row r="53" spans="1:14">
      <c r="A53" s="40"/>
      <c r="L53" s="40"/>
      <c r="M53" s="40"/>
      <c r="N53" s="40"/>
    </row>
    <row r="54" spans="1:14">
      <c r="A54" s="40"/>
      <c r="L54" s="40"/>
      <c r="M54" s="40"/>
      <c r="N54" s="40"/>
    </row>
    <row r="55" spans="1:14">
      <c r="A55" s="40"/>
      <c r="L55" s="40"/>
      <c r="M55" s="40"/>
      <c r="N55" s="40"/>
    </row>
    <row r="56" spans="1:14">
      <c r="A56" s="40"/>
      <c r="L56" s="40"/>
      <c r="M56" s="40"/>
      <c r="N56" s="40"/>
    </row>
    <row r="57" spans="1:14">
      <c r="A57" s="40"/>
      <c r="L57" s="40"/>
      <c r="M57" s="40"/>
      <c r="N57" s="40"/>
    </row>
    <row r="58" spans="1:14">
      <c r="A58" s="40"/>
      <c r="L58" s="40"/>
      <c r="M58" s="40"/>
      <c r="N58" s="40"/>
    </row>
    <row r="59" spans="1:14">
      <c r="A59" s="40"/>
      <c r="L59" s="40"/>
      <c r="M59" s="40"/>
      <c r="N59" s="40"/>
    </row>
    <row r="60" spans="1:14">
      <c r="A60" s="40"/>
      <c r="L60" s="40"/>
      <c r="M60" s="40"/>
      <c r="N60" s="40"/>
    </row>
    <row r="61" spans="1:14">
      <c r="A61" s="40"/>
      <c r="L61" s="40"/>
      <c r="M61" s="40"/>
      <c r="N61" s="40"/>
    </row>
    <row r="62" spans="1:14">
      <c r="A62" s="40"/>
      <c r="L62" s="40"/>
      <c r="M62" s="40"/>
      <c r="N62" s="40"/>
    </row>
    <row r="63" spans="1:14">
      <c r="A63" s="40"/>
      <c r="L63" s="40"/>
      <c r="M63" s="40"/>
      <c r="N63" s="40"/>
    </row>
    <row r="64" spans="1:14">
      <c r="A64" s="40"/>
      <c r="L64" s="40"/>
      <c r="M64" s="40"/>
      <c r="N64" s="40"/>
    </row>
    <row r="65" spans="1:14">
      <c r="A65" s="40"/>
      <c r="L65" s="40"/>
      <c r="M65" s="40"/>
      <c r="N65" s="40"/>
    </row>
    <row r="66" spans="1:14">
      <c r="A66" s="40"/>
      <c r="L66" s="40"/>
      <c r="M66" s="40"/>
      <c r="N66" s="40"/>
    </row>
    <row r="67" spans="1:14">
      <c r="A67" s="40"/>
      <c r="L67" s="40"/>
      <c r="M67" s="40"/>
      <c r="N67" s="40"/>
    </row>
    <row r="68" spans="1:14">
      <c r="A68" s="40"/>
      <c r="L68" s="40"/>
      <c r="M68" s="40"/>
      <c r="N68" s="40"/>
    </row>
    <row r="69" spans="1:14">
      <c r="A69" s="40"/>
      <c r="L69" s="40"/>
      <c r="M69" s="40"/>
      <c r="N69" s="40"/>
    </row>
    <row r="70" spans="1:14">
      <c r="A70" s="40"/>
      <c r="L70" s="40"/>
      <c r="M70" s="40"/>
      <c r="N70" s="40"/>
    </row>
    <row r="71" spans="1:14">
      <c r="A71" s="40"/>
      <c r="L71" s="40"/>
      <c r="M71" s="40"/>
      <c r="N71" s="40"/>
    </row>
    <row r="72" spans="1:14">
      <c r="A72" s="40"/>
      <c r="L72" s="40"/>
      <c r="M72" s="40"/>
      <c r="N72" s="40"/>
    </row>
    <row r="73" spans="1:14">
      <c r="A73" s="40"/>
      <c r="L73" s="40"/>
      <c r="M73" s="40"/>
      <c r="N73" s="40"/>
    </row>
    <row r="74" spans="1:14">
      <c r="A74" s="40"/>
      <c r="L74" s="40"/>
      <c r="M74" s="40"/>
      <c r="N74" s="40"/>
    </row>
    <row r="75" spans="1:14">
      <c r="A75" s="40"/>
      <c r="L75" s="40"/>
      <c r="M75" s="40"/>
      <c r="N75" s="40"/>
    </row>
    <row r="76" spans="1:14">
      <c r="A76" s="40"/>
      <c r="L76" s="40"/>
      <c r="M76" s="40"/>
      <c r="N76" s="40"/>
    </row>
    <row r="77" spans="1:14">
      <c r="A77" s="40"/>
      <c r="L77" s="40"/>
      <c r="M77" s="40"/>
      <c r="N77" s="40"/>
    </row>
    <row r="78" spans="1:14">
      <c r="A78" s="40"/>
      <c r="L78" s="40"/>
      <c r="M78" s="40"/>
      <c r="N78" s="40"/>
    </row>
    <row r="79" spans="1:14">
      <c r="A79" s="40"/>
      <c r="L79" s="40"/>
      <c r="M79" s="40"/>
      <c r="N79" s="40"/>
    </row>
    <row r="80" spans="1:14">
      <c r="A80" s="40"/>
      <c r="L80" s="40"/>
      <c r="M80" s="40"/>
      <c r="N80" s="40"/>
    </row>
    <row r="81" spans="1:14">
      <c r="A81" s="40"/>
      <c r="L81" s="40"/>
      <c r="M81" s="40"/>
      <c r="N81" s="40"/>
    </row>
    <row r="82" spans="1:14">
      <c r="A82" s="40"/>
      <c r="L82" s="40"/>
      <c r="M82" s="40"/>
      <c r="N82" s="40"/>
    </row>
    <row r="83" spans="1:14">
      <c r="A83" s="40"/>
      <c r="L83" s="40"/>
      <c r="M83" s="40"/>
      <c r="N83" s="40"/>
    </row>
    <row r="84" spans="1:14">
      <c r="A84" s="40"/>
      <c r="L84" s="40"/>
      <c r="M84" s="40"/>
      <c r="N84" s="40"/>
    </row>
    <row r="85" spans="1:14">
      <c r="A85" s="40"/>
      <c r="L85" s="40"/>
      <c r="M85" s="40"/>
      <c r="N85" s="40"/>
    </row>
    <row r="86" spans="1:14">
      <c r="A86" s="40"/>
      <c r="L86" s="40"/>
      <c r="M86" s="40"/>
      <c r="N86" s="40"/>
    </row>
    <row r="87" spans="1:14">
      <c r="A87" s="40"/>
      <c r="L87" s="40"/>
      <c r="M87" s="40"/>
      <c r="N87" s="40"/>
    </row>
    <row r="88" spans="1:14">
      <c r="A88" s="40"/>
      <c r="L88" s="40"/>
      <c r="M88" s="40"/>
      <c r="N88" s="40"/>
    </row>
    <row r="89" spans="1:14">
      <c r="A89" s="40"/>
      <c r="L89" s="40"/>
      <c r="M89" s="40"/>
      <c r="N89" s="40"/>
    </row>
    <row r="90" spans="1:14">
      <c r="A90" s="40"/>
      <c r="L90" s="40"/>
      <c r="M90" s="40"/>
      <c r="N90" s="40"/>
    </row>
    <row r="91" spans="1:14">
      <c r="A91" s="40"/>
      <c r="L91" s="40"/>
      <c r="M91" s="40"/>
      <c r="N91" s="40"/>
    </row>
    <row r="92" spans="1:14">
      <c r="A92" s="40"/>
      <c r="L92" s="40"/>
      <c r="M92" s="40"/>
      <c r="N92" s="40"/>
    </row>
    <row r="93" spans="1:14">
      <c r="A93" s="40"/>
      <c r="L93" s="40"/>
      <c r="M93" s="40"/>
      <c r="N93" s="40"/>
    </row>
    <row r="94" spans="1:14">
      <c r="A94" s="40"/>
      <c r="L94" s="40"/>
      <c r="M94" s="40"/>
      <c r="N94" s="40"/>
    </row>
    <row r="95" spans="1:14">
      <c r="A95" s="40"/>
      <c r="L95" s="40"/>
      <c r="M95" s="40"/>
      <c r="N95" s="40"/>
    </row>
    <row r="96" spans="1:14">
      <c r="A96" s="40"/>
      <c r="L96" s="40"/>
      <c r="M96" s="40"/>
      <c r="N96" s="40"/>
    </row>
    <row r="97" spans="1:14">
      <c r="A97" s="40"/>
      <c r="L97" s="40"/>
      <c r="M97" s="40"/>
      <c r="N97" s="40"/>
    </row>
    <row r="98" spans="1:14">
      <c r="A98" s="40"/>
      <c r="L98" s="40"/>
      <c r="M98" s="40"/>
      <c r="N98" s="40"/>
    </row>
    <row r="99" spans="1:14">
      <c r="A99" s="40"/>
      <c r="L99" s="40"/>
      <c r="M99" s="40"/>
      <c r="N99" s="40"/>
    </row>
    <row r="100" spans="1:14">
      <c r="A100" s="40"/>
      <c r="L100" s="40"/>
      <c r="M100" s="40"/>
      <c r="N100" s="40"/>
    </row>
    <row r="101" spans="1:14">
      <c r="A101" s="40"/>
      <c r="L101" s="40"/>
      <c r="M101" s="40"/>
      <c r="N101" s="40"/>
    </row>
    <row r="102" spans="1:14">
      <c r="A102" s="40"/>
      <c r="L102" s="40"/>
      <c r="M102" s="40"/>
      <c r="N102" s="40"/>
    </row>
    <row r="103" spans="1:14">
      <c r="A103" s="40"/>
      <c r="L103" s="40"/>
      <c r="M103" s="40"/>
      <c r="N103" s="40"/>
    </row>
    <row r="104" spans="1:14">
      <c r="A104" s="40"/>
      <c r="L104" s="40"/>
      <c r="M104" s="40"/>
      <c r="N104" s="40"/>
    </row>
    <row r="105" spans="1:14">
      <c r="A105" s="40"/>
      <c r="L105" s="40"/>
      <c r="M105" s="40"/>
      <c r="N105" s="40"/>
    </row>
    <row r="106" spans="1:14">
      <c r="A106" s="40"/>
      <c r="L106" s="40"/>
      <c r="M106" s="40"/>
      <c r="N106" s="40"/>
    </row>
    <row r="107" spans="1:14">
      <c r="A107" s="40"/>
      <c r="L107" s="40"/>
      <c r="M107" s="40"/>
      <c r="N107" s="40"/>
    </row>
    <row r="108" spans="1:14">
      <c r="A108" s="40"/>
      <c r="L108" s="40"/>
      <c r="M108" s="40"/>
      <c r="N108" s="40"/>
    </row>
    <row r="109" spans="1:14">
      <c r="A109" s="40"/>
      <c r="L109" s="40"/>
      <c r="M109" s="40"/>
      <c r="N109" s="40"/>
    </row>
    <row r="110" spans="1:14">
      <c r="A110" s="40"/>
      <c r="L110" s="40"/>
      <c r="M110" s="40"/>
      <c r="N110" s="40"/>
    </row>
    <row r="111" spans="1:14">
      <c r="A111" s="40"/>
      <c r="L111" s="40"/>
      <c r="M111" s="40"/>
      <c r="N111" s="40"/>
    </row>
    <row r="112" spans="1:14">
      <c r="A112" s="40"/>
      <c r="L112" s="40"/>
      <c r="M112" s="40"/>
      <c r="N112" s="40"/>
    </row>
    <row r="113" spans="1:14">
      <c r="A113" s="40"/>
      <c r="L113" s="40"/>
      <c r="M113" s="40"/>
      <c r="N113" s="40"/>
    </row>
    <row r="114" spans="1:14">
      <c r="A114" s="40"/>
      <c r="L114" s="40"/>
      <c r="M114" s="40"/>
      <c r="N114" s="40"/>
    </row>
    <row r="115" spans="1:14">
      <c r="A115" s="40"/>
      <c r="L115" s="40"/>
      <c r="M115" s="40"/>
      <c r="N115" s="40"/>
    </row>
    <row r="116" spans="1:14">
      <c r="A116" s="40"/>
      <c r="L116" s="40"/>
      <c r="M116" s="40"/>
      <c r="N116" s="40"/>
    </row>
    <row r="117" spans="1:14">
      <c r="A117" s="40"/>
      <c r="L117" s="40"/>
      <c r="M117" s="40"/>
      <c r="N117" s="40"/>
    </row>
    <row r="118" spans="1:14">
      <c r="A118" s="40"/>
      <c r="L118" s="40"/>
      <c r="M118" s="40"/>
      <c r="N118" s="40"/>
    </row>
    <row r="119" spans="1:14">
      <c r="A119" s="40"/>
      <c r="L119" s="40"/>
      <c r="M119" s="40"/>
      <c r="N119" s="40"/>
    </row>
    <row r="120" spans="1:14">
      <c r="A120" s="40"/>
      <c r="L120" s="40"/>
      <c r="M120" s="40"/>
      <c r="N120" s="40"/>
    </row>
    <row r="121" spans="1:14">
      <c r="A121" s="40"/>
      <c r="L121" s="40"/>
      <c r="M121" s="40"/>
      <c r="N121" s="40"/>
    </row>
    <row r="122" spans="1:14">
      <c r="A122" s="40"/>
      <c r="L122" s="40"/>
      <c r="M122" s="40"/>
      <c r="N122" s="40"/>
    </row>
    <row r="123" spans="1:14">
      <c r="A123" s="40"/>
      <c r="L123" s="40"/>
      <c r="M123" s="40"/>
      <c r="N123" s="40"/>
    </row>
    <row r="124" spans="1:14">
      <c r="A124" s="40"/>
      <c r="L124" s="40"/>
      <c r="M124" s="40"/>
      <c r="N124" s="40"/>
    </row>
    <row r="125" spans="1:14">
      <c r="A125" s="40"/>
      <c r="L125" s="40"/>
      <c r="M125" s="40"/>
      <c r="N125" s="40"/>
    </row>
    <row r="126" spans="1:14">
      <c r="A126" s="40"/>
      <c r="L126" s="40"/>
      <c r="M126" s="40"/>
      <c r="N126" s="40"/>
    </row>
    <row r="127" spans="1:14">
      <c r="A127" s="40"/>
      <c r="L127" s="40"/>
      <c r="M127" s="40"/>
      <c r="N127" s="40"/>
    </row>
    <row r="128" spans="1:14">
      <c r="A128" s="40"/>
      <c r="L128" s="40"/>
      <c r="M128" s="40"/>
      <c r="N128" s="40"/>
    </row>
    <row r="129" spans="1:14">
      <c r="A129" s="40"/>
      <c r="L129" s="40"/>
      <c r="M129" s="40"/>
      <c r="N129" s="40"/>
    </row>
    <row r="130" spans="1:14">
      <c r="A130" s="40"/>
      <c r="L130" s="40"/>
      <c r="M130" s="40"/>
      <c r="N130" s="40"/>
    </row>
    <row r="131" spans="1:14">
      <c r="A131" s="40"/>
      <c r="L131" s="40"/>
      <c r="M131" s="40"/>
      <c r="N131" s="40"/>
    </row>
    <row r="132" spans="1:14">
      <c r="A132" s="40"/>
      <c r="L132" s="40"/>
      <c r="M132" s="40"/>
      <c r="N132" s="40"/>
    </row>
    <row r="133" spans="1:14">
      <c r="A133" s="40"/>
      <c r="L133" s="40"/>
      <c r="M133" s="40"/>
      <c r="N133" s="40"/>
    </row>
    <row r="134" spans="1:14">
      <c r="A134" s="40"/>
      <c r="L134" s="40"/>
      <c r="M134" s="40"/>
      <c r="N134" s="40"/>
    </row>
    <row r="135" spans="1:14">
      <c r="A135" s="40"/>
      <c r="L135" s="40"/>
      <c r="M135" s="40"/>
      <c r="N135" s="40"/>
    </row>
    <row r="136" spans="1:14">
      <c r="A136" s="40"/>
      <c r="L136" s="40"/>
      <c r="M136" s="40"/>
      <c r="N136" s="40"/>
    </row>
    <row r="137" spans="1:14">
      <c r="A137" s="40"/>
      <c r="L137" s="40"/>
      <c r="M137" s="40"/>
      <c r="N137" s="40"/>
    </row>
    <row r="138" spans="1:14">
      <c r="A138" s="40"/>
      <c r="L138" s="40"/>
      <c r="M138" s="40"/>
      <c r="N138" s="40"/>
    </row>
    <row r="139" spans="1:14">
      <c r="A139" s="40"/>
      <c r="L139" s="40"/>
      <c r="M139" s="40"/>
      <c r="N139" s="40"/>
    </row>
    <row r="140" spans="1:14">
      <c r="A140" s="40"/>
      <c r="L140" s="40"/>
      <c r="M140" s="40"/>
      <c r="N140" s="40"/>
    </row>
    <row r="141" spans="1:14">
      <c r="A141" s="40"/>
      <c r="L141" s="40"/>
      <c r="M141" s="40"/>
      <c r="N141" s="40"/>
    </row>
    <row r="142" spans="1:14">
      <c r="A142" s="40"/>
      <c r="L142" s="40"/>
      <c r="M142" s="40"/>
      <c r="N142" s="40"/>
    </row>
    <row r="143" spans="1:14">
      <c r="A143" s="40"/>
      <c r="L143" s="40"/>
      <c r="M143" s="40"/>
      <c r="N143" s="40"/>
    </row>
    <row r="144" spans="1:14">
      <c r="A144" s="40"/>
      <c r="L144" s="40"/>
      <c r="M144" s="40"/>
      <c r="N144" s="40"/>
    </row>
    <row r="145" spans="1:14">
      <c r="A145" s="40"/>
      <c r="L145" s="40"/>
      <c r="M145" s="40"/>
      <c r="N145" s="40"/>
    </row>
    <row r="146" spans="1:14">
      <c r="A146" s="40"/>
      <c r="L146" s="40"/>
      <c r="M146" s="40"/>
      <c r="N146" s="40"/>
    </row>
    <row r="147" spans="1:14">
      <c r="A147" s="40"/>
      <c r="L147" s="40"/>
      <c r="M147" s="40"/>
      <c r="N147" s="40"/>
    </row>
    <row r="148" spans="1:14">
      <c r="A148" s="40"/>
      <c r="L148" s="40"/>
      <c r="M148" s="40"/>
      <c r="N148" s="40"/>
    </row>
    <row r="149" spans="1:14">
      <c r="A149" s="40"/>
      <c r="L149" s="40"/>
      <c r="M149" s="40"/>
      <c r="N149" s="40"/>
    </row>
    <row r="150" spans="1:14">
      <c r="A150" s="40"/>
      <c r="L150" s="40"/>
      <c r="M150" s="40"/>
      <c r="N150" s="40"/>
    </row>
    <row r="151" spans="1:14">
      <c r="A151" s="40"/>
      <c r="L151" s="40"/>
      <c r="M151" s="40"/>
      <c r="N151" s="40"/>
    </row>
    <row r="152" spans="1:14">
      <c r="A152" s="40"/>
      <c r="L152" s="40"/>
      <c r="M152" s="40"/>
      <c r="N152" s="40"/>
    </row>
    <row r="153" spans="1:14">
      <c r="A153" s="40"/>
      <c r="L153" s="40"/>
      <c r="M153" s="40"/>
      <c r="N153" s="40"/>
    </row>
    <row r="154" spans="1:14">
      <c r="A154" s="40"/>
      <c r="L154" s="40"/>
      <c r="M154" s="40"/>
      <c r="N154" s="40"/>
    </row>
    <row r="155" spans="1:14">
      <c r="A155" s="40"/>
      <c r="L155" s="40"/>
      <c r="M155" s="40"/>
      <c r="N155" s="40"/>
    </row>
    <row r="156" spans="1:14">
      <c r="A156" s="40"/>
      <c r="L156" s="40"/>
      <c r="M156" s="40"/>
      <c r="N156" s="40"/>
    </row>
    <row r="157" spans="1:14">
      <c r="A157" s="40"/>
      <c r="L157" s="40"/>
      <c r="M157" s="40"/>
      <c r="N157" s="40"/>
    </row>
    <row r="158" spans="1:14">
      <c r="A158" s="40"/>
      <c r="L158" s="40"/>
      <c r="M158" s="40"/>
      <c r="N158" s="40"/>
    </row>
    <row r="159" spans="1:14">
      <c r="A159" s="40"/>
      <c r="L159" s="40"/>
      <c r="M159" s="40"/>
      <c r="N159" s="40"/>
    </row>
    <row r="160" spans="1:14">
      <c r="A160" s="40"/>
      <c r="L160" s="40"/>
      <c r="M160" s="40"/>
      <c r="N160" s="40"/>
    </row>
    <row r="161" spans="1:14">
      <c r="A161" s="40"/>
      <c r="L161" s="40"/>
      <c r="M161" s="40"/>
      <c r="N161" s="40"/>
    </row>
    <row r="162" spans="1:14">
      <c r="A162" s="40"/>
      <c r="L162" s="40"/>
      <c r="M162" s="40"/>
      <c r="N162" s="40"/>
    </row>
    <row r="163" spans="1:14">
      <c r="A163" s="40"/>
      <c r="L163" s="40"/>
      <c r="M163" s="40"/>
      <c r="N163" s="40"/>
    </row>
    <row r="164" spans="1:14">
      <c r="A164" s="40"/>
      <c r="L164" s="40"/>
      <c r="M164" s="40"/>
      <c r="N164" s="40"/>
    </row>
    <row r="165" spans="1:14">
      <c r="A165" s="40"/>
      <c r="L165" s="40"/>
      <c r="M165" s="40"/>
      <c r="N165" s="40"/>
    </row>
    <row r="166" spans="1:14">
      <c r="A166" s="40"/>
      <c r="L166" s="40"/>
      <c r="M166" s="40"/>
      <c r="N166" s="40"/>
    </row>
    <row r="167" spans="1:14">
      <c r="A167" s="40"/>
      <c r="L167" s="40"/>
      <c r="M167" s="40"/>
      <c r="N167" s="40"/>
    </row>
    <row r="168" spans="1:14">
      <c r="A168" s="40"/>
      <c r="L168" s="40"/>
      <c r="M168" s="40"/>
      <c r="N168" s="40"/>
    </row>
    <row r="169" spans="1:14">
      <c r="A169" s="40"/>
      <c r="L169" s="40"/>
      <c r="M169" s="40"/>
      <c r="N169" s="40"/>
    </row>
    <row r="170" spans="1:14">
      <c r="A170" s="40"/>
      <c r="L170" s="40"/>
      <c r="M170" s="40"/>
      <c r="N170" s="40"/>
    </row>
    <row r="171" spans="1:14">
      <c r="A171" s="40"/>
      <c r="L171" s="40"/>
      <c r="M171" s="40"/>
      <c r="N171" s="40"/>
    </row>
    <row r="172" spans="1:14">
      <c r="A172" s="40"/>
      <c r="L172" s="40"/>
      <c r="M172" s="40"/>
      <c r="N172" s="40"/>
    </row>
    <row r="173" spans="1:14">
      <c r="A173" s="40"/>
      <c r="L173" s="40"/>
      <c r="M173" s="40"/>
      <c r="N173" s="40"/>
    </row>
    <row r="174" spans="1:14">
      <c r="A174" s="40"/>
      <c r="L174" s="40"/>
      <c r="M174" s="40"/>
      <c r="N174" s="40"/>
    </row>
    <row r="175" spans="1:14">
      <c r="A175" s="40"/>
      <c r="L175" s="40"/>
      <c r="M175" s="40"/>
      <c r="N175" s="40"/>
    </row>
    <row r="176" spans="1:14">
      <c r="A176" s="40"/>
      <c r="L176" s="40"/>
      <c r="M176" s="40"/>
      <c r="N176" s="40"/>
    </row>
    <row r="177" spans="1:14">
      <c r="A177" s="40"/>
      <c r="L177" s="40"/>
      <c r="M177" s="40"/>
      <c r="N177" s="40"/>
    </row>
    <row r="178" spans="1:14">
      <c r="A178" s="40"/>
      <c r="L178" s="40"/>
      <c r="M178" s="40"/>
      <c r="N178" s="40"/>
    </row>
    <row r="179" spans="1:14">
      <c r="A179" s="40"/>
      <c r="L179" s="40"/>
      <c r="M179" s="40"/>
      <c r="N179" s="40"/>
    </row>
    <row r="180" spans="1:14">
      <c r="A180" s="40"/>
      <c r="L180" s="40"/>
      <c r="M180" s="40"/>
      <c r="N180" s="40"/>
    </row>
    <row r="181" spans="1:14">
      <c r="A181" s="40"/>
      <c r="L181" s="40"/>
      <c r="M181" s="40"/>
      <c r="N181" s="40"/>
    </row>
    <row r="182" spans="1:14">
      <c r="A182" s="40"/>
      <c r="L182" s="40"/>
      <c r="M182" s="40"/>
      <c r="N182" s="40"/>
    </row>
    <row r="183" spans="1:14">
      <c r="A183" s="40"/>
      <c r="L183" s="40"/>
      <c r="M183" s="40"/>
      <c r="N183" s="40"/>
    </row>
    <row r="184" spans="1:14">
      <c r="A184" s="40"/>
      <c r="L184" s="40"/>
      <c r="M184" s="40"/>
      <c r="N184" s="40"/>
    </row>
    <row r="185" spans="1:14">
      <c r="A185" s="40"/>
      <c r="L185" s="40"/>
      <c r="M185" s="40"/>
      <c r="N185" s="40"/>
    </row>
    <row r="186" spans="1:14">
      <c r="A186" s="40"/>
      <c r="L186" s="40"/>
      <c r="M186" s="40"/>
      <c r="N186" s="40"/>
    </row>
    <row r="187" spans="1:14">
      <c r="A187" s="40"/>
      <c r="L187" s="40"/>
      <c r="M187" s="40"/>
      <c r="N187" s="40"/>
    </row>
    <row r="188" spans="1:14">
      <c r="A188" s="40"/>
      <c r="L188" s="40"/>
      <c r="M188" s="40"/>
      <c r="N188" s="40"/>
    </row>
    <row r="189" spans="1:14">
      <c r="A189" s="40"/>
      <c r="L189" s="40"/>
      <c r="M189" s="40"/>
      <c r="N189" s="40"/>
    </row>
    <row r="190" spans="1:14">
      <c r="A190" s="40"/>
      <c r="L190" s="40"/>
      <c r="M190" s="40"/>
      <c r="N190" s="40"/>
    </row>
    <row r="191" spans="1:14">
      <c r="A191" s="40"/>
      <c r="L191" s="40"/>
      <c r="M191" s="40"/>
      <c r="N191" s="40"/>
    </row>
    <row r="192" spans="1:14">
      <c r="A192" s="40"/>
      <c r="L192" s="40"/>
      <c r="M192" s="40"/>
      <c r="N192" s="40"/>
    </row>
    <row r="193" spans="1:14">
      <c r="A193" s="40"/>
      <c r="L193" s="40"/>
      <c r="M193" s="40"/>
      <c r="N193" s="40"/>
    </row>
    <row r="194" spans="1:14">
      <c r="A194" s="40"/>
      <c r="L194" s="40"/>
      <c r="M194" s="40"/>
      <c r="N194" s="40"/>
    </row>
    <row r="195" spans="1:14">
      <c r="A195" s="40"/>
      <c r="L195" s="40"/>
      <c r="M195" s="40"/>
      <c r="N195" s="40"/>
    </row>
    <row r="196" spans="1:14">
      <c r="A196" s="40"/>
      <c r="L196" s="40"/>
      <c r="M196" s="40"/>
      <c r="N196" s="40"/>
    </row>
    <row r="197" spans="1:14">
      <c r="A197" s="40"/>
      <c r="L197" s="40"/>
      <c r="M197" s="40"/>
      <c r="N197" s="40"/>
    </row>
    <row r="198" spans="1:14">
      <c r="A198" s="40"/>
      <c r="L198" s="40"/>
      <c r="M198" s="40"/>
      <c r="N198" s="40"/>
    </row>
    <row r="199" spans="1:14">
      <c r="A199" s="40"/>
      <c r="L199" s="40"/>
      <c r="M199" s="40"/>
      <c r="N199" s="40"/>
    </row>
    <row r="200" spans="1:14">
      <c r="A200" s="40"/>
      <c r="L200" s="40"/>
      <c r="M200" s="40"/>
      <c r="N200" s="40"/>
    </row>
    <row r="201" spans="1:14">
      <c r="A201" s="40"/>
      <c r="L201" s="40"/>
      <c r="M201" s="40"/>
      <c r="N201" s="40"/>
    </row>
    <row r="202" spans="1:14">
      <c r="A202" s="40"/>
      <c r="L202" s="40"/>
      <c r="M202" s="40"/>
      <c r="N202" s="40"/>
    </row>
    <row r="203" spans="1:14">
      <c r="A203" s="40"/>
      <c r="L203" s="40"/>
      <c r="M203" s="40"/>
      <c r="N203" s="40"/>
    </row>
    <row r="204" spans="1:14">
      <c r="A204" s="40"/>
      <c r="L204" s="40"/>
      <c r="M204" s="40"/>
      <c r="N204" s="40"/>
    </row>
    <row r="205" spans="1:14">
      <c r="A205" s="40"/>
      <c r="L205" s="40"/>
      <c r="M205" s="40"/>
      <c r="N205" s="40"/>
    </row>
    <row r="206" spans="1:14">
      <c r="A206" s="40"/>
      <c r="L206" s="40"/>
      <c r="M206" s="40"/>
      <c r="N206" s="40"/>
    </row>
    <row r="207" spans="1:14">
      <c r="A207" s="40"/>
      <c r="L207" s="40"/>
      <c r="M207" s="40"/>
      <c r="N207" s="40"/>
    </row>
    <row r="208" spans="1:14">
      <c r="A208" s="40"/>
      <c r="L208" s="40"/>
      <c r="M208" s="40"/>
      <c r="N208" s="40"/>
    </row>
    <row r="209" spans="1:14">
      <c r="A209" s="40"/>
      <c r="L209" s="40"/>
      <c r="M209" s="40"/>
      <c r="N209" s="40"/>
    </row>
    <row r="210" spans="1:14">
      <c r="A210" s="40"/>
      <c r="L210" s="40"/>
      <c r="M210" s="40"/>
      <c r="N210" s="40"/>
    </row>
    <row r="211" spans="1:14">
      <c r="A211" s="40"/>
      <c r="L211" s="40"/>
      <c r="M211" s="40"/>
      <c r="N211" s="40"/>
    </row>
    <row r="212" spans="1:14">
      <c r="A212" s="40"/>
      <c r="L212" s="40"/>
      <c r="M212" s="40"/>
      <c r="N212" s="40"/>
    </row>
    <row r="213" spans="1:14">
      <c r="A213" s="40"/>
      <c r="L213" s="40"/>
      <c r="M213" s="40"/>
      <c r="N213" s="40"/>
    </row>
    <row r="214" spans="1:14">
      <c r="A214" s="40"/>
      <c r="L214" s="40"/>
      <c r="M214" s="40"/>
      <c r="N214" s="40"/>
    </row>
    <row r="215" spans="1:14">
      <c r="A215" s="40"/>
      <c r="L215" s="40"/>
      <c r="M215" s="40"/>
      <c r="N215" s="40"/>
    </row>
    <row r="216" spans="1:14">
      <c r="A216" s="40"/>
      <c r="L216" s="40"/>
      <c r="M216" s="40"/>
      <c r="N216" s="40"/>
    </row>
    <row r="217" spans="1:14">
      <c r="A217" s="40"/>
      <c r="L217" s="40"/>
      <c r="M217" s="40"/>
      <c r="N217" s="40"/>
    </row>
    <row r="218" spans="1:14">
      <c r="A218" s="40"/>
      <c r="L218" s="40"/>
      <c r="M218" s="40"/>
      <c r="N218" s="40"/>
    </row>
    <row r="219" spans="1:14">
      <c r="A219" s="40"/>
      <c r="L219" s="40"/>
      <c r="M219" s="40"/>
      <c r="N219" s="40"/>
    </row>
    <row r="220" spans="1:14">
      <c r="A220" s="40"/>
      <c r="L220" s="40"/>
      <c r="M220" s="40"/>
      <c r="N220" s="40"/>
    </row>
    <row r="221" spans="1:14">
      <c r="A221" s="40"/>
      <c r="L221" s="40"/>
      <c r="M221" s="40"/>
      <c r="N221" s="40"/>
    </row>
    <row r="222" spans="1:14">
      <c r="A222" s="40"/>
      <c r="L222" s="40"/>
      <c r="M222" s="40"/>
      <c r="N222" s="40"/>
    </row>
    <row r="223" spans="1:14">
      <c r="A223" s="40"/>
      <c r="L223" s="40"/>
      <c r="M223" s="40"/>
      <c r="N223" s="40"/>
    </row>
    <row r="224" spans="1:14">
      <c r="A224" s="40"/>
      <c r="L224" s="40"/>
      <c r="M224" s="40"/>
      <c r="N224" s="40"/>
    </row>
    <row r="225" spans="1:14">
      <c r="A225" s="40"/>
      <c r="L225" s="40"/>
      <c r="M225" s="40"/>
      <c r="N225" s="40"/>
    </row>
    <row r="226" spans="1:14">
      <c r="A226" s="40"/>
      <c r="L226" s="40"/>
      <c r="M226" s="40"/>
      <c r="N226" s="40"/>
    </row>
    <row r="227" spans="1:14">
      <c r="A227" s="40"/>
      <c r="L227" s="40"/>
      <c r="M227" s="40"/>
      <c r="N227" s="40"/>
    </row>
    <row r="228" spans="1:14">
      <c r="A228" s="40"/>
      <c r="L228" s="40"/>
      <c r="M228" s="40"/>
      <c r="N228" s="40"/>
    </row>
    <row r="229" spans="1:14">
      <c r="A229" s="40"/>
      <c r="L229" s="40"/>
      <c r="M229" s="40"/>
      <c r="N229" s="40"/>
    </row>
    <row r="230" spans="1:14">
      <c r="A230" s="40"/>
      <c r="L230" s="40"/>
      <c r="M230" s="40"/>
      <c r="N230" s="40"/>
    </row>
    <row r="231" spans="1:14">
      <c r="A231" s="40"/>
      <c r="L231" s="40"/>
      <c r="M231" s="40"/>
      <c r="N231" s="40"/>
    </row>
    <row r="232" spans="1:14">
      <c r="A232" s="40"/>
      <c r="L232" s="40"/>
      <c r="M232" s="40"/>
      <c r="N232" s="40"/>
    </row>
    <row r="233" spans="1:14">
      <c r="A233" s="40"/>
      <c r="L233" s="40"/>
      <c r="M233" s="40"/>
      <c r="N233" s="40"/>
    </row>
    <row r="234" spans="1:14">
      <c r="A234" s="40"/>
      <c r="L234" s="40"/>
      <c r="M234" s="40"/>
      <c r="N234" s="40"/>
    </row>
    <row r="235" spans="1:14">
      <c r="A235" s="40"/>
      <c r="L235" s="40"/>
      <c r="M235" s="40"/>
      <c r="N235" s="40"/>
    </row>
    <row r="236" spans="1:14">
      <c r="A236" s="40"/>
      <c r="L236" s="40"/>
      <c r="M236" s="40"/>
      <c r="N236" s="40"/>
    </row>
    <row r="237" spans="1:14">
      <c r="A237" s="40"/>
      <c r="L237" s="40"/>
      <c r="M237" s="40"/>
      <c r="N237" s="40"/>
    </row>
    <row r="238" spans="1:14">
      <c r="A238" s="40"/>
      <c r="L238" s="40"/>
      <c r="M238" s="40"/>
      <c r="N238" s="40"/>
    </row>
    <row r="239" spans="1:14">
      <c r="A239" s="40"/>
      <c r="L239" s="40"/>
      <c r="M239" s="40"/>
      <c r="N239" s="40"/>
    </row>
    <row r="240" spans="1:14">
      <c r="A240" s="40"/>
      <c r="L240" s="40"/>
      <c r="M240" s="40"/>
      <c r="N240" s="40"/>
    </row>
    <row r="241" spans="1:14">
      <c r="A241" s="40"/>
      <c r="L241" s="40"/>
      <c r="M241" s="40"/>
      <c r="N241" s="40"/>
    </row>
    <row r="242" spans="1:14">
      <c r="A242" s="40"/>
      <c r="L242" s="40"/>
      <c r="M242" s="40"/>
      <c r="N242" s="40"/>
    </row>
    <row r="243" spans="1:14">
      <c r="A243" s="40"/>
      <c r="L243" s="40"/>
      <c r="M243" s="40"/>
      <c r="N243" s="40"/>
    </row>
    <row r="244" spans="1:14">
      <c r="A244" s="40"/>
      <c r="L244" s="40"/>
      <c r="M244" s="40"/>
      <c r="N244" s="40"/>
    </row>
    <row r="245" spans="1:14">
      <c r="A245" s="40"/>
      <c r="L245" s="40"/>
      <c r="M245" s="40"/>
      <c r="N245" s="40"/>
    </row>
    <row r="246" spans="1:14">
      <c r="A246" s="40"/>
      <c r="L246" s="40"/>
      <c r="M246" s="40"/>
      <c r="N246" s="40"/>
    </row>
    <row r="247" spans="1:14">
      <c r="A247" s="40"/>
      <c r="L247" s="40"/>
      <c r="M247" s="40"/>
      <c r="N247" s="40"/>
    </row>
    <row r="248" spans="1:14">
      <c r="A248" s="40"/>
      <c r="L248" s="40"/>
      <c r="M248" s="40"/>
      <c r="N248" s="40"/>
    </row>
    <row r="249" spans="1:14">
      <c r="A249" s="40"/>
      <c r="L249" s="40"/>
      <c r="M249" s="40"/>
      <c r="N249" s="40"/>
    </row>
    <row r="250" spans="1:14">
      <c r="A250" s="40"/>
      <c r="L250" s="40"/>
      <c r="M250" s="40"/>
      <c r="N250" s="40"/>
    </row>
    <row r="251" spans="1:14">
      <c r="A251" s="40"/>
      <c r="L251" s="40"/>
      <c r="M251" s="40"/>
      <c r="N251" s="40"/>
    </row>
    <row r="252" spans="1:14">
      <c r="A252" s="40"/>
      <c r="L252" s="40"/>
      <c r="M252" s="40"/>
      <c r="N252" s="40"/>
    </row>
    <row r="253" spans="1:14">
      <c r="A253" s="40"/>
      <c r="L253" s="40"/>
      <c r="M253" s="40"/>
      <c r="N253" s="40"/>
    </row>
    <row r="254" spans="1:14">
      <c r="A254" s="40"/>
      <c r="L254" s="40"/>
      <c r="M254" s="40"/>
      <c r="N254" s="40"/>
    </row>
    <row r="255" spans="1:14">
      <c r="A255" s="40"/>
      <c r="L255" s="40"/>
      <c r="M255" s="40"/>
      <c r="N255" s="40"/>
    </row>
    <row r="256" spans="1:14">
      <c r="A256" s="40"/>
      <c r="L256" s="40"/>
      <c r="M256" s="40"/>
      <c r="N256" s="40"/>
    </row>
    <row r="257" spans="1:14">
      <c r="A257" s="40"/>
      <c r="L257" s="40"/>
      <c r="M257" s="40"/>
      <c r="N257" s="40"/>
    </row>
    <row r="258" spans="1:14">
      <c r="A258" s="40"/>
      <c r="L258" s="40"/>
      <c r="M258" s="40"/>
      <c r="N258" s="40"/>
    </row>
    <row r="259" spans="1:14">
      <c r="A259" s="40"/>
      <c r="L259" s="40"/>
      <c r="M259" s="40"/>
      <c r="N259" s="40"/>
    </row>
    <row r="260" spans="1:14">
      <c r="A260" s="40"/>
      <c r="L260" s="40"/>
      <c r="M260" s="40"/>
      <c r="N260" s="40"/>
    </row>
    <row r="261" spans="1:14">
      <c r="A261" s="40"/>
      <c r="L261" s="40"/>
      <c r="M261" s="40"/>
      <c r="N261" s="40"/>
    </row>
    <row r="262" spans="1:14">
      <c r="A262" s="40"/>
      <c r="L262" s="40"/>
      <c r="M262" s="40"/>
      <c r="N262" s="40"/>
    </row>
    <row r="263" spans="1:14">
      <c r="A263" s="40"/>
      <c r="L263" s="40"/>
      <c r="M263" s="40"/>
      <c r="N263" s="40"/>
    </row>
    <row r="264" spans="1:14">
      <c r="A264" s="40"/>
      <c r="L264" s="40"/>
      <c r="M264" s="40"/>
      <c r="N264" s="40"/>
    </row>
    <row r="265" spans="1:14">
      <c r="A265" s="40"/>
      <c r="L265" s="40"/>
      <c r="M265" s="40"/>
      <c r="N265" s="40"/>
    </row>
    <row r="266" spans="1:14">
      <c r="A266" s="40"/>
      <c r="L266" s="40"/>
      <c r="M266" s="40"/>
      <c r="N266" s="40"/>
    </row>
    <row r="267" spans="1:14">
      <c r="A267" s="40"/>
      <c r="L267" s="40"/>
      <c r="M267" s="40"/>
      <c r="N267" s="40"/>
    </row>
    <row r="268" spans="1:14">
      <c r="A268" s="40"/>
      <c r="L268" s="40"/>
      <c r="M268" s="40"/>
      <c r="N268" s="40"/>
    </row>
    <row r="269" spans="1:14">
      <c r="A269" s="40"/>
      <c r="L269" s="40"/>
      <c r="M269" s="40"/>
      <c r="N269" s="40"/>
    </row>
    <row r="270" spans="1:14">
      <c r="A270" s="40"/>
      <c r="L270" s="40"/>
      <c r="M270" s="40"/>
      <c r="N270" s="40"/>
    </row>
    <row r="271" spans="1:14">
      <c r="A271" s="40"/>
      <c r="L271" s="40"/>
      <c r="M271" s="40"/>
      <c r="N271" s="40"/>
    </row>
    <row r="272" spans="1:14">
      <c r="A272" s="40"/>
      <c r="L272" s="40"/>
      <c r="M272" s="40"/>
      <c r="N272" s="40"/>
    </row>
    <row r="273" spans="1:14">
      <c r="A273" s="40"/>
      <c r="L273" s="40"/>
      <c r="M273" s="40"/>
      <c r="N273" s="40"/>
    </row>
    <row r="274" spans="1:14">
      <c r="A274" s="40"/>
      <c r="L274" s="40"/>
      <c r="M274" s="40"/>
      <c r="N274" s="40"/>
    </row>
    <row r="275" spans="1:14">
      <c r="A275" s="40"/>
      <c r="L275" s="40"/>
      <c r="M275" s="40"/>
      <c r="N275" s="40"/>
    </row>
    <row r="276" spans="1:14">
      <c r="A276" s="40"/>
      <c r="L276" s="40"/>
      <c r="M276" s="40"/>
      <c r="N276" s="40"/>
    </row>
    <row r="277" spans="1:14">
      <c r="A277" s="40"/>
      <c r="L277" s="40"/>
      <c r="M277" s="40"/>
      <c r="N277" s="40"/>
    </row>
    <row r="278" spans="1:14">
      <c r="A278" s="40"/>
      <c r="L278" s="40"/>
      <c r="M278" s="40"/>
      <c r="N278" s="40"/>
    </row>
    <row r="279" spans="1:14">
      <c r="A279" s="40"/>
      <c r="L279" s="40"/>
      <c r="M279" s="40"/>
      <c r="N279" s="40"/>
    </row>
    <row r="280" spans="1:14">
      <c r="A280" s="40"/>
      <c r="L280" s="40"/>
      <c r="M280" s="40"/>
      <c r="N280" s="40"/>
    </row>
    <row r="281" spans="1:14">
      <c r="A281" s="40"/>
      <c r="L281" s="40"/>
      <c r="M281" s="40"/>
      <c r="N281" s="40"/>
    </row>
    <row r="282" spans="1:14">
      <c r="A282" s="40"/>
      <c r="L282" s="40"/>
      <c r="M282" s="40"/>
      <c r="N282" s="40"/>
    </row>
    <row r="283" spans="1:14">
      <c r="A283" s="40"/>
      <c r="L283" s="40"/>
      <c r="M283" s="40"/>
      <c r="N283" s="40"/>
    </row>
    <row r="284" spans="1:14">
      <c r="A284" s="40"/>
      <c r="L284" s="40"/>
      <c r="M284" s="40"/>
      <c r="N284" s="40"/>
    </row>
    <row r="285" spans="1:14">
      <c r="A285" s="40"/>
      <c r="L285" s="40"/>
      <c r="M285" s="40"/>
      <c r="N285" s="40"/>
    </row>
    <row r="286" spans="1:14">
      <c r="A286" s="40"/>
      <c r="L286" s="40"/>
      <c r="M286" s="40"/>
      <c r="N286" s="40"/>
    </row>
    <row r="287" spans="1:14">
      <c r="A287" s="40"/>
      <c r="L287" s="40"/>
      <c r="M287" s="40"/>
      <c r="N287" s="40"/>
    </row>
    <row r="288" spans="1:14">
      <c r="A288" s="40"/>
      <c r="L288" s="40"/>
      <c r="M288" s="40"/>
      <c r="N288" s="40"/>
    </row>
    <row r="289" spans="1:14">
      <c r="A289" s="40"/>
      <c r="L289" s="40"/>
      <c r="M289" s="40"/>
      <c r="N289" s="40"/>
    </row>
    <row r="290" spans="1:14">
      <c r="A290" s="40"/>
      <c r="L290" s="40"/>
      <c r="M290" s="40"/>
      <c r="N290" s="40"/>
    </row>
    <row r="291" spans="1:14">
      <c r="A291" s="40"/>
      <c r="L291" s="40"/>
      <c r="M291" s="40"/>
      <c r="N291" s="40"/>
    </row>
    <row r="292" spans="1:14">
      <c r="A292" s="40"/>
      <c r="L292" s="40"/>
      <c r="M292" s="40"/>
      <c r="N292" s="40"/>
    </row>
    <row r="293" spans="1:14">
      <c r="A293" s="40"/>
      <c r="L293" s="40"/>
      <c r="M293" s="40"/>
      <c r="N293" s="40"/>
    </row>
    <row r="294" spans="1:14">
      <c r="A294" s="40"/>
      <c r="L294" s="40"/>
      <c r="M294" s="40"/>
      <c r="N294" s="40"/>
    </row>
    <row r="295" spans="1:14">
      <c r="A295" s="40"/>
      <c r="L295" s="40"/>
      <c r="M295" s="40"/>
      <c r="N295" s="40"/>
    </row>
    <row r="296" spans="1:14">
      <c r="A296" s="40"/>
      <c r="L296" s="40"/>
      <c r="M296" s="40"/>
      <c r="N296" s="40"/>
    </row>
    <row r="297" spans="1:14">
      <c r="A297" s="40"/>
      <c r="L297" s="40"/>
      <c r="M297" s="40"/>
      <c r="N297" s="40"/>
    </row>
    <row r="298" spans="1:14">
      <c r="A298" s="40"/>
      <c r="L298" s="40"/>
      <c r="M298" s="40"/>
      <c r="N298" s="40"/>
    </row>
    <row r="299" spans="1:14">
      <c r="A299" s="40"/>
      <c r="L299" s="40"/>
      <c r="M299" s="40"/>
      <c r="N299" s="40"/>
    </row>
    <row r="300" spans="1:14">
      <c r="A300" s="40"/>
      <c r="L300" s="40"/>
      <c r="M300" s="40"/>
      <c r="N300" s="40"/>
    </row>
    <row r="301" spans="1:14">
      <c r="A301" s="40"/>
      <c r="L301" s="40"/>
      <c r="M301" s="40"/>
      <c r="N301" s="40"/>
    </row>
    <row r="302" spans="1:14">
      <c r="A302" s="40"/>
      <c r="L302" s="40"/>
      <c r="M302" s="40"/>
      <c r="N302" s="40"/>
    </row>
    <row r="303" spans="1:14">
      <c r="A303" s="40"/>
      <c r="L303" s="40"/>
      <c r="M303" s="40"/>
      <c r="N303" s="40"/>
    </row>
    <row r="304" spans="1:14">
      <c r="A304" s="40"/>
      <c r="L304" s="40"/>
      <c r="M304" s="40"/>
      <c r="N304" s="40"/>
    </row>
    <row r="305" spans="1:14">
      <c r="A305" s="40"/>
      <c r="L305" s="40"/>
      <c r="M305" s="40"/>
      <c r="N305" s="40"/>
    </row>
    <row r="306" spans="1:14">
      <c r="A306" s="40"/>
      <c r="L306" s="40"/>
      <c r="M306" s="40"/>
      <c r="N306" s="40"/>
    </row>
    <row r="307" spans="1:14">
      <c r="A307" s="40"/>
      <c r="L307" s="40"/>
      <c r="M307" s="40"/>
      <c r="N307" s="40"/>
    </row>
    <row r="308" spans="1:14">
      <c r="A308" s="40"/>
      <c r="L308" s="40"/>
      <c r="M308" s="40"/>
      <c r="N308" s="40"/>
    </row>
    <row r="309" spans="1:14">
      <c r="A309" s="40"/>
      <c r="L309" s="40"/>
      <c r="M309" s="40"/>
      <c r="N309" s="40"/>
    </row>
    <row r="310" spans="1:14">
      <c r="A310" s="40"/>
      <c r="L310" s="40"/>
      <c r="M310" s="40"/>
      <c r="N310" s="40"/>
    </row>
    <row r="311" spans="1:14">
      <c r="A311" s="40"/>
      <c r="L311" s="40"/>
      <c r="M311" s="40"/>
      <c r="N311" s="40"/>
    </row>
    <row r="312" spans="1:14">
      <c r="A312" s="40"/>
      <c r="L312" s="40"/>
      <c r="M312" s="40"/>
      <c r="N312" s="40"/>
    </row>
    <row r="313" spans="1:14">
      <c r="A313" s="40"/>
      <c r="L313" s="40"/>
      <c r="M313" s="40"/>
      <c r="N313" s="40"/>
    </row>
    <row r="314" spans="1:14">
      <c r="A314" s="40"/>
      <c r="L314" s="40"/>
      <c r="M314" s="40"/>
      <c r="N314" s="40"/>
    </row>
    <row r="315" spans="1:14">
      <c r="A315" s="40"/>
      <c r="L315" s="40"/>
      <c r="M315" s="40"/>
      <c r="N315" s="40"/>
    </row>
    <row r="316" spans="1:14">
      <c r="A316" s="40"/>
      <c r="L316" s="40"/>
      <c r="M316" s="40"/>
      <c r="N316" s="40"/>
    </row>
    <row r="317" spans="1:14">
      <c r="A317" s="40"/>
      <c r="L317" s="40"/>
      <c r="M317" s="40"/>
      <c r="N317" s="40"/>
    </row>
    <row r="318" spans="1:14">
      <c r="A318" s="40"/>
      <c r="L318" s="40"/>
      <c r="M318" s="40"/>
      <c r="N318" s="40"/>
    </row>
    <row r="319" spans="1:14">
      <c r="A319" s="40"/>
      <c r="L319" s="40"/>
      <c r="M319" s="40"/>
      <c r="N319" s="40"/>
    </row>
    <row r="320" spans="1:14">
      <c r="A320" s="40"/>
      <c r="L320" s="40"/>
      <c r="M320" s="40"/>
      <c r="N320" s="40"/>
    </row>
    <row r="321" spans="1:14">
      <c r="A321" s="40"/>
      <c r="L321" s="40"/>
      <c r="M321" s="40"/>
      <c r="N321" s="40"/>
    </row>
    <row r="322" spans="1:14">
      <c r="A322" s="40"/>
      <c r="L322" s="40"/>
      <c r="M322" s="40"/>
      <c r="N322" s="40"/>
    </row>
    <row r="323" spans="1:14">
      <c r="A323" s="40"/>
      <c r="L323" s="40"/>
      <c r="M323" s="40"/>
      <c r="N323" s="40"/>
    </row>
    <row r="324" spans="1:14">
      <c r="A324" s="40"/>
      <c r="L324" s="40"/>
      <c r="M324" s="40"/>
      <c r="N324" s="40"/>
    </row>
    <row r="325" spans="1:14">
      <c r="A325" s="40"/>
      <c r="L325" s="40"/>
      <c r="M325" s="40"/>
      <c r="N325" s="40"/>
    </row>
    <row r="326" spans="1:14">
      <c r="A326" s="40"/>
      <c r="L326" s="40"/>
      <c r="M326" s="40"/>
      <c r="N326" s="40"/>
    </row>
    <row r="327" spans="1:14">
      <c r="A327" s="40"/>
      <c r="L327" s="40"/>
      <c r="M327" s="40"/>
      <c r="N327" s="40"/>
    </row>
    <row r="328" spans="1:14">
      <c r="A328" s="40"/>
      <c r="L328" s="40"/>
      <c r="M328" s="40"/>
      <c r="N328" s="40"/>
    </row>
    <row r="329" spans="1:14">
      <c r="A329" s="40"/>
      <c r="L329" s="40"/>
      <c r="M329" s="40"/>
      <c r="N329" s="40"/>
    </row>
    <row r="330" spans="1:14">
      <c r="A330" s="40"/>
      <c r="L330" s="40"/>
      <c r="M330" s="40"/>
      <c r="N330" s="40"/>
    </row>
    <row r="331" spans="1:14">
      <c r="A331" s="40"/>
      <c r="L331" s="40"/>
      <c r="M331" s="40"/>
      <c r="N331" s="40"/>
    </row>
    <row r="332" spans="1:14">
      <c r="A332" s="40"/>
      <c r="L332" s="40"/>
      <c r="M332" s="40"/>
      <c r="N332" s="40"/>
    </row>
    <row r="333" spans="1:14">
      <c r="A333" s="40"/>
      <c r="L333" s="40"/>
      <c r="M333" s="40"/>
      <c r="N333" s="40"/>
    </row>
    <row r="334" spans="1:14">
      <c r="A334" s="40"/>
      <c r="L334" s="40"/>
      <c r="M334" s="40"/>
      <c r="N334" s="40"/>
    </row>
    <row r="335" spans="1:14">
      <c r="A335" s="40"/>
      <c r="L335" s="40"/>
      <c r="M335" s="40"/>
      <c r="N335" s="40"/>
    </row>
    <row r="336" spans="1:14">
      <c r="A336" s="40"/>
      <c r="L336" s="40"/>
      <c r="M336" s="40"/>
      <c r="N336" s="40"/>
    </row>
    <row r="337" spans="1:14">
      <c r="A337" s="40"/>
      <c r="L337" s="40"/>
      <c r="M337" s="40"/>
      <c r="N337" s="40"/>
    </row>
    <row r="338" spans="1:14">
      <c r="A338" s="40"/>
      <c r="L338" s="40"/>
      <c r="M338" s="40"/>
      <c r="N338" s="40"/>
    </row>
    <row r="339" spans="1:14">
      <c r="A339" s="40"/>
      <c r="L339" s="40"/>
      <c r="M339" s="40"/>
      <c r="N339" s="40"/>
    </row>
    <row r="340" spans="1:14">
      <c r="A340" s="40"/>
      <c r="L340" s="40"/>
      <c r="M340" s="40"/>
      <c r="N340" s="40"/>
    </row>
    <row r="341" spans="1:14">
      <c r="A341" s="40"/>
      <c r="L341" s="40"/>
      <c r="M341" s="40"/>
      <c r="N341" s="40"/>
    </row>
    <row r="342" spans="1:14">
      <c r="A342" s="40"/>
      <c r="L342" s="40"/>
      <c r="M342" s="40"/>
      <c r="N342" s="40"/>
    </row>
    <row r="343" spans="1:14">
      <c r="A343" s="40"/>
      <c r="L343" s="40"/>
      <c r="M343" s="40"/>
      <c r="N343" s="40"/>
    </row>
    <row r="344" spans="1:14">
      <c r="A344" s="40"/>
      <c r="L344" s="40"/>
      <c r="M344" s="40"/>
      <c r="N344" s="40"/>
    </row>
    <row r="345" spans="1:14">
      <c r="A345" s="40"/>
      <c r="L345" s="40"/>
      <c r="M345" s="40"/>
      <c r="N345" s="40"/>
    </row>
    <row r="346" spans="1:14">
      <c r="A346" s="40"/>
      <c r="L346" s="40"/>
      <c r="M346" s="40"/>
      <c r="N346" s="40"/>
    </row>
    <row r="347" spans="1:14">
      <c r="A347" s="40"/>
      <c r="L347" s="40"/>
      <c r="M347" s="40"/>
      <c r="N347" s="40"/>
    </row>
    <row r="348" spans="1:14">
      <c r="A348" s="40"/>
      <c r="L348" s="40"/>
      <c r="M348" s="40"/>
      <c r="N348" s="40"/>
    </row>
    <row r="349" spans="1:14">
      <c r="A349" s="40"/>
      <c r="L349" s="40"/>
      <c r="M349" s="40"/>
      <c r="N349" s="40"/>
    </row>
    <row r="350" spans="1:14">
      <c r="A350" s="40"/>
      <c r="L350" s="40"/>
      <c r="M350" s="40"/>
      <c r="N350" s="40"/>
    </row>
    <row r="351" spans="1:14">
      <c r="A351" s="40"/>
      <c r="L351" s="40"/>
      <c r="M351" s="40"/>
      <c r="N351" s="40"/>
    </row>
    <row r="352" spans="1:14">
      <c r="A352" s="40"/>
      <c r="L352" s="40"/>
      <c r="M352" s="40"/>
      <c r="N352" s="40"/>
    </row>
    <row r="353" spans="1:14">
      <c r="A353" s="40"/>
      <c r="L353" s="40"/>
      <c r="M353" s="40"/>
      <c r="N353" s="40"/>
    </row>
    <row r="354" spans="1:14">
      <c r="A354" s="40"/>
      <c r="L354" s="40"/>
      <c r="M354" s="40"/>
      <c r="N354" s="40"/>
    </row>
    <row r="355" spans="1:14">
      <c r="A355" s="40"/>
      <c r="L355" s="40"/>
      <c r="M355" s="40"/>
      <c r="N355" s="40"/>
    </row>
    <row r="356" spans="1:14">
      <c r="A356" s="40"/>
      <c r="L356" s="40"/>
      <c r="M356" s="40"/>
      <c r="N356" s="40"/>
    </row>
    <row r="357" spans="1:14">
      <c r="A357" s="40"/>
      <c r="L357" s="40"/>
      <c r="M357" s="40"/>
      <c r="N357" s="40"/>
    </row>
    <row r="358" spans="1:14">
      <c r="A358" s="40"/>
      <c r="L358" s="40"/>
      <c r="M358" s="40"/>
      <c r="N358" s="40"/>
    </row>
    <row r="359" spans="1:14">
      <c r="A359" s="40"/>
      <c r="L359" s="40"/>
      <c r="M359" s="40"/>
      <c r="N359" s="40"/>
    </row>
    <row r="360" spans="1:14">
      <c r="A360" s="40"/>
      <c r="L360" s="40"/>
      <c r="M360" s="40"/>
      <c r="N360" s="40"/>
    </row>
    <row r="361" spans="1:14">
      <c r="A361" s="40"/>
      <c r="L361" s="40"/>
      <c r="M361" s="40"/>
      <c r="N361" s="40"/>
    </row>
    <row r="362" spans="1:14">
      <c r="A362" s="40"/>
      <c r="L362" s="40"/>
      <c r="M362" s="40"/>
      <c r="N362" s="40"/>
    </row>
    <row r="363" spans="1:14">
      <c r="A363" s="40"/>
      <c r="L363" s="40"/>
      <c r="M363" s="40"/>
      <c r="N363" s="40"/>
    </row>
    <row r="364" spans="1:14">
      <c r="A364" s="40"/>
      <c r="L364" s="40"/>
      <c r="M364" s="40"/>
      <c r="N364" s="40"/>
    </row>
    <row r="365" spans="1:14">
      <c r="A365" s="40"/>
      <c r="L365" s="40"/>
      <c r="M365" s="40"/>
      <c r="N365" s="40"/>
    </row>
    <row r="366" spans="1:14">
      <c r="A366" s="40"/>
      <c r="L366" s="40"/>
      <c r="M366" s="40"/>
      <c r="N366" s="40"/>
    </row>
    <row r="367" spans="1:14">
      <c r="A367" s="40"/>
      <c r="L367" s="40"/>
      <c r="M367" s="40"/>
      <c r="N367" s="40"/>
    </row>
    <row r="368" spans="1:14">
      <c r="A368" s="40"/>
      <c r="L368" s="40"/>
      <c r="M368" s="40"/>
      <c r="N368" s="40"/>
    </row>
    <row r="369" spans="1:14">
      <c r="A369" s="40"/>
      <c r="L369" s="40"/>
      <c r="M369" s="40"/>
      <c r="N369" s="40"/>
    </row>
    <row r="370" spans="1:14">
      <c r="A370" s="40"/>
      <c r="L370" s="40"/>
      <c r="M370" s="40"/>
      <c r="N370" s="40"/>
    </row>
    <row r="371" spans="1:14">
      <c r="A371" s="40"/>
      <c r="L371" s="40"/>
      <c r="M371" s="40"/>
      <c r="N371" s="40"/>
    </row>
    <row r="372" spans="1:14">
      <c r="A372" s="40"/>
      <c r="L372" s="40"/>
      <c r="M372" s="40"/>
      <c r="N372" s="40"/>
    </row>
    <row r="373" spans="1:14">
      <c r="A373" s="40"/>
      <c r="L373" s="40"/>
      <c r="M373" s="40"/>
      <c r="N373" s="40"/>
    </row>
    <row r="374" spans="1:14">
      <c r="A374" s="40"/>
      <c r="L374" s="40"/>
      <c r="M374" s="40"/>
      <c r="N374" s="40"/>
    </row>
    <row r="375" spans="1:14">
      <c r="A375" s="40"/>
      <c r="L375" s="40"/>
      <c r="M375" s="40"/>
      <c r="N375" s="40"/>
    </row>
    <row r="376" spans="1:14">
      <c r="A376" s="40"/>
      <c r="L376" s="40"/>
      <c r="M376" s="40"/>
      <c r="N376" s="40"/>
    </row>
    <row r="377" spans="1:14">
      <c r="A377" s="40"/>
      <c r="L377" s="40"/>
      <c r="M377" s="40"/>
      <c r="N377" s="40"/>
    </row>
    <row r="378" spans="1:14">
      <c r="A378" s="40"/>
      <c r="L378" s="40"/>
      <c r="M378" s="40"/>
      <c r="N378" s="40"/>
    </row>
    <row r="379" spans="1:14">
      <c r="A379" s="40"/>
      <c r="L379" s="40"/>
      <c r="M379" s="40"/>
      <c r="N379" s="40"/>
    </row>
    <row r="380" spans="1:14">
      <c r="A380" s="40"/>
      <c r="L380" s="40"/>
      <c r="M380" s="40"/>
      <c r="N380" s="40"/>
    </row>
    <row r="381" spans="1:14">
      <c r="A381" s="40"/>
      <c r="L381" s="40"/>
      <c r="M381" s="40"/>
      <c r="N381" s="40"/>
    </row>
    <row r="382" spans="1:14">
      <c r="A382" s="40"/>
      <c r="L382" s="40"/>
      <c r="M382" s="40"/>
      <c r="N382" s="40"/>
    </row>
    <row r="383" spans="1:14">
      <c r="A383" s="40"/>
      <c r="L383" s="40"/>
      <c r="M383" s="40"/>
      <c r="N383" s="40"/>
    </row>
    <row r="384" spans="1:14">
      <c r="A384" s="40"/>
      <c r="L384" s="40"/>
      <c r="M384" s="40"/>
      <c r="N384" s="40"/>
    </row>
    <row r="385" spans="1:14">
      <c r="A385" s="40"/>
      <c r="L385" s="40"/>
      <c r="M385" s="40"/>
      <c r="N385" s="40"/>
    </row>
    <row r="386" spans="1:14">
      <c r="A386" s="40"/>
      <c r="L386" s="40"/>
      <c r="M386" s="40"/>
      <c r="N386" s="40"/>
    </row>
    <row r="387" spans="1:14">
      <c r="A387" s="40"/>
      <c r="L387" s="40"/>
      <c r="M387" s="40"/>
      <c r="N387" s="40"/>
    </row>
    <row r="388" spans="1:14">
      <c r="A388" s="40"/>
      <c r="L388" s="40"/>
      <c r="M388" s="40"/>
      <c r="N388" s="40"/>
    </row>
    <row r="389" spans="1:14">
      <c r="A389" s="40"/>
      <c r="L389" s="40"/>
      <c r="M389" s="40"/>
      <c r="N389" s="40"/>
    </row>
    <row r="390" spans="1:14">
      <c r="A390" s="40"/>
      <c r="L390" s="40"/>
      <c r="M390" s="40"/>
      <c r="N390" s="40"/>
    </row>
    <row r="391" spans="1:14">
      <c r="A391" s="40"/>
      <c r="L391" s="40"/>
      <c r="M391" s="40"/>
      <c r="N391" s="40"/>
    </row>
    <row r="392" spans="1:14">
      <c r="A392" s="40"/>
      <c r="L392" s="40"/>
      <c r="M392" s="40"/>
      <c r="N392" s="40"/>
    </row>
    <row r="393" spans="1:14">
      <c r="A393" s="40"/>
      <c r="L393" s="40"/>
      <c r="M393" s="40"/>
      <c r="N393" s="40"/>
    </row>
    <row r="394" spans="1:14">
      <c r="A394" s="40"/>
      <c r="L394" s="40"/>
      <c r="M394" s="40"/>
      <c r="N394" s="40"/>
    </row>
    <row r="395" spans="1:14">
      <c r="A395" s="40"/>
      <c r="L395" s="40"/>
      <c r="M395" s="40"/>
      <c r="N395" s="40"/>
    </row>
    <row r="396" spans="1:14">
      <c r="A396" s="40"/>
      <c r="L396" s="40"/>
      <c r="M396" s="40"/>
      <c r="N396" s="40"/>
    </row>
    <row r="397" spans="1:14">
      <c r="A397" s="40"/>
      <c r="L397" s="40"/>
      <c r="M397" s="40"/>
      <c r="N397" s="40"/>
    </row>
    <row r="398" spans="1:14">
      <c r="A398" s="40"/>
      <c r="L398" s="40"/>
      <c r="M398" s="40"/>
      <c r="N398" s="40"/>
    </row>
    <row r="399" spans="1:14">
      <c r="A399" s="40"/>
      <c r="L399" s="40"/>
      <c r="M399" s="40"/>
      <c r="N399" s="40"/>
    </row>
    <row r="400" spans="1:14">
      <c r="A400" s="40"/>
      <c r="L400" s="40"/>
      <c r="M400" s="40"/>
      <c r="N400" s="40"/>
    </row>
    <row r="401" spans="1:14">
      <c r="A401" s="40"/>
      <c r="L401" s="40"/>
      <c r="M401" s="40"/>
      <c r="N401" s="40"/>
    </row>
    <row r="402" spans="1:14">
      <c r="A402" s="40"/>
      <c r="L402" s="40"/>
      <c r="M402" s="40"/>
      <c r="N402" s="40"/>
    </row>
    <row r="403" spans="1:14">
      <c r="A403" s="40"/>
      <c r="L403" s="40"/>
      <c r="M403" s="40"/>
      <c r="N403" s="40"/>
    </row>
    <row r="404" spans="1:14">
      <c r="A404" s="40"/>
      <c r="L404" s="40"/>
      <c r="M404" s="40"/>
      <c r="N404" s="40"/>
    </row>
    <row r="405" spans="1:14">
      <c r="A405" s="40"/>
      <c r="L405" s="40"/>
      <c r="M405" s="40"/>
      <c r="N405" s="40"/>
    </row>
    <row r="406" spans="1:14">
      <c r="A406" s="40"/>
      <c r="L406" s="40"/>
      <c r="M406" s="40"/>
      <c r="N406" s="40"/>
    </row>
    <row r="407" spans="1:14">
      <c r="A407" s="40"/>
      <c r="L407" s="40"/>
      <c r="M407" s="40"/>
      <c r="N407" s="40"/>
    </row>
    <row r="408" spans="1:14">
      <c r="A408" s="40"/>
      <c r="L408" s="40"/>
      <c r="M408" s="40"/>
      <c r="N408" s="40"/>
    </row>
    <row r="409" spans="1:14">
      <c r="A409" s="40"/>
      <c r="L409" s="40"/>
      <c r="M409" s="40"/>
      <c r="N409" s="40"/>
    </row>
    <row r="410" spans="1:14">
      <c r="A410" s="40"/>
      <c r="L410" s="40"/>
      <c r="M410" s="40"/>
      <c r="N410" s="40"/>
    </row>
    <row r="411" spans="1:14">
      <c r="A411" s="40"/>
      <c r="L411" s="40"/>
      <c r="M411" s="40"/>
      <c r="N411" s="40"/>
    </row>
    <row r="412" spans="1:14">
      <c r="A412" s="40"/>
      <c r="L412" s="40"/>
      <c r="M412" s="40"/>
      <c r="N412" s="40"/>
    </row>
    <row r="413" spans="1:14">
      <c r="A413" s="40"/>
      <c r="L413" s="40"/>
      <c r="M413" s="40"/>
      <c r="N413" s="40"/>
    </row>
    <row r="414" spans="1:14">
      <c r="A414" s="40"/>
      <c r="L414" s="40"/>
      <c r="M414" s="40"/>
      <c r="N414" s="40"/>
    </row>
    <row r="415" spans="1:14">
      <c r="A415" s="40"/>
      <c r="L415" s="40"/>
      <c r="M415" s="40"/>
      <c r="N415" s="40"/>
    </row>
    <row r="416" spans="1:14">
      <c r="A416" s="40"/>
      <c r="L416" s="40"/>
      <c r="M416" s="40"/>
      <c r="N416" s="40"/>
    </row>
    <row r="417" spans="1:14">
      <c r="A417" s="40"/>
      <c r="L417" s="40"/>
      <c r="M417" s="40"/>
      <c r="N417" s="40"/>
    </row>
    <row r="418" spans="1:14">
      <c r="A418" s="40"/>
      <c r="L418" s="40"/>
      <c r="M418" s="40"/>
      <c r="N418" s="40"/>
    </row>
    <row r="419" spans="1:14">
      <c r="A419" s="40"/>
      <c r="L419" s="40"/>
      <c r="M419" s="40"/>
      <c r="N419" s="40"/>
    </row>
    <row r="420" spans="1:14">
      <c r="A420" s="40"/>
      <c r="L420" s="40"/>
      <c r="M420" s="40"/>
      <c r="N420" s="40"/>
    </row>
    <row r="421" spans="1:14">
      <c r="A421" s="40"/>
      <c r="L421" s="40"/>
      <c r="M421" s="40"/>
      <c r="N421" s="40"/>
    </row>
    <row r="422" spans="1:14">
      <c r="A422" s="40"/>
      <c r="L422" s="40"/>
      <c r="M422" s="40"/>
      <c r="N422" s="40"/>
    </row>
    <row r="423" spans="1:14">
      <c r="A423" s="40"/>
      <c r="L423" s="40"/>
      <c r="M423" s="40"/>
      <c r="N423" s="40"/>
    </row>
    <row r="424" spans="1:14">
      <c r="A424" s="40"/>
      <c r="L424" s="40"/>
      <c r="M424" s="40"/>
      <c r="N424" s="40"/>
    </row>
    <row r="425" spans="1:14">
      <c r="A425" s="40"/>
      <c r="L425" s="40"/>
      <c r="M425" s="40"/>
      <c r="N425" s="40"/>
    </row>
    <row r="426" spans="1:14">
      <c r="A426" s="40"/>
      <c r="L426" s="40"/>
      <c r="M426" s="40"/>
      <c r="N426" s="40"/>
    </row>
    <row r="427" spans="1:14">
      <c r="A427" s="40"/>
      <c r="L427" s="40"/>
      <c r="M427" s="40"/>
      <c r="N427" s="40"/>
    </row>
    <row r="428" spans="1:14">
      <c r="A428" s="40"/>
      <c r="L428" s="40"/>
      <c r="M428" s="40"/>
      <c r="N428" s="40"/>
    </row>
    <row r="429" spans="1:14">
      <c r="A429" s="40"/>
      <c r="L429" s="40"/>
      <c r="M429" s="40"/>
      <c r="N429" s="40"/>
    </row>
    <row r="430" spans="1:14">
      <c r="A430" s="40"/>
      <c r="L430" s="40"/>
      <c r="M430" s="40"/>
      <c r="N430" s="40"/>
    </row>
    <row r="431" spans="1:14">
      <c r="A431" s="40"/>
      <c r="L431" s="40"/>
      <c r="M431" s="40"/>
      <c r="N431" s="40"/>
    </row>
    <row r="432" spans="1:14">
      <c r="A432" s="40"/>
      <c r="L432" s="40"/>
      <c r="M432" s="40"/>
      <c r="N432" s="40"/>
    </row>
    <row r="433" spans="1:14">
      <c r="A433" s="40"/>
      <c r="L433" s="40"/>
      <c r="M433" s="40"/>
      <c r="N433" s="40"/>
    </row>
    <row r="434" spans="1:14">
      <c r="A434" s="40"/>
      <c r="L434" s="40"/>
      <c r="M434" s="40"/>
      <c r="N434" s="40"/>
    </row>
    <row r="435" spans="1:14">
      <c r="A435" s="40"/>
      <c r="L435" s="40"/>
      <c r="M435" s="40"/>
      <c r="N435" s="40"/>
    </row>
    <row r="436" spans="1:14">
      <c r="A436" s="40"/>
      <c r="L436" s="40"/>
      <c r="M436" s="40"/>
      <c r="N436" s="40"/>
    </row>
    <row r="437" spans="1:14">
      <c r="A437" s="40"/>
      <c r="L437" s="40"/>
      <c r="M437" s="40"/>
      <c r="N437" s="40"/>
    </row>
    <row r="438" spans="1:14">
      <c r="A438" s="40"/>
      <c r="L438" s="40"/>
      <c r="M438" s="40"/>
      <c r="N438" s="40"/>
    </row>
    <row r="439" spans="1:14">
      <c r="A439" s="40"/>
      <c r="L439" s="40"/>
      <c r="M439" s="40"/>
      <c r="N439" s="40"/>
    </row>
    <row r="440" spans="1:14">
      <c r="A440" s="40"/>
      <c r="L440" s="40"/>
      <c r="M440" s="40"/>
      <c r="N440" s="40"/>
    </row>
    <row r="441" spans="1:14">
      <c r="A441" s="40"/>
      <c r="L441" s="40"/>
      <c r="M441" s="40"/>
      <c r="N441" s="40"/>
    </row>
    <row r="442" spans="1:14">
      <c r="A442" s="40"/>
      <c r="L442" s="40"/>
      <c r="M442" s="40"/>
      <c r="N442" s="40"/>
    </row>
    <row r="443" spans="1:14">
      <c r="A443" s="40"/>
      <c r="L443" s="40"/>
      <c r="M443" s="40"/>
      <c r="N443" s="40"/>
    </row>
    <row r="444" spans="1:14">
      <c r="A444" s="40"/>
      <c r="L444" s="40"/>
      <c r="M444" s="40"/>
      <c r="N444" s="40"/>
    </row>
    <row r="445" spans="1:14">
      <c r="A445" s="40"/>
      <c r="L445" s="40"/>
      <c r="M445" s="40"/>
      <c r="N445" s="40"/>
    </row>
    <row r="446" spans="1:14">
      <c r="A446" s="40"/>
      <c r="L446" s="40"/>
      <c r="M446" s="40"/>
      <c r="N446" s="40"/>
    </row>
    <row r="447" spans="1:14">
      <c r="A447" s="40"/>
      <c r="L447" s="40"/>
      <c r="M447" s="40"/>
      <c r="N447" s="40"/>
    </row>
    <row r="448" spans="1:14">
      <c r="A448" s="40"/>
      <c r="L448" s="40"/>
      <c r="M448" s="40"/>
      <c r="N448" s="40"/>
    </row>
    <row r="449" spans="1:14">
      <c r="A449" s="40"/>
      <c r="L449" s="40"/>
      <c r="M449" s="40"/>
      <c r="N449" s="40"/>
    </row>
    <row r="450" spans="1:14">
      <c r="A450" s="40"/>
      <c r="L450" s="40"/>
      <c r="M450" s="40"/>
      <c r="N450" s="40"/>
    </row>
    <row r="451" spans="1:14">
      <c r="A451" s="40"/>
      <c r="L451" s="40"/>
      <c r="M451" s="40"/>
      <c r="N451" s="40"/>
    </row>
    <row r="452" spans="1:14">
      <c r="A452" s="40"/>
      <c r="L452" s="40"/>
      <c r="M452" s="40"/>
      <c r="N452" s="40"/>
    </row>
    <row r="453" spans="1:14">
      <c r="A453" s="40"/>
      <c r="L453" s="40"/>
      <c r="M453" s="40"/>
      <c r="N453" s="40"/>
    </row>
    <row r="454" spans="1:14">
      <c r="A454" s="40"/>
      <c r="L454" s="40"/>
      <c r="M454" s="40"/>
      <c r="N454" s="40"/>
    </row>
    <row r="455" spans="1:14">
      <c r="A455" s="40"/>
      <c r="L455" s="40"/>
      <c r="M455" s="40"/>
      <c r="N455" s="40"/>
    </row>
    <row r="456" spans="1:14">
      <c r="A456" s="40"/>
      <c r="L456" s="40"/>
      <c r="M456" s="40"/>
      <c r="N456" s="40"/>
    </row>
    <row r="457" spans="1:14">
      <c r="A457" s="40"/>
      <c r="L457" s="40"/>
      <c r="M457" s="40"/>
      <c r="N457" s="40"/>
    </row>
    <row r="458" spans="1:14">
      <c r="A458" s="40"/>
      <c r="L458" s="40"/>
      <c r="M458" s="40"/>
      <c r="N458" s="40"/>
    </row>
    <row r="459" spans="1:14">
      <c r="A459" s="40"/>
      <c r="L459" s="40"/>
      <c r="M459" s="40"/>
      <c r="N459" s="40"/>
    </row>
    <row r="460" spans="1:14">
      <c r="A460" s="40"/>
      <c r="L460" s="40"/>
      <c r="M460" s="40"/>
      <c r="N460" s="40"/>
    </row>
    <row r="461" spans="1:14">
      <c r="A461" s="40"/>
      <c r="L461" s="40"/>
      <c r="M461" s="40"/>
      <c r="N461" s="40"/>
    </row>
    <row r="462" spans="1:14">
      <c r="A462" s="40"/>
      <c r="L462" s="40"/>
      <c r="M462" s="40"/>
      <c r="N462" s="40"/>
    </row>
    <row r="463" spans="1:14">
      <c r="A463" s="40"/>
      <c r="L463" s="40"/>
      <c r="M463" s="40"/>
      <c r="N463" s="40"/>
    </row>
    <row r="464" spans="1:14">
      <c r="A464" s="40"/>
      <c r="L464" s="40"/>
      <c r="M464" s="40"/>
      <c r="N464" s="40"/>
    </row>
    <row r="465" spans="1:14">
      <c r="A465" s="40"/>
      <c r="L465" s="40"/>
      <c r="M465" s="40"/>
      <c r="N465" s="40"/>
    </row>
    <row r="466" spans="1:14">
      <c r="A466" s="40"/>
      <c r="L466" s="40"/>
      <c r="M466" s="40"/>
      <c r="N466" s="40"/>
    </row>
    <row r="467" spans="1:14">
      <c r="A467" s="40"/>
      <c r="L467" s="40"/>
      <c r="M467" s="40"/>
      <c r="N467" s="40"/>
    </row>
    <row r="468" spans="1:14">
      <c r="A468" s="40"/>
      <c r="L468" s="40"/>
      <c r="M468" s="40"/>
      <c r="N468" s="40"/>
    </row>
    <row r="469" spans="1:14">
      <c r="A469" s="40"/>
      <c r="L469" s="40"/>
      <c r="M469" s="40"/>
      <c r="N469" s="40"/>
    </row>
    <row r="470" spans="1:14">
      <c r="A470" s="40"/>
      <c r="L470" s="40"/>
      <c r="M470" s="40"/>
      <c r="N470" s="40"/>
    </row>
    <row r="471" spans="1:14">
      <c r="A471" s="40"/>
      <c r="L471" s="40"/>
      <c r="M471" s="40"/>
      <c r="N471" s="40"/>
    </row>
    <row r="472" spans="1:14">
      <c r="A472" s="40"/>
      <c r="L472" s="40"/>
      <c r="M472" s="40"/>
      <c r="N472" s="40"/>
    </row>
    <row r="473" spans="1:14">
      <c r="A473" s="40"/>
      <c r="L473" s="40"/>
      <c r="M473" s="40"/>
      <c r="N473" s="40"/>
    </row>
    <row r="474" spans="1:14">
      <c r="A474" s="40"/>
      <c r="L474" s="40"/>
      <c r="M474" s="40"/>
      <c r="N474" s="40"/>
    </row>
    <row r="475" spans="1:14">
      <c r="A475" s="40"/>
      <c r="L475" s="40"/>
      <c r="M475" s="40"/>
      <c r="N475" s="40"/>
    </row>
    <row r="476" spans="1:14">
      <c r="A476" s="40"/>
      <c r="L476" s="40"/>
      <c r="M476" s="40"/>
      <c r="N476" s="40"/>
    </row>
    <row r="477" spans="1:14">
      <c r="A477" s="40"/>
      <c r="L477" s="40"/>
      <c r="M477" s="40"/>
      <c r="N477" s="40"/>
    </row>
    <row r="478" spans="1:14">
      <c r="A478" s="40"/>
      <c r="L478" s="40"/>
      <c r="M478" s="40"/>
      <c r="N478" s="40"/>
    </row>
    <row r="479" spans="1:14">
      <c r="A479" s="40"/>
      <c r="L479" s="40"/>
      <c r="M479" s="40"/>
      <c r="N479" s="40"/>
    </row>
    <row r="480" spans="1:14">
      <c r="A480" s="40"/>
      <c r="L480" s="40"/>
      <c r="M480" s="40"/>
      <c r="N480" s="40"/>
    </row>
    <row r="481" spans="1:14">
      <c r="A481" s="40"/>
      <c r="L481" s="40"/>
      <c r="M481" s="40"/>
      <c r="N481" s="40"/>
    </row>
    <row r="482" spans="1:14">
      <c r="A482" s="40"/>
      <c r="L482" s="40"/>
      <c r="M482" s="40"/>
      <c r="N482" s="40"/>
    </row>
    <row r="483" spans="1:14">
      <c r="A483" s="40"/>
      <c r="L483" s="40"/>
      <c r="M483" s="40"/>
      <c r="N483" s="40"/>
    </row>
    <row r="484" spans="1:14">
      <c r="A484" s="40"/>
      <c r="L484" s="40"/>
      <c r="M484" s="40"/>
      <c r="N484" s="40"/>
    </row>
    <row r="485" spans="1:14">
      <c r="A485" s="40"/>
      <c r="L485" s="40"/>
      <c r="M485" s="40"/>
      <c r="N485" s="40"/>
    </row>
    <row r="486" spans="1:14">
      <c r="A486" s="40"/>
      <c r="L486" s="40"/>
      <c r="M486" s="40"/>
      <c r="N486" s="40"/>
    </row>
    <row r="487" spans="1:14">
      <c r="A487" s="40"/>
      <c r="L487" s="40"/>
      <c r="M487" s="40"/>
      <c r="N487" s="40"/>
    </row>
    <row r="488" spans="1:14">
      <c r="A488" s="40"/>
      <c r="L488" s="40"/>
      <c r="M488" s="40"/>
      <c r="N488" s="40"/>
    </row>
    <row r="489" spans="1:14">
      <c r="A489" s="40"/>
      <c r="L489" s="40"/>
      <c r="M489" s="40"/>
      <c r="N489" s="40"/>
    </row>
    <row r="490" spans="1:14">
      <c r="A490" s="40"/>
      <c r="L490" s="40"/>
      <c r="M490" s="40"/>
      <c r="N490" s="40"/>
    </row>
    <row r="491" spans="1:14">
      <c r="A491" s="40"/>
      <c r="L491" s="40"/>
      <c r="M491" s="40"/>
      <c r="N491" s="40"/>
    </row>
    <row r="492" spans="1:14">
      <c r="A492" s="40"/>
      <c r="L492" s="40"/>
      <c r="M492" s="40"/>
      <c r="N492" s="40"/>
    </row>
    <row r="493" spans="1:14">
      <c r="A493" s="40"/>
      <c r="L493" s="40"/>
      <c r="M493" s="40"/>
      <c r="N493" s="40"/>
    </row>
    <row r="494" spans="1:14">
      <c r="A494" s="40"/>
      <c r="L494" s="40"/>
      <c r="M494" s="40"/>
      <c r="N494" s="40"/>
    </row>
    <row r="495" spans="1:14">
      <c r="A495" s="40"/>
      <c r="L495" s="40"/>
      <c r="M495" s="40"/>
      <c r="N495" s="40"/>
    </row>
    <row r="496" spans="1:14">
      <c r="A496" s="40"/>
      <c r="L496" s="40"/>
      <c r="M496" s="40"/>
      <c r="N496" s="40"/>
    </row>
    <row r="497" spans="1:14">
      <c r="A497" s="40"/>
      <c r="L497" s="40"/>
      <c r="M497" s="40"/>
      <c r="N497" s="40"/>
    </row>
    <row r="498" spans="1:14">
      <c r="A498" s="40"/>
      <c r="L498" s="40"/>
      <c r="M498" s="40"/>
      <c r="N498" s="40"/>
    </row>
    <row r="499" spans="1:14">
      <c r="A499" s="40"/>
      <c r="L499" s="40"/>
      <c r="M499" s="40"/>
      <c r="N499" s="40"/>
    </row>
    <row r="500" spans="1:14">
      <c r="A500" s="40"/>
      <c r="L500" s="40"/>
      <c r="M500" s="40"/>
      <c r="N500" s="40"/>
    </row>
    <row r="501" spans="1:14">
      <c r="A501" s="40"/>
      <c r="L501" s="40"/>
      <c r="M501" s="40"/>
      <c r="N501" s="40"/>
    </row>
    <row r="502" spans="1:14">
      <c r="A502" s="40"/>
      <c r="L502" s="40"/>
      <c r="M502" s="40"/>
      <c r="N502" s="40"/>
    </row>
    <row r="503" spans="1:14">
      <c r="A503" s="40"/>
      <c r="L503" s="40"/>
      <c r="M503" s="40"/>
      <c r="N503" s="40"/>
    </row>
    <row r="504" spans="1:14">
      <c r="A504" s="40"/>
      <c r="L504" s="40"/>
      <c r="M504" s="40"/>
      <c r="N504" s="40"/>
    </row>
    <row r="505" spans="1:14">
      <c r="A505" s="40"/>
      <c r="L505" s="40"/>
      <c r="M505" s="40"/>
      <c r="N505" s="40"/>
    </row>
    <row r="506" spans="1:14">
      <c r="A506" s="40"/>
      <c r="L506" s="40"/>
      <c r="M506" s="40"/>
      <c r="N506" s="40"/>
    </row>
    <row r="507" spans="1:14">
      <c r="A507" s="40"/>
      <c r="L507" s="40"/>
      <c r="M507" s="40"/>
      <c r="N507" s="40"/>
    </row>
    <row r="508" spans="1:14">
      <c r="A508" s="40"/>
      <c r="L508" s="40"/>
      <c r="M508" s="40"/>
      <c r="N508" s="40"/>
    </row>
    <row r="509" spans="1:14">
      <c r="A509" s="40"/>
      <c r="L509" s="40"/>
      <c r="M509" s="40"/>
      <c r="N509" s="40"/>
    </row>
    <row r="510" spans="1:14">
      <c r="A510" s="40"/>
      <c r="L510" s="40"/>
      <c r="M510" s="40"/>
      <c r="N510" s="40"/>
    </row>
    <row r="511" spans="1:14">
      <c r="A511" s="40"/>
      <c r="L511" s="40"/>
      <c r="M511" s="40"/>
      <c r="N511" s="40"/>
    </row>
    <row r="512" spans="1:14">
      <c r="A512" s="40"/>
      <c r="L512" s="40"/>
      <c r="M512" s="40"/>
      <c r="N512" s="40"/>
    </row>
    <row r="513" spans="1:14">
      <c r="A513" s="40"/>
      <c r="L513" s="40"/>
      <c r="M513" s="40"/>
      <c r="N513" s="40"/>
    </row>
    <row r="514" spans="1:14">
      <c r="A514" s="40"/>
      <c r="L514" s="40"/>
      <c r="M514" s="40"/>
      <c r="N514" s="40"/>
    </row>
    <row r="515" spans="1:14">
      <c r="A515" s="40"/>
      <c r="L515" s="40"/>
      <c r="M515" s="40"/>
      <c r="N515" s="40"/>
    </row>
    <row r="516" spans="1:14">
      <c r="A516" s="40"/>
      <c r="L516" s="40"/>
      <c r="M516" s="40"/>
      <c r="N516" s="40"/>
    </row>
    <row r="517" spans="1:14">
      <c r="A517" s="40"/>
      <c r="L517" s="40"/>
      <c r="M517" s="40"/>
      <c r="N517" s="40"/>
    </row>
    <row r="518" spans="1:14">
      <c r="A518" s="40"/>
      <c r="L518" s="40"/>
      <c r="M518" s="40"/>
      <c r="N518" s="40"/>
    </row>
    <row r="519" spans="1:14">
      <c r="A519" s="40"/>
      <c r="L519" s="40"/>
      <c r="M519" s="40"/>
      <c r="N519" s="40"/>
    </row>
    <row r="520" spans="1:14">
      <c r="A520" s="40"/>
      <c r="L520" s="40"/>
      <c r="M520" s="40"/>
      <c r="N520" s="40"/>
    </row>
    <row r="521" spans="1:14">
      <c r="A521" s="40"/>
      <c r="L521" s="40"/>
      <c r="M521" s="40"/>
      <c r="N521" s="40"/>
    </row>
    <row r="522" spans="1:14">
      <c r="A522" s="40"/>
      <c r="L522" s="40"/>
      <c r="M522" s="40"/>
      <c r="N522" s="40"/>
    </row>
    <row r="523" spans="1:14">
      <c r="A523" s="40"/>
      <c r="L523" s="40"/>
      <c r="M523" s="40"/>
      <c r="N523" s="40"/>
    </row>
    <row r="524" spans="1:14">
      <c r="A524" s="40"/>
      <c r="L524" s="40"/>
      <c r="M524" s="40"/>
      <c r="N524" s="40"/>
    </row>
    <row r="525" spans="1:14">
      <c r="A525" s="40"/>
      <c r="L525" s="40"/>
      <c r="M525" s="40"/>
      <c r="N525" s="40"/>
    </row>
    <row r="526" spans="1:14">
      <c r="A526" s="40"/>
      <c r="L526" s="40"/>
      <c r="M526" s="40"/>
      <c r="N526" s="40"/>
    </row>
    <row r="527" spans="1:14">
      <c r="A527" s="40"/>
      <c r="L527" s="40"/>
      <c r="M527" s="40"/>
      <c r="N527" s="40"/>
    </row>
    <row r="528" spans="1:14">
      <c r="A528" s="40"/>
      <c r="L528" s="40"/>
      <c r="M528" s="40"/>
      <c r="N528" s="40"/>
    </row>
    <row r="529" spans="1:14">
      <c r="A529" s="40"/>
      <c r="L529" s="40"/>
      <c r="M529" s="40"/>
      <c r="N529" s="40"/>
    </row>
    <row r="530" spans="1:14">
      <c r="A530" s="40"/>
      <c r="L530" s="40"/>
      <c r="M530" s="40"/>
      <c r="N530" s="40"/>
    </row>
    <row r="531" spans="1:14">
      <c r="A531" s="40"/>
      <c r="L531" s="40"/>
      <c r="M531" s="40"/>
      <c r="N531" s="40"/>
    </row>
    <row r="532" spans="1:14">
      <c r="A532" s="40"/>
      <c r="L532" s="40"/>
      <c r="M532" s="40"/>
      <c r="N532" s="40"/>
    </row>
    <row r="533" spans="1:14">
      <c r="A533" s="40"/>
      <c r="L533" s="40"/>
      <c r="M533" s="40"/>
      <c r="N533" s="40"/>
    </row>
    <row r="534" spans="1:14">
      <c r="A534" s="40"/>
      <c r="L534" s="40"/>
      <c r="M534" s="40"/>
      <c r="N534" s="40"/>
    </row>
    <row r="535" spans="1:14">
      <c r="A535" s="40"/>
      <c r="L535" s="40"/>
      <c r="M535" s="40"/>
      <c r="N535" s="40"/>
    </row>
    <row r="536" spans="1:14">
      <c r="A536" s="40"/>
      <c r="L536" s="40"/>
      <c r="M536" s="40"/>
      <c r="N536" s="40"/>
    </row>
    <row r="537" spans="1:14">
      <c r="A537" s="40"/>
      <c r="L537" s="40"/>
      <c r="M537" s="40"/>
      <c r="N537" s="40"/>
    </row>
    <row r="538" spans="1:14">
      <c r="A538" s="40"/>
      <c r="L538" s="40"/>
      <c r="M538" s="40"/>
      <c r="N538" s="40"/>
    </row>
    <row r="539" spans="1:14">
      <c r="A539" s="40"/>
      <c r="L539" s="40"/>
      <c r="M539" s="40"/>
      <c r="N539" s="40"/>
    </row>
    <row r="540" spans="1:14">
      <c r="A540" s="40"/>
      <c r="L540" s="40"/>
      <c r="M540" s="40"/>
      <c r="N540" s="40"/>
    </row>
    <row r="541" spans="1:14">
      <c r="A541" s="40"/>
      <c r="L541" s="40"/>
      <c r="M541" s="40"/>
      <c r="N541" s="40"/>
    </row>
    <row r="542" spans="1:14">
      <c r="A542" s="40"/>
      <c r="L542" s="40"/>
      <c r="M542" s="40"/>
      <c r="N542" s="40"/>
    </row>
    <row r="543" spans="1:14">
      <c r="A543" s="40"/>
      <c r="L543" s="40"/>
      <c r="M543" s="40"/>
      <c r="N543" s="40"/>
    </row>
    <row r="544" spans="1:14">
      <c r="A544" s="40"/>
      <c r="L544" s="40"/>
      <c r="M544" s="40"/>
      <c r="N544" s="40"/>
    </row>
    <row r="545" spans="1:14">
      <c r="A545" s="40"/>
      <c r="L545" s="40"/>
      <c r="M545" s="40"/>
      <c r="N545" s="40"/>
    </row>
    <row r="546" spans="1:14">
      <c r="A546" s="40"/>
      <c r="L546" s="40"/>
      <c r="M546" s="40"/>
      <c r="N546" s="40"/>
    </row>
    <row r="547" spans="1:14">
      <c r="A547" s="40"/>
      <c r="L547" s="40"/>
      <c r="M547" s="40"/>
      <c r="N547" s="40"/>
    </row>
    <row r="548" spans="1:14">
      <c r="A548" s="40"/>
      <c r="L548" s="40"/>
      <c r="M548" s="40"/>
      <c r="N548" s="40"/>
    </row>
    <row r="549" spans="1:14">
      <c r="A549" s="40"/>
      <c r="L549" s="40"/>
      <c r="M549" s="40"/>
      <c r="N549" s="40"/>
    </row>
    <row r="550" spans="1:14">
      <c r="A550" s="40"/>
      <c r="L550" s="40"/>
      <c r="M550" s="40"/>
      <c r="N550" s="40"/>
    </row>
    <row r="551" spans="1:14">
      <c r="A551" s="40"/>
      <c r="L551" s="40"/>
      <c r="M551" s="40"/>
      <c r="N551" s="40"/>
    </row>
    <row r="552" spans="1:14">
      <c r="A552" s="40"/>
      <c r="L552" s="40"/>
      <c r="M552" s="40"/>
      <c r="N552" s="40"/>
    </row>
    <row r="553" spans="1:14">
      <c r="A553" s="40"/>
      <c r="L553" s="40"/>
      <c r="M553" s="40"/>
      <c r="N553" s="40"/>
    </row>
    <row r="554" spans="1:14">
      <c r="A554" s="40"/>
      <c r="L554" s="40"/>
      <c r="M554" s="40"/>
      <c r="N554" s="40"/>
    </row>
    <row r="555" spans="1:14">
      <c r="A555" s="40"/>
      <c r="L555" s="40"/>
      <c r="M555" s="40"/>
      <c r="N555" s="40"/>
    </row>
    <row r="556" spans="1:14">
      <c r="A556" s="40"/>
      <c r="L556" s="40"/>
      <c r="M556" s="40"/>
      <c r="N556" s="40"/>
    </row>
    <row r="557" spans="1:14">
      <c r="A557" s="40"/>
      <c r="L557" s="40"/>
      <c r="M557" s="40"/>
      <c r="N557" s="40"/>
    </row>
    <row r="558" spans="1:14">
      <c r="A558" s="40"/>
      <c r="L558" s="40"/>
      <c r="M558" s="40"/>
      <c r="N558" s="40"/>
    </row>
    <row r="559" spans="1:14">
      <c r="A559" s="40"/>
      <c r="L559" s="40"/>
      <c r="M559" s="40"/>
      <c r="N559" s="40"/>
    </row>
    <row r="560" spans="1:14">
      <c r="A560" s="40"/>
      <c r="L560" s="40"/>
      <c r="M560" s="40"/>
      <c r="N560" s="40"/>
    </row>
    <row r="561" spans="1:14">
      <c r="A561" s="40"/>
      <c r="L561" s="40"/>
      <c r="M561" s="40"/>
      <c r="N561" s="40"/>
    </row>
    <row r="562" spans="1:14">
      <c r="A562" s="40"/>
      <c r="L562" s="40"/>
      <c r="M562" s="40"/>
      <c r="N562" s="40"/>
    </row>
    <row r="563" spans="1:14">
      <c r="A563" s="40"/>
      <c r="L563" s="40"/>
      <c r="M563" s="40"/>
      <c r="N563" s="40"/>
    </row>
    <row r="564" spans="1:14">
      <c r="A564" s="40"/>
      <c r="L564" s="40"/>
      <c r="M564" s="40"/>
      <c r="N564" s="40"/>
    </row>
    <row r="565" spans="1:14">
      <c r="A565" s="40"/>
      <c r="L565" s="40"/>
      <c r="M565" s="40"/>
      <c r="N565" s="40"/>
    </row>
    <row r="566" spans="1:14">
      <c r="A566" s="40"/>
      <c r="L566" s="40"/>
      <c r="M566" s="40"/>
      <c r="N566" s="40"/>
    </row>
    <row r="567" spans="1:14">
      <c r="A567" s="40"/>
      <c r="L567" s="40"/>
      <c r="M567" s="40"/>
      <c r="N567" s="40"/>
    </row>
    <row r="568" spans="1:14">
      <c r="A568" s="40"/>
      <c r="L568" s="40"/>
      <c r="M568" s="40"/>
      <c r="N568" s="40"/>
    </row>
    <row r="569" spans="1:14">
      <c r="A569" s="40"/>
      <c r="L569" s="40"/>
      <c r="M569" s="40"/>
      <c r="N569" s="40"/>
    </row>
    <row r="570" spans="1:14">
      <c r="A570" s="40"/>
      <c r="L570" s="40"/>
      <c r="M570" s="40"/>
      <c r="N570" s="40"/>
    </row>
    <row r="571" spans="1:14">
      <c r="A571" s="40"/>
      <c r="L571" s="40"/>
      <c r="M571" s="40"/>
      <c r="N571" s="40"/>
    </row>
    <row r="572" spans="1:14">
      <c r="A572" s="40"/>
      <c r="L572" s="40"/>
      <c r="M572" s="40"/>
      <c r="N572" s="40"/>
    </row>
    <row r="573" spans="1:14">
      <c r="A573" s="40"/>
      <c r="L573" s="40"/>
      <c r="M573" s="40"/>
      <c r="N573" s="40"/>
    </row>
    <row r="574" spans="1:14">
      <c r="A574" s="40"/>
      <c r="L574" s="40"/>
      <c r="M574" s="40"/>
      <c r="N574" s="40"/>
    </row>
    <row r="575" spans="1:14">
      <c r="A575" s="40"/>
      <c r="L575" s="40"/>
      <c r="M575" s="40"/>
      <c r="N575" s="40"/>
    </row>
    <row r="576" spans="1:14">
      <c r="A576" s="40"/>
      <c r="L576" s="40"/>
      <c r="M576" s="40"/>
      <c r="N576" s="40"/>
    </row>
    <row r="577" spans="1:14">
      <c r="A577" s="40"/>
      <c r="L577" s="40"/>
      <c r="M577" s="40"/>
      <c r="N577" s="40"/>
    </row>
    <row r="578" spans="1:14">
      <c r="A578" s="40"/>
      <c r="L578" s="40"/>
      <c r="M578" s="40"/>
      <c r="N578" s="40"/>
    </row>
    <row r="579" spans="1:14">
      <c r="A579" s="40"/>
      <c r="L579" s="40"/>
      <c r="M579" s="40"/>
      <c r="N579" s="40"/>
    </row>
    <row r="580" spans="1:14">
      <c r="A580" s="40"/>
      <c r="L580" s="40"/>
      <c r="M580" s="40"/>
      <c r="N580" s="40"/>
    </row>
    <row r="581" spans="1:14">
      <c r="A581" s="40"/>
      <c r="L581" s="40"/>
      <c r="M581" s="40"/>
      <c r="N581" s="40"/>
    </row>
    <row r="582" spans="1:14">
      <c r="A582" s="40"/>
      <c r="L582" s="40"/>
      <c r="M582" s="40"/>
      <c r="N582" s="40"/>
    </row>
    <row r="583" spans="1:14">
      <c r="A583" s="40"/>
      <c r="L583" s="40"/>
      <c r="M583" s="40"/>
      <c r="N583" s="40"/>
    </row>
    <row r="584" spans="1:14">
      <c r="A584" s="40"/>
      <c r="L584" s="40"/>
      <c r="M584" s="40"/>
      <c r="N584" s="40"/>
    </row>
    <row r="585" spans="1:14">
      <c r="A585" s="40"/>
      <c r="L585" s="40"/>
      <c r="M585" s="40"/>
      <c r="N585" s="40"/>
    </row>
    <row r="586" spans="1:14">
      <c r="A586" s="40"/>
      <c r="L586" s="40"/>
      <c r="M586" s="40"/>
      <c r="N586" s="40"/>
    </row>
    <row r="587" spans="1:14">
      <c r="A587" s="40"/>
      <c r="L587" s="40"/>
      <c r="M587" s="40"/>
      <c r="N587" s="40"/>
    </row>
    <row r="588" spans="1:14">
      <c r="A588" s="40"/>
      <c r="L588" s="40"/>
      <c r="M588" s="40"/>
      <c r="N588" s="40"/>
    </row>
    <row r="589" spans="1:14">
      <c r="A589" s="40"/>
      <c r="L589" s="40"/>
      <c r="M589" s="40"/>
      <c r="N589" s="40"/>
    </row>
    <row r="590" spans="1:14">
      <c r="A590" s="40"/>
      <c r="L590" s="40"/>
      <c r="M590" s="40"/>
      <c r="N590" s="40"/>
    </row>
    <row r="591" spans="1:14">
      <c r="A591" s="40"/>
      <c r="L591" s="40"/>
      <c r="M591" s="40"/>
      <c r="N591" s="40"/>
    </row>
    <row r="592" spans="1:14">
      <c r="A592" s="40"/>
      <c r="L592" s="40"/>
      <c r="M592" s="40"/>
      <c r="N592" s="40"/>
    </row>
    <row r="593" spans="1:14">
      <c r="A593" s="40"/>
      <c r="L593" s="40"/>
      <c r="M593" s="40"/>
      <c r="N593" s="40"/>
    </row>
    <row r="594" spans="1:14">
      <c r="A594" s="40"/>
      <c r="L594" s="40"/>
      <c r="M594" s="40"/>
      <c r="N594" s="40"/>
    </row>
    <row r="595" spans="1:14">
      <c r="A595" s="40"/>
      <c r="L595" s="40"/>
      <c r="M595" s="40"/>
      <c r="N595" s="40"/>
    </row>
    <row r="596" spans="1:14">
      <c r="A596" s="40"/>
      <c r="L596" s="40"/>
      <c r="M596" s="40"/>
      <c r="N596" s="40"/>
    </row>
    <row r="597" spans="1:14">
      <c r="A597" s="40"/>
      <c r="L597" s="40"/>
      <c r="M597" s="40"/>
      <c r="N597" s="40"/>
    </row>
    <row r="598" spans="1:14">
      <c r="A598" s="40"/>
      <c r="L598" s="40"/>
      <c r="M598" s="40"/>
      <c r="N598" s="40"/>
    </row>
    <row r="599" spans="1:14">
      <c r="A599" s="40"/>
      <c r="L599" s="40"/>
      <c r="M599" s="40"/>
      <c r="N599" s="40"/>
    </row>
    <row r="600" spans="1:14">
      <c r="A600" s="40"/>
      <c r="L600" s="40"/>
      <c r="M600" s="40"/>
      <c r="N600" s="40"/>
    </row>
    <row r="601" spans="1:14">
      <c r="A601" s="40"/>
      <c r="L601" s="40"/>
      <c r="M601" s="40"/>
      <c r="N601" s="40"/>
    </row>
    <row r="602" spans="1:14">
      <c r="A602" s="40"/>
      <c r="L602" s="40"/>
      <c r="M602" s="40"/>
      <c r="N602" s="40"/>
    </row>
    <row r="603" spans="1:14">
      <c r="A603" s="40"/>
      <c r="L603" s="40"/>
      <c r="M603" s="40"/>
      <c r="N603" s="40"/>
    </row>
    <row r="604" spans="1:14">
      <c r="A604" s="40"/>
      <c r="L604" s="40"/>
      <c r="M604" s="40"/>
      <c r="N604" s="40"/>
    </row>
    <row r="605" spans="1:14">
      <c r="A605" s="40"/>
      <c r="L605" s="40"/>
      <c r="M605" s="40"/>
      <c r="N605" s="40"/>
    </row>
    <row r="606" spans="1:14">
      <c r="A606" s="40"/>
      <c r="L606" s="40"/>
      <c r="M606" s="40"/>
      <c r="N606" s="40"/>
    </row>
    <row r="607" spans="1:14">
      <c r="A607" s="40"/>
      <c r="L607" s="40"/>
      <c r="M607" s="40"/>
      <c r="N607" s="40"/>
    </row>
    <row r="608" spans="1:14">
      <c r="A608" s="40"/>
      <c r="L608" s="40"/>
      <c r="M608" s="40"/>
      <c r="N608" s="40"/>
    </row>
    <row r="609" spans="1:14">
      <c r="A609" s="40"/>
      <c r="L609" s="40"/>
      <c r="M609" s="40"/>
      <c r="N609" s="40"/>
    </row>
    <row r="610" spans="1:14">
      <c r="A610" s="40"/>
      <c r="L610" s="40"/>
      <c r="M610" s="40"/>
      <c r="N610" s="40"/>
    </row>
    <row r="611" spans="1:14">
      <c r="A611" s="40"/>
      <c r="L611" s="40"/>
      <c r="M611" s="40"/>
      <c r="N611" s="40"/>
    </row>
    <row r="612" spans="1:14">
      <c r="A612" s="40"/>
      <c r="L612" s="40"/>
      <c r="M612" s="40"/>
      <c r="N612" s="40"/>
    </row>
    <row r="613" spans="1:14">
      <c r="A613" s="40"/>
      <c r="L613" s="40"/>
      <c r="M613" s="40"/>
      <c r="N613" s="40"/>
    </row>
    <row r="614" spans="1:14">
      <c r="A614" s="40"/>
      <c r="L614" s="40"/>
      <c r="M614" s="40"/>
      <c r="N614" s="40"/>
    </row>
    <row r="615" spans="1:14">
      <c r="A615" s="40"/>
      <c r="L615" s="40"/>
      <c r="M615" s="40"/>
      <c r="N615" s="40"/>
    </row>
    <row r="616" spans="1:14">
      <c r="A616" s="40"/>
      <c r="L616" s="40"/>
      <c r="M616" s="40"/>
      <c r="N616" s="40"/>
    </row>
    <row r="617" spans="1:14">
      <c r="A617" s="40"/>
      <c r="L617" s="40"/>
      <c r="M617" s="40"/>
      <c r="N617" s="40"/>
    </row>
    <row r="618" spans="1:14">
      <c r="A618" s="40"/>
      <c r="L618" s="40"/>
      <c r="M618" s="40"/>
      <c r="N618" s="40"/>
    </row>
    <row r="619" spans="1:14">
      <c r="A619" s="40"/>
      <c r="L619" s="40"/>
      <c r="M619" s="40"/>
      <c r="N619" s="40"/>
    </row>
    <row r="620" spans="1:14">
      <c r="A620" s="40"/>
      <c r="L620" s="40"/>
      <c r="M620" s="40"/>
      <c r="N620" s="40"/>
    </row>
    <row r="621" spans="1:14">
      <c r="A621" s="40"/>
      <c r="L621" s="40"/>
      <c r="M621" s="40"/>
      <c r="N621" s="40"/>
    </row>
    <row r="622" spans="1:14">
      <c r="A622" s="40"/>
      <c r="L622" s="40"/>
      <c r="M622" s="40"/>
      <c r="N622" s="40"/>
    </row>
    <row r="623" spans="1:14">
      <c r="A623" s="40"/>
      <c r="L623" s="40"/>
      <c r="M623" s="40"/>
      <c r="N623" s="40"/>
    </row>
    <row r="624" spans="1:14">
      <c r="A624" s="40"/>
      <c r="L624" s="40"/>
      <c r="M624" s="40"/>
      <c r="N624" s="40"/>
    </row>
    <row r="625" spans="1:14">
      <c r="A625" s="40"/>
      <c r="L625" s="40"/>
      <c r="M625" s="40"/>
      <c r="N625" s="40"/>
    </row>
    <row r="626" spans="1:14">
      <c r="A626" s="40"/>
      <c r="L626" s="40"/>
      <c r="M626" s="40"/>
      <c r="N626" s="40"/>
    </row>
    <row r="627" spans="1:14">
      <c r="A627" s="40"/>
      <c r="L627" s="40"/>
      <c r="M627" s="40"/>
      <c r="N627" s="40"/>
    </row>
    <row r="628" spans="1:14">
      <c r="A628" s="40"/>
      <c r="L628" s="40"/>
      <c r="M628" s="40"/>
      <c r="N628" s="40"/>
    </row>
    <row r="629" spans="1:14">
      <c r="A629" s="40"/>
      <c r="L629" s="40"/>
      <c r="M629" s="40"/>
      <c r="N629" s="40"/>
    </row>
    <row r="630" spans="1:14">
      <c r="A630" s="40"/>
      <c r="L630" s="40"/>
      <c r="M630" s="40"/>
      <c r="N630" s="40"/>
    </row>
    <row r="631" spans="1:14">
      <c r="A631" s="40"/>
      <c r="L631" s="40"/>
      <c r="M631" s="40"/>
      <c r="N631" s="40"/>
    </row>
    <row r="632" spans="1:14">
      <c r="A632" s="40"/>
      <c r="L632" s="40"/>
      <c r="M632" s="40"/>
      <c r="N632" s="40"/>
    </row>
    <row r="633" spans="1:14">
      <c r="A633" s="40"/>
      <c r="L633" s="40"/>
      <c r="M633" s="40"/>
      <c r="N633" s="40"/>
    </row>
    <row r="634" spans="1:14">
      <c r="A634" s="40"/>
      <c r="L634" s="40"/>
      <c r="M634" s="40"/>
      <c r="N634" s="40"/>
    </row>
    <row r="635" spans="1:14">
      <c r="A635" s="40"/>
      <c r="L635" s="40"/>
      <c r="M635" s="40"/>
      <c r="N635" s="40"/>
    </row>
    <row r="636" spans="1:14">
      <c r="A636" s="40"/>
      <c r="L636" s="40"/>
      <c r="M636" s="40"/>
      <c r="N636" s="40"/>
    </row>
    <row r="637" spans="1:14">
      <c r="A637" s="40"/>
      <c r="L637" s="40"/>
      <c r="M637" s="40"/>
      <c r="N637" s="40"/>
    </row>
    <row r="638" spans="1:14">
      <c r="A638" s="40"/>
      <c r="L638" s="40"/>
      <c r="M638" s="40"/>
      <c r="N638" s="40"/>
    </row>
    <row r="639" spans="1:14">
      <c r="A639" s="40"/>
      <c r="L639" s="40"/>
      <c r="M639" s="40"/>
      <c r="N639" s="40"/>
    </row>
    <row r="640" spans="1:14">
      <c r="A640" s="40"/>
      <c r="L640" s="40"/>
      <c r="M640" s="40"/>
      <c r="N640" s="40"/>
    </row>
    <row r="641" spans="1:14">
      <c r="A641" s="40"/>
      <c r="L641" s="40"/>
      <c r="M641" s="40"/>
      <c r="N641" s="40"/>
    </row>
    <row r="642" spans="1:14">
      <c r="A642" s="40"/>
      <c r="L642" s="40"/>
      <c r="M642" s="40"/>
      <c r="N642" s="40"/>
    </row>
    <row r="643" spans="1:14">
      <c r="A643" s="40"/>
      <c r="L643" s="40"/>
      <c r="M643" s="40"/>
      <c r="N643" s="40"/>
    </row>
    <row r="644" spans="1:14">
      <c r="A644" s="40"/>
      <c r="L644" s="40"/>
      <c r="M644" s="40"/>
      <c r="N644" s="40"/>
    </row>
    <row r="645" spans="1:14">
      <c r="A645" s="40"/>
      <c r="L645" s="40"/>
      <c r="M645" s="40"/>
      <c r="N645" s="40"/>
    </row>
    <row r="646" spans="1:14">
      <c r="A646" s="40"/>
      <c r="L646" s="40"/>
      <c r="M646" s="40"/>
      <c r="N646" s="40"/>
    </row>
    <row r="647" spans="1:14">
      <c r="A647" s="40"/>
      <c r="L647" s="40"/>
      <c r="M647" s="40"/>
      <c r="N647" s="40"/>
    </row>
    <row r="648" spans="1:14">
      <c r="A648" s="40"/>
      <c r="L648" s="40"/>
      <c r="M648" s="40"/>
      <c r="N648" s="40"/>
    </row>
    <row r="649" spans="1:14">
      <c r="A649" s="40"/>
      <c r="L649" s="40"/>
      <c r="M649" s="40"/>
      <c r="N649" s="40"/>
    </row>
    <row r="650" spans="1:14">
      <c r="A650" s="40"/>
      <c r="L650" s="40"/>
      <c r="M650" s="40"/>
      <c r="N650" s="40"/>
    </row>
    <row r="651" spans="1:14">
      <c r="A651" s="40"/>
      <c r="L651" s="40"/>
      <c r="M651" s="40"/>
      <c r="N651" s="40"/>
    </row>
    <row r="652" spans="1:14">
      <c r="A652" s="40"/>
      <c r="L652" s="40"/>
      <c r="M652" s="40"/>
      <c r="N652" s="40"/>
    </row>
    <row r="653" spans="1:14">
      <c r="A653" s="40"/>
      <c r="L653" s="40"/>
      <c r="M653" s="40"/>
      <c r="N653" s="40"/>
    </row>
    <row r="654" spans="1:14">
      <c r="A654" s="40"/>
      <c r="L654" s="40"/>
      <c r="M654" s="40"/>
      <c r="N654" s="40"/>
    </row>
    <row r="655" spans="1:14">
      <c r="A655" s="40"/>
      <c r="L655" s="40"/>
      <c r="M655" s="40"/>
      <c r="N655" s="40"/>
    </row>
    <row r="656" spans="1:14">
      <c r="A656" s="40"/>
      <c r="L656" s="40"/>
      <c r="M656" s="40"/>
      <c r="N656" s="40"/>
    </row>
    <row r="657" spans="1:14">
      <c r="A657" s="40"/>
      <c r="L657" s="40"/>
      <c r="M657" s="40"/>
      <c r="N657" s="40"/>
    </row>
    <row r="658" spans="1:14">
      <c r="A658" s="40"/>
      <c r="L658" s="40"/>
      <c r="M658" s="40"/>
      <c r="N658" s="40"/>
    </row>
    <row r="659" spans="1:14">
      <c r="A659" s="40"/>
      <c r="L659" s="40"/>
      <c r="M659" s="40"/>
      <c r="N659" s="40"/>
    </row>
    <row r="660" spans="1:14">
      <c r="A660" s="40"/>
      <c r="L660" s="40"/>
      <c r="M660" s="40"/>
      <c r="N660" s="40"/>
    </row>
    <row r="661" spans="1:14">
      <c r="A661" s="40"/>
      <c r="L661" s="40"/>
      <c r="M661" s="40"/>
      <c r="N661" s="40"/>
    </row>
    <row r="662" spans="1:14">
      <c r="A662" s="40"/>
      <c r="L662" s="40"/>
      <c r="M662" s="40"/>
      <c r="N662" s="40"/>
    </row>
    <row r="663" spans="1:14">
      <c r="A663" s="40"/>
      <c r="L663" s="40"/>
      <c r="M663" s="40"/>
      <c r="N663" s="40"/>
    </row>
    <row r="664" spans="1:14">
      <c r="A664" s="40"/>
      <c r="L664" s="40"/>
      <c r="M664" s="40"/>
      <c r="N664" s="40"/>
    </row>
    <row r="665" spans="1:14">
      <c r="A665" s="40"/>
      <c r="L665" s="40"/>
      <c r="M665" s="40"/>
      <c r="N665" s="40"/>
    </row>
    <row r="666" spans="1:14">
      <c r="A666" s="40"/>
      <c r="L666" s="40"/>
      <c r="M666" s="40"/>
      <c r="N666" s="40"/>
    </row>
    <row r="667" spans="1:14">
      <c r="A667" s="40"/>
      <c r="L667" s="40"/>
      <c r="M667" s="40"/>
      <c r="N667" s="40"/>
    </row>
    <row r="668" spans="1:14">
      <c r="A668" s="40"/>
      <c r="L668" s="40"/>
      <c r="M668" s="40"/>
      <c r="N668" s="40"/>
    </row>
    <row r="669" spans="1:14">
      <c r="A669" s="40"/>
      <c r="L669" s="40"/>
      <c r="M669" s="40"/>
      <c r="N669" s="40"/>
    </row>
    <row r="670" spans="1:14">
      <c r="A670" s="40"/>
      <c r="L670" s="40"/>
      <c r="M670" s="40"/>
      <c r="N670" s="40"/>
    </row>
    <row r="671" spans="1:14">
      <c r="A671" s="40"/>
      <c r="L671" s="40"/>
      <c r="M671" s="40"/>
      <c r="N671" s="40"/>
    </row>
    <row r="672" spans="1:14">
      <c r="A672" s="40"/>
      <c r="L672" s="40"/>
      <c r="M672" s="40"/>
      <c r="N672" s="40"/>
    </row>
    <row r="673" spans="1:14">
      <c r="A673" s="40"/>
      <c r="L673" s="40"/>
      <c r="M673" s="40"/>
      <c r="N673" s="40"/>
    </row>
    <row r="674" spans="1:14">
      <c r="A674" s="40"/>
      <c r="L674" s="40"/>
      <c r="M674" s="40"/>
      <c r="N674" s="40"/>
    </row>
    <row r="675" spans="1:14">
      <c r="A675" s="40"/>
      <c r="L675" s="40"/>
      <c r="M675" s="40"/>
      <c r="N675" s="40"/>
    </row>
    <row r="676" spans="1:14">
      <c r="A676" s="40"/>
      <c r="L676" s="40"/>
      <c r="M676" s="40"/>
      <c r="N676" s="40"/>
    </row>
    <row r="677" spans="1:14">
      <c r="A677" s="40"/>
      <c r="L677" s="40"/>
      <c r="M677" s="40"/>
      <c r="N677" s="40"/>
    </row>
    <row r="678" spans="1:14">
      <c r="A678" s="40"/>
      <c r="L678" s="40"/>
      <c r="M678" s="40"/>
      <c r="N678" s="40"/>
    </row>
    <row r="679" spans="1:14">
      <c r="A679" s="40"/>
      <c r="L679" s="40"/>
      <c r="M679" s="40"/>
      <c r="N679" s="40"/>
    </row>
    <row r="680" spans="1:14">
      <c r="A680" s="40"/>
      <c r="L680" s="40"/>
      <c r="M680" s="40"/>
      <c r="N680" s="40"/>
    </row>
    <row r="681" spans="1:14">
      <c r="A681" s="40"/>
      <c r="L681" s="40"/>
      <c r="M681" s="40"/>
      <c r="N681" s="40"/>
    </row>
    <row r="682" spans="1:14">
      <c r="A682" s="40"/>
      <c r="L682" s="40"/>
      <c r="M682" s="40"/>
      <c r="N682" s="40"/>
    </row>
    <row r="683" spans="1:14">
      <c r="A683" s="40"/>
      <c r="L683" s="40"/>
      <c r="M683" s="40"/>
      <c r="N683" s="40"/>
    </row>
    <row r="684" spans="1:14">
      <c r="A684" s="40"/>
      <c r="L684" s="40"/>
      <c r="M684" s="40"/>
      <c r="N684" s="40"/>
    </row>
    <row r="685" spans="1:14">
      <c r="A685" s="40"/>
      <c r="L685" s="40"/>
      <c r="M685" s="40"/>
      <c r="N685" s="40"/>
    </row>
    <row r="686" spans="1:14">
      <c r="A686" s="40"/>
      <c r="L686" s="40"/>
      <c r="M686" s="40"/>
      <c r="N686" s="40"/>
    </row>
    <row r="687" spans="1:14">
      <c r="A687" s="40"/>
      <c r="L687" s="40"/>
      <c r="M687" s="40"/>
      <c r="N687" s="40"/>
    </row>
    <row r="688" spans="1:14">
      <c r="A688" s="40"/>
      <c r="L688" s="40"/>
      <c r="M688" s="40"/>
      <c r="N688" s="40"/>
    </row>
    <row r="689" spans="1:14">
      <c r="A689" s="40"/>
      <c r="L689" s="40"/>
      <c r="M689" s="40"/>
      <c r="N689" s="40"/>
    </row>
    <row r="690" spans="1:14">
      <c r="A690" s="40"/>
      <c r="L690" s="40"/>
      <c r="M690" s="40"/>
      <c r="N690" s="40"/>
    </row>
    <row r="691" spans="1:14">
      <c r="A691" s="40"/>
      <c r="L691" s="40"/>
      <c r="M691" s="40"/>
      <c r="N691" s="40"/>
    </row>
    <row r="692" spans="1:14">
      <c r="A692" s="40"/>
      <c r="L692" s="40"/>
      <c r="M692" s="40"/>
      <c r="N692" s="40"/>
    </row>
    <row r="693" spans="1:14">
      <c r="A693" s="40"/>
      <c r="L693" s="40"/>
      <c r="M693" s="40"/>
      <c r="N693" s="40"/>
    </row>
    <row r="694" spans="1:14">
      <c r="A694" s="40"/>
      <c r="L694" s="40"/>
      <c r="M694" s="40"/>
      <c r="N694" s="40"/>
    </row>
    <row r="695" spans="1:14">
      <c r="A695" s="40"/>
      <c r="L695" s="40"/>
      <c r="M695" s="40"/>
      <c r="N695" s="40"/>
    </row>
    <row r="696" spans="1:14">
      <c r="A696" s="40"/>
      <c r="L696" s="40"/>
      <c r="M696" s="40"/>
      <c r="N696" s="40"/>
    </row>
    <row r="697" spans="1:14">
      <c r="A697" s="40"/>
      <c r="L697" s="40"/>
      <c r="M697" s="40"/>
      <c r="N697" s="40"/>
    </row>
    <row r="698" spans="1:14">
      <c r="A698" s="40"/>
      <c r="L698" s="40"/>
      <c r="M698" s="40"/>
      <c r="N698" s="40"/>
    </row>
    <row r="699" spans="1:14">
      <c r="A699" s="40"/>
      <c r="L699" s="40"/>
      <c r="M699" s="40"/>
      <c r="N699" s="40"/>
    </row>
    <row r="700" spans="1:14">
      <c r="A700" s="40"/>
      <c r="L700" s="40"/>
      <c r="M700" s="40"/>
      <c r="N700" s="40"/>
    </row>
    <row r="701" spans="1:14">
      <c r="A701" s="40"/>
      <c r="L701" s="40"/>
      <c r="M701" s="40"/>
      <c r="N701" s="40"/>
    </row>
    <row r="702" spans="1:14">
      <c r="A702" s="40"/>
      <c r="L702" s="40"/>
      <c r="M702" s="40"/>
      <c r="N702" s="40"/>
    </row>
    <row r="703" spans="1:14">
      <c r="A703" s="40"/>
      <c r="L703" s="40"/>
      <c r="M703" s="40"/>
      <c r="N703" s="40"/>
    </row>
    <row r="704" spans="1:14">
      <c r="A704" s="40"/>
      <c r="L704" s="40"/>
      <c r="M704" s="40"/>
      <c r="N704" s="40"/>
    </row>
    <row r="705" spans="1:14">
      <c r="A705" s="40"/>
      <c r="L705" s="40"/>
      <c r="M705" s="40"/>
      <c r="N705" s="40"/>
    </row>
    <row r="706" spans="1:14">
      <c r="A706" s="40"/>
      <c r="L706" s="40"/>
      <c r="M706" s="40"/>
      <c r="N706" s="40"/>
    </row>
    <row r="707" spans="1:14">
      <c r="A707" s="40"/>
      <c r="L707" s="40"/>
      <c r="M707" s="40"/>
      <c r="N707" s="40"/>
    </row>
    <row r="708" spans="1:14">
      <c r="A708" s="40"/>
      <c r="L708" s="40"/>
      <c r="M708" s="40"/>
      <c r="N708" s="40"/>
    </row>
    <row r="709" spans="1:14">
      <c r="A709" s="40"/>
      <c r="L709" s="40"/>
      <c r="M709" s="40"/>
      <c r="N709" s="40"/>
    </row>
    <row r="710" spans="1:14">
      <c r="A710" s="40"/>
      <c r="L710" s="40"/>
      <c r="M710" s="40"/>
      <c r="N710" s="40"/>
    </row>
    <row r="711" spans="1:14">
      <c r="A711" s="40"/>
      <c r="L711" s="40"/>
      <c r="M711" s="40"/>
      <c r="N711" s="40"/>
    </row>
    <row r="712" spans="1:14">
      <c r="A712" s="40"/>
      <c r="L712" s="40"/>
      <c r="M712" s="40"/>
      <c r="N712" s="40"/>
    </row>
    <row r="713" spans="1:14">
      <c r="A713" s="40"/>
      <c r="L713" s="40"/>
      <c r="M713" s="40"/>
      <c r="N713" s="40"/>
    </row>
    <row r="714" spans="1:14">
      <c r="A714" s="40"/>
      <c r="L714" s="40"/>
      <c r="M714" s="40"/>
      <c r="N714" s="40"/>
    </row>
    <row r="715" spans="1:14">
      <c r="A715" s="40"/>
      <c r="L715" s="40"/>
      <c r="M715" s="40"/>
      <c r="N715" s="40"/>
    </row>
    <row r="716" spans="1:14">
      <c r="A716" s="40"/>
      <c r="L716" s="40"/>
      <c r="M716" s="40"/>
      <c r="N716" s="40"/>
    </row>
    <row r="717" spans="1:14">
      <c r="A717" s="40"/>
      <c r="L717" s="40"/>
      <c r="M717" s="40"/>
      <c r="N717" s="40"/>
    </row>
    <row r="718" spans="1:14">
      <c r="A718" s="40"/>
      <c r="L718" s="40"/>
      <c r="M718" s="40"/>
      <c r="N718" s="40"/>
    </row>
    <row r="719" spans="1:14">
      <c r="A719" s="40"/>
      <c r="L719" s="40"/>
      <c r="M719" s="40"/>
      <c r="N719" s="40"/>
    </row>
    <row r="720" spans="1:14">
      <c r="A720" s="40"/>
      <c r="L720" s="40"/>
      <c r="M720" s="40"/>
      <c r="N720" s="40"/>
    </row>
    <row r="721" spans="1:14">
      <c r="A721" s="40"/>
      <c r="L721" s="40"/>
      <c r="M721" s="40"/>
      <c r="N721" s="40"/>
    </row>
    <row r="722" spans="1:14">
      <c r="A722" s="40"/>
      <c r="L722" s="40"/>
      <c r="M722" s="40"/>
      <c r="N722" s="40"/>
    </row>
    <row r="723" spans="1:14">
      <c r="A723" s="40"/>
      <c r="L723" s="40"/>
      <c r="M723" s="40"/>
      <c r="N723" s="40"/>
    </row>
    <row r="724" spans="1:14">
      <c r="A724" s="40"/>
      <c r="L724" s="40"/>
      <c r="M724" s="40"/>
      <c r="N724" s="40"/>
    </row>
    <row r="725" spans="1:14">
      <c r="A725" s="40"/>
      <c r="L725" s="40"/>
      <c r="M725" s="40"/>
      <c r="N725" s="40"/>
    </row>
    <row r="726" spans="1:14">
      <c r="A726" s="40"/>
      <c r="L726" s="40"/>
      <c r="M726" s="40"/>
      <c r="N726" s="40"/>
    </row>
    <row r="727" spans="1:14">
      <c r="A727" s="40"/>
      <c r="L727" s="40"/>
      <c r="M727" s="40"/>
      <c r="N727" s="40"/>
    </row>
    <row r="728" spans="1:14">
      <c r="A728" s="40"/>
      <c r="L728" s="40"/>
      <c r="M728" s="40"/>
      <c r="N728" s="40"/>
    </row>
    <row r="729" spans="1:14">
      <c r="A729" s="40"/>
      <c r="L729" s="40"/>
      <c r="M729" s="40"/>
      <c r="N729" s="40"/>
    </row>
    <row r="730" spans="1:14">
      <c r="A730" s="40"/>
      <c r="L730" s="40"/>
      <c r="M730" s="40"/>
      <c r="N730" s="40"/>
    </row>
    <row r="731" spans="1:14">
      <c r="A731" s="40"/>
      <c r="L731" s="40"/>
      <c r="M731" s="40"/>
      <c r="N731" s="40"/>
    </row>
    <row r="732" spans="1:14">
      <c r="A732" s="40"/>
      <c r="L732" s="40"/>
      <c r="M732" s="40"/>
      <c r="N732" s="40"/>
    </row>
    <row r="733" spans="1:14">
      <c r="A733" s="40"/>
      <c r="L733" s="40"/>
      <c r="M733" s="40"/>
      <c r="N733" s="40"/>
    </row>
    <row r="734" spans="1:14">
      <c r="A734" s="40"/>
      <c r="L734" s="40"/>
      <c r="M734" s="40"/>
      <c r="N734" s="40"/>
    </row>
    <row r="735" spans="1:14">
      <c r="A735" s="40"/>
      <c r="L735" s="40"/>
      <c r="M735" s="40"/>
      <c r="N735" s="40"/>
    </row>
    <row r="736" spans="1:14">
      <c r="A736" s="40"/>
      <c r="L736" s="40"/>
      <c r="M736" s="40"/>
      <c r="N736" s="40"/>
    </row>
    <row r="737" spans="1:14">
      <c r="A737" s="40"/>
      <c r="L737" s="40"/>
      <c r="M737" s="40"/>
      <c r="N737" s="40"/>
    </row>
    <row r="738" spans="1:14">
      <c r="A738" s="40"/>
      <c r="L738" s="40"/>
      <c r="M738" s="40"/>
      <c r="N738" s="40"/>
    </row>
    <row r="739" spans="1:14">
      <c r="A739" s="40"/>
      <c r="L739" s="40"/>
      <c r="M739" s="40"/>
      <c r="N739" s="40"/>
    </row>
    <row r="740" spans="1:14">
      <c r="A740" s="40"/>
      <c r="L740" s="40"/>
      <c r="M740" s="40"/>
      <c r="N740" s="40"/>
    </row>
    <row r="741" spans="1:14">
      <c r="A741" s="40"/>
      <c r="L741" s="40"/>
      <c r="M741" s="40"/>
      <c r="N741" s="40"/>
    </row>
    <row r="742" spans="1:14">
      <c r="A742" s="40"/>
      <c r="L742" s="40"/>
      <c r="M742" s="40"/>
      <c r="N742" s="40"/>
    </row>
    <row r="743" spans="1:14">
      <c r="A743" s="40"/>
      <c r="L743" s="40"/>
      <c r="M743" s="40"/>
      <c r="N743" s="40"/>
    </row>
    <row r="744" spans="1:14">
      <c r="A744" s="40"/>
      <c r="L744" s="40"/>
      <c r="M744" s="40"/>
      <c r="N744" s="40"/>
    </row>
    <row r="745" spans="1:14">
      <c r="A745" s="40"/>
      <c r="L745" s="40"/>
      <c r="M745" s="40"/>
      <c r="N745" s="40"/>
    </row>
    <row r="746" spans="1:14">
      <c r="A746" s="40"/>
      <c r="L746" s="40"/>
      <c r="M746" s="40"/>
      <c r="N746" s="40"/>
    </row>
    <row r="747" spans="1:14">
      <c r="A747" s="40"/>
      <c r="L747" s="40"/>
      <c r="M747" s="40"/>
      <c r="N747" s="40"/>
    </row>
    <row r="748" spans="1:14">
      <c r="A748" s="40"/>
      <c r="L748" s="40"/>
      <c r="M748" s="40"/>
      <c r="N748" s="40"/>
    </row>
    <row r="749" spans="1:14">
      <c r="A749" s="40"/>
      <c r="L749" s="40"/>
      <c r="M749" s="40"/>
      <c r="N749" s="40"/>
    </row>
    <row r="750" spans="1:14">
      <c r="A750" s="40"/>
      <c r="L750" s="40"/>
      <c r="M750" s="40"/>
      <c r="N750" s="40"/>
    </row>
    <row r="751" spans="1:14">
      <c r="A751" s="40"/>
      <c r="L751" s="40"/>
      <c r="M751" s="40"/>
      <c r="N751" s="40"/>
    </row>
    <row r="752" spans="1:14">
      <c r="A752" s="40"/>
      <c r="L752" s="40"/>
      <c r="M752" s="40"/>
      <c r="N752" s="40"/>
    </row>
    <row r="753" spans="1:14">
      <c r="A753" s="40"/>
      <c r="L753" s="40"/>
      <c r="M753" s="40"/>
      <c r="N753" s="40"/>
    </row>
    <row r="754" spans="1:14">
      <c r="A754" s="40"/>
      <c r="L754" s="40"/>
      <c r="M754" s="40"/>
      <c r="N754" s="40"/>
    </row>
    <row r="755" spans="1:14">
      <c r="A755" s="40"/>
      <c r="L755" s="40"/>
      <c r="M755" s="40"/>
      <c r="N755" s="40"/>
    </row>
    <row r="756" spans="1:14">
      <c r="A756" s="40"/>
      <c r="L756" s="40"/>
      <c r="M756" s="40"/>
      <c r="N756" s="40"/>
    </row>
    <row r="757" spans="1:14">
      <c r="A757" s="40"/>
      <c r="L757" s="40"/>
      <c r="M757" s="40"/>
      <c r="N757" s="40"/>
    </row>
    <row r="758" spans="1:14">
      <c r="A758" s="40"/>
      <c r="L758" s="40"/>
      <c r="M758" s="40"/>
      <c r="N758" s="40"/>
    </row>
    <row r="759" spans="1:14">
      <c r="A759" s="40"/>
      <c r="L759" s="40"/>
      <c r="M759" s="40"/>
      <c r="N759" s="40"/>
    </row>
    <row r="760" spans="1:14">
      <c r="A760" s="40"/>
      <c r="L760" s="40"/>
      <c r="M760" s="40"/>
      <c r="N760" s="40"/>
    </row>
    <row r="761" spans="1:14">
      <c r="A761" s="40"/>
      <c r="L761" s="40"/>
      <c r="M761" s="40"/>
      <c r="N761" s="40"/>
    </row>
    <row r="762" spans="1:14">
      <c r="A762" s="40"/>
      <c r="L762" s="40"/>
      <c r="M762" s="40"/>
      <c r="N762" s="40"/>
    </row>
    <row r="763" spans="1:14">
      <c r="A763" s="40"/>
      <c r="L763" s="40"/>
      <c r="M763" s="40"/>
      <c r="N763" s="40"/>
    </row>
    <row r="764" spans="1:14">
      <c r="A764" s="40"/>
      <c r="L764" s="40"/>
      <c r="M764" s="40"/>
      <c r="N764" s="40"/>
    </row>
    <row r="765" spans="1:14">
      <c r="A765" s="40"/>
      <c r="L765" s="40"/>
      <c r="M765" s="40"/>
      <c r="N765" s="40"/>
    </row>
    <row r="766" spans="1:14">
      <c r="A766" s="40"/>
      <c r="L766" s="40"/>
      <c r="M766" s="40"/>
      <c r="N766" s="40"/>
    </row>
    <row r="767" spans="1:14">
      <c r="A767" s="40"/>
      <c r="L767" s="40"/>
      <c r="M767" s="40"/>
      <c r="N767" s="40"/>
    </row>
    <row r="768" spans="1:14">
      <c r="A768" s="40"/>
      <c r="L768" s="40"/>
      <c r="M768" s="40"/>
      <c r="N768" s="40"/>
    </row>
    <row r="769" spans="1:14">
      <c r="A769" s="40"/>
      <c r="L769" s="40"/>
      <c r="M769" s="40"/>
      <c r="N769" s="40"/>
    </row>
    <row r="770" spans="1:14">
      <c r="A770" s="40"/>
      <c r="L770" s="40"/>
      <c r="M770" s="40"/>
      <c r="N770" s="40"/>
    </row>
    <row r="771" spans="1:14">
      <c r="A771" s="40"/>
      <c r="L771" s="40"/>
      <c r="M771" s="40"/>
      <c r="N771" s="40"/>
    </row>
    <row r="772" spans="1:14">
      <c r="A772" s="40"/>
      <c r="L772" s="40"/>
      <c r="M772" s="40"/>
      <c r="N772" s="40"/>
    </row>
    <row r="773" spans="1:14">
      <c r="A773" s="40"/>
      <c r="L773" s="40"/>
      <c r="M773" s="40"/>
      <c r="N773" s="40"/>
    </row>
    <row r="774" spans="1:14">
      <c r="A774" s="40"/>
      <c r="L774" s="40"/>
      <c r="M774" s="40"/>
      <c r="N774" s="40"/>
    </row>
    <row r="775" spans="1:14">
      <c r="A775" s="40"/>
      <c r="L775" s="40"/>
      <c r="M775" s="40"/>
      <c r="N775" s="40"/>
    </row>
    <row r="776" spans="1:14">
      <c r="A776" s="40"/>
      <c r="L776" s="40"/>
      <c r="M776" s="40"/>
      <c r="N776" s="40"/>
    </row>
    <row r="777" spans="1:14">
      <c r="A777" s="40"/>
      <c r="L777" s="40"/>
      <c r="M777" s="40"/>
      <c r="N777" s="40"/>
    </row>
    <row r="778" spans="1:14">
      <c r="A778" s="40"/>
      <c r="L778" s="40"/>
      <c r="M778" s="40"/>
      <c r="N778" s="40"/>
    </row>
    <row r="779" spans="1:14">
      <c r="A779" s="40"/>
      <c r="L779" s="40"/>
      <c r="M779" s="40"/>
      <c r="N779" s="40"/>
    </row>
    <row r="780" spans="1:14">
      <c r="A780" s="40"/>
      <c r="L780" s="40"/>
      <c r="M780" s="40"/>
      <c r="N780" s="40"/>
    </row>
    <row r="781" spans="1:14">
      <c r="A781" s="40"/>
      <c r="L781" s="40"/>
      <c r="M781" s="40"/>
      <c r="N781" s="40"/>
    </row>
    <row r="782" spans="1:14">
      <c r="A782" s="40"/>
      <c r="L782" s="40"/>
      <c r="M782" s="40"/>
      <c r="N782" s="40"/>
    </row>
    <row r="783" spans="1:14">
      <c r="A783" s="40"/>
      <c r="L783" s="40"/>
      <c r="M783" s="40"/>
      <c r="N783" s="40"/>
    </row>
    <row r="784" spans="1:14">
      <c r="A784" s="40"/>
      <c r="L784" s="40"/>
      <c r="M784" s="40"/>
      <c r="N784" s="40"/>
    </row>
    <row r="785" spans="1:14">
      <c r="A785" s="40"/>
      <c r="L785" s="40"/>
      <c r="M785" s="40"/>
      <c r="N785" s="40"/>
    </row>
    <row r="786" spans="1:14">
      <c r="A786" s="40"/>
      <c r="L786" s="40"/>
      <c r="M786" s="40"/>
      <c r="N786" s="40"/>
    </row>
    <row r="787" spans="1:14">
      <c r="A787" s="40"/>
      <c r="L787" s="40"/>
      <c r="M787" s="40"/>
      <c r="N787" s="40"/>
    </row>
    <row r="788" spans="1:14">
      <c r="A788" s="40"/>
      <c r="L788" s="40"/>
      <c r="M788" s="40"/>
      <c r="N788" s="40"/>
    </row>
    <row r="789" spans="1:14">
      <c r="A789" s="40"/>
      <c r="L789" s="40"/>
      <c r="M789" s="40"/>
      <c r="N789" s="40"/>
    </row>
    <row r="790" spans="1:14">
      <c r="A790" s="40"/>
      <c r="L790" s="40"/>
      <c r="M790" s="40"/>
      <c r="N790" s="40"/>
    </row>
    <row r="791" spans="1:14">
      <c r="A791" s="40"/>
      <c r="L791" s="40"/>
      <c r="M791" s="40"/>
      <c r="N791" s="40"/>
    </row>
    <row r="792" spans="1:14">
      <c r="A792" s="40"/>
      <c r="L792" s="40"/>
      <c r="M792" s="40"/>
      <c r="N792" s="40"/>
    </row>
    <row r="793" spans="1:14">
      <c r="A793" s="40"/>
      <c r="L793" s="40"/>
      <c r="M793" s="40"/>
      <c r="N793" s="40"/>
    </row>
    <row r="794" spans="1:14">
      <c r="A794" s="40"/>
      <c r="L794" s="40"/>
      <c r="M794" s="40"/>
      <c r="N794" s="40"/>
    </row>
    <row r="795" spans="1:14">
      <c r="A795" s="40"/>
      <c r="L795" s="40"/>
      <c r="M795" s="40"/>
      <c r="N795" s="40"/>
    </row>
    <row r="796" spans="1:14">
      <c r="A796" s="40"/>
      <c r="L796" s="40"/>
      <c r="M796" s="40"/>
      <c r="N796" s="40"/>
    </row>
    <row r="797" spans="1:14">
      <c r="A797" s="40"/>
      <c r="L797" s="40"/>
      <c r="M797" s="40"/>
      <c r="N797" s="40"/>
    </row>
    <row r="798" spans="1:14">
      <c r="A798" s="40"/>
      <c r="L798" s="40"/>
      <c r="M798" s="40"/>
      <c r="N798" s="40"/>
    </row>
    <row r="799" spans="1:14">
      <c r="A799" s="40"/>
      <c r="L799" s="40"/>
      <c r="M799" s="40"/>
      <c r="N799" s="40"/>
    </row>
    <row r="800" spans="1:14">
      <c r="A800" s="40"/>
      <c r="L800" s="40"/>
      <c r="M800" s="40"/>
      <c r="N800" s="40"/>
    </row>
    <row r="801" spans="1:14">
      <c r="A801" s="40"/>
      <c r="L801" s="40"/>
      <c r="M801" s="40"/>
      <c r="N801" s="40"/>
    </row>
    <row r="802" spans="1:14">
      <c r="A802" s="40"/>
      <c r="L802" s="40"/>
      <c r="M802" s="40"/>
      <c r="N802" s="40"/>
    </row>
    <row r="803" spans="1:14">
      <c r="A803" s="40"/>
      <c r="L803" s="40"/>
      <c r="M803" s="40"/>
      <c r="N803" s="40"/>
    </row>
    <row r="804" spans="1:14">
      <c r="A804" s="40"/>
      <c r="L804" s="40"/>
      <c r="M804" s="40"/>
      <c r="N804" s="40"/>
    </row>
    <row r="805" spans="1:14">
      <c r="A805" s="40"/>
      <c r="L805" s="40"/>
      <c r="M805" s="40"/>
      <c r="N805" s="40"/>
    </row>
    <row r="806" spans="1:14">
      <c r="A806" s="40"/>
      <c r="L806" s="40"/>
      <c r="M806" s="40"/>
      <c r="N806" s="40"/>
    </row>
    <row r="807" spans="1:14">
      <c r="A807" s="40"/>
      <c r="L807" s="40"/>
      <c r="M807" s="40"/>
      <c r="N807" s="40"/>
    </row>
    <row r="808" spans="1:14">
      <c r="A808" s="40"/>
      <c r="L808" s="40"/>
      <c r="M808" s="40"/>
      <c r="N808" s="40"/>
    </row>
    <row r="809" spans="1:14">
      <c r="A809" s="40"/>
      <c r="L809" s="40"/>
      <c r="M809" s="40"/>
      <c r="N809" s="40"/>
    </row>
    <row r="810" spans="1:14">
      <c r="A810" s="40"/>
      <c r="L810" s="40"/>
      <c r="M810" s="40"/>
      <c r="N810" s="40"/>
    </row>
    <row r="811" spans="1:14">
      <c r="A811" s="40"/>
      <c r="L811" s="40"/>
      <c r="M811" s="40"/>
      <c r="N811" s="40"/>
    </row>
    <row r="812" spans="1:14">
      <c r="A812" s="40"/>
      <c r="L812" s="40"/>
      <c r="M812" s="40"/>
      <c r="N812" s="40"/>
    </row>
    <row r="813" spans="1:14">
      <c r="A813" s="40"/>
      <c r="L813" s="40"/>
      <c r="M813" s="40"/>
      <c r="N813" s="40"/>
    </row>
    <row r="814" spans="1:14">
      <c r="A814" s="40"/>
      <c r="L814" s="40"/>
      <c r="M814" s="40"/>
      <c r="N814" s="40"/>
    </row>
    <row r="815" spans="1:14">
      <c r="A815" s="40"/>
      <c r="L815" s="40"/>
      <c r="M815" s="40"/>
      <c r="N815" s="40"/>
    </row>
    <row r="816" spans="1:14">
      <c r="A816" s="40"/>
      <c r="L816" s="40"/>
      <c r="M816" s="40"/>
      <c r="N816" s="40"/>
    </row>
    <row r="817" spans="1:14">
      <c r="A817" s="40"/>
      <c r="L817" s="40"/>
      <c r="M817" s="40"/>
      <c r="N817" s="40"/>
    </row>
    <row r="818" spans="1:14">
      <c r="A818" s="40"/>
      <c r="L818" s="40"/>
      <c r="M818" s="40"/>
      <c r="N818" s="40"/>
    </row>
    <row r="819" spans="1:14">
      <c r="A819" s="40"/>
      <c r="L819" s="40"/>
      <c r="M819" s="40"/>
      <c r="N819" s="40"/>
    </row>
    <row r="820" spans="1:14">
      <c r="A820" s="40"/>
      <c r="L820" s="40"/>
      <c r="M820" s="40"/>
      <c r="N820" s="40"/>
    </row>
    <row r="821" spans="1:14">
      <c r="A821" s="40"/>
      <c r="L821" s="40"/>
      <c r="M821" s="40"/>
      <c r="N821" s="40"/>
    </row>
    <row r="822" spans="1:14">
      <c r="A822" s="40"/>
      <c r="L822" s="40"/>
      <c r="M822" s="40"/>
      <c r="N822" s="40"/>
    </row>
    <row r="823" spans="1:14">
      <c r="A823" s="40"/>
      <c r="L823" s="40"/>
      <c r="M823" s="40"/>
      <c r="N823" s="40"/>
    </row>
    <row r="824" spans="1:14">
      <c r="A824" s="40"/>
      <c r="L824" s="40"/>
      <c r="M824" s="40"/>
      <c r="N824" s="40"/>
    </row>
    <row r="825" spans="1:14">
      <c r="A825" s="40"/>
      <c r="L825" s="40"/>
      <c r="M825" s="40"/>
      <c r="N825" s="40"/>
    </row>
    <row r="826" spans="1:14">
      <c r="A826" s="40"/>
      <c r="L826" s="40"/>
      <c r="M826" s="40"/>
      <c r="N826" s="40"/>
    </row>
    <row r="827" spans="1:14">
      <c r="A827" s="40"/>
      <c r="L827" s="40"/>
      <c r="M827" s="40"/>
      <c r="N827" s="40"/>
    </row>
    <row r="828" spans="1:14">
      <c r="A828" s="40"/>
      <c r="L828" s="40"/>
      <c r="M828" s="40"/>
      <c r="N828" s="40"/>
    </row>
    <row r="829" spans="1:14">
      <c r="A829" s="40"/>
      <c r="L829" s="40"/>
      <c r="M829" s="40"/>
      <c r="N829" s="40"/>
    </row>
    <row r="830" spans="1:14">
      <c r="A830" s="40"/>
      <c r="L830" s="40"/>
      <c r="M830" s="40"/>
      <c r="N830" s="40"/>
    </row>
    <row r="831" spans="1:14">
      <c r="A831" s="40"/>
      <c r="L831" s="40"/>
      <c r="M831" s="40"/>
      <c r="N831" s="40"/>
    </row>
    <row r="832" spans="1:14">
      <c r="A832" s="40"/>
      <c r="L832" s="40"/>
      <c r="M832" s="40"/>
      <c r="N832" s="40"/>
    </row>
    <row r="833" spans="1:14">
      <c r="A833" s="40"/>
      <c r="L833" s="40"/>
      <c r="M833" s="40"/>
      <c r="N833" s="40"/>
    </row>
    <row r="834" spans="1:14">
      <c r="A834" s="40"/>
      <c r="L834" s="40"/>
      <c r="M834" s="40"/>
      <c r="N834" s="40"/>
    </row>
    <row r="835" spans="1:14">
      <c r="A835" s="40"/>
      <c r="L835" s="40"/>
      <c r="M835" s="40"/>
      <c r="N835" s="40"/>
    </row>
    <row r="836" spans="1:14">
      <c r="A836" s="40"/>
      <c r="L836" s="40"/>
      <c r="M836" s="40"/>
      <c r="N836" s="40"/>
    </row>
    <row r="837" spans="1:14">
      <c r="A837" s="40"/>
      <c r="L837" s="40"/>
      <c r="M837" s="40"/>
      <c r="N837" s="40"/>
    </row>
    <row r="838" spans="1:14">
      <c r="A838" s="40"/>
      <c r="L838" s="40"/>
      <c r="M838" s="40"/>
      <c r="N838" s="40"/>
    </row>
    <row r="839" spans="1:14">
      <c r="A839" s="40"/>
      <c r="L839" s="40"/>
      <c r="M839" s="40"/>
      <c r="N839" s="40"/>
    </row>
    <row r="840" spans="1:14">
      <c r="A840" s="40"/>
      <c r="L840" s="40"/>
      <c r="M840" s="40"/>
      <c r="N840" s="40"/>
    </row>
    <row r="841" spans="1:14">
      <c r="A841" s="40"/>
      <c r="L841" s="40"/>
      <c r="M841" s="40"/>
      <c r="N841" s="40"/>
    </row>
    <row r="842" spans="1:14">
      <c r="A842" s="40"/>
      <c r="L842" s="40"/>
      <c r="M842" s="40"/>
      <c r="N842" s="40"/>
    </row>
    <row r="843" spans="1:14">
      <c r="A843" s="40"/>
      <c r="L843" s="40"/>
      <c r="M843" s="40"/>
      <c r="N843" s="40"/>
    </row>
    <row r="844" spans="1:14">
      <c r="A844" s="40"/>
      <c r="L844" s="40"/>
      <c r="M844" s="40"/>
      <c r="N844" s="40"/>
    </row>
    <row r="845" spans="1:14">
      <c r="A845" s="40"/>
      <c r="L845" s="40"/>
      <c r="M845" s="40"/>
      <c r="N845" s="40"/>
    </row>
    <row r="846" spans="1:14">
      <c r="A846" s="40"/>
      <c r="L846" s="40"/>
      <c r="M846" s="40"/>
      <c r="N846" s="40"/>
    </row>
    <row r="847" spans="1:14">
      <c r="A847" s="40"/>
      <c r="L847" s="40"/>
      <c r="M847" s="40"/>
      <c r="N847" s="40"/>
    </row>
    <row r="848" spans="1:14">
      <c r="A848" s="40"/>
      <c r="L848" s="40"/>
      <c r="M848" s="40"/>
      <c r="N848" s="40"/>
    </row>
    <row r="849" spans="1:14">
      <c r="A849" s="40"/>
      <c r="L849" s="40"/>
      <c r="M849" s="40"/>
      <c r="N849" s="40"/>
    </row>
    <row r="850" spans="1:14">
      <c r="A850" s="40"/>
      <c r="L850" s="40"/>
      <c r="M850" s="40"/>
      <c r="N850" s="40"/>
    </row>
    <row r="851" spans="1:14">
      <c r="A851" s="40"/>
      <c r="L851" s="40"/>
      <c r="M851" s="40"/>
      <c r="N851" s="40"/>
    </row>
    <row r="852" spans="1:14">
      <c r="A852" s="40"/>
      <c r="L852" s="40"/>
      <c r="M852" s="40"/>
      <c r="N852" s="40"/>
    </row>
    <row r="853" spans="1:14">
      <c r="A853" s="40"/>
      <c r="L853" s="40"/>
      <c r="M853" s="40"/>
      <c r="N853" s="40"/>
    </row>
    <row r="854" spans="1:14">
      <c r="A854" s="40"/>
      <c r="L854" s="40"/>
      <c r="M854" s="40"/>
      <c r="N854" s="40"/>
    </row>
    <row r="855" spans="1:14">
      <c r="A855" s="40"/>
      <c r="L855" s="40"/>
      <c r="M855" s="40"/>
      <c r="N855" s="40"/>
    </row>
    <row r="856" spans="1:14">
      <c r="A856" s="40"/>
      <c r="L856" s="40"/>
      <c r="M856" s="40"/>
      <c r="N856" s="40"/>
    </row>
    <row r="857" spans="1:14">
      <c r="A857" s="40"/>
      <c r="L857" s="40"/>
      <c r="M857" s="40"/>
      <c r="N857" s="40"/>
    </row>
    <row r="858" spans="1:14">
      <c r="A858" s="40"/>
      <c r="L858" s="40"/>
      <c r="M858" s="40"/>
      <c r="N858" s="40"/>
    </row>
    <row r="859" spans="1:14">
      <c r="A859" s="40"/>
      <c r="L859" s="40"/>
      <c r="M859" s="40"/>
      <c r="N859" s="40"/>
    </row>
    <row r="860" spans="1:14">
      <c r="A860" s="40"/>
      <c r="L860" s="40"/>
      <c r="M860" s="40"/>
      <c r="N860" s="40"/>
    </row>
    <row r="861" spans="1:14">
      <c r="A861" s="40"/>
      <c r="L861" s="40"/>
      <c r="M861" s="40"/>
      <c r="N861" s="40"/>
    </row>
    <row r="862" spans="1:14">
      <c r="A862" s="40"/>
      <c r="L862" s="40"/>
      <c r="M862" s="40"/>
      <c r="N862" s="40"/>
    </row>
    <row r="863" spans="1:14">
      <c r="A863" s="40"/>
      <c r="L863" s="40"/>
      <c r="M863" s="40"/>
      <c r="N863" s="40"/>
    </row>
    <row r="864" spans="1:14">
      <c r="A864" s="40"/>
      <c r="L864" s="40"/>
      <c r="M864" s="40"/>
      <c r="N864" s="40"/>
    </row>
    <row r="865" spans="1:14">
      <c r="A865" s="40"/>
      <c r="L865" s="40"/>
      <c r="M865" s="40"/>
      <c r="N865" s="40"/>
    </row>
    <row r="866" spans="1:14">
      <c r="A866" s="40"/>
      <c r="L866" s="40"/>
      <c r="M866" s="40"/>
      <c r="N866" s="40"/>
    </row>
    <row r="867" spans="1:14">
      <c r="A867" s="40"/>
      <c r="L867" s="40"/>
      <c r="M867" s="40"/>
      <c r="N867" s="40"/>
    </row>
    <row r="868" spans="1:14">
      <c r="A868" s="40"/>
      <c r="L868" s="40"/>
      <c r="M868" s="40"/>
      <c r="N868" s="40"/>
    </row>
    <row r="869" spans="1:14">
      <c r="A869" s="40"/>
      <c r="L869" s="40"/>
      <c r="M869" s="40"/>
      <c r="N869" s="40"/>
    </row>
    <row r="870" spans="1:14">
      <c r="A870" s="40"/>
      <c r="L870" s="40"/>
      <c r="M870" s="40"/>
      <c r="N870" s="40"/>
    </row>
    <row r="871" spans="1:14">
      <c r="A871" s="40"/>
      <c r="L871" s="40"/>
      <c r="M871" s="40"/>
      <c r="N871" s="40"/>
    </row>
    <row r="872" spans="1:14">
      <c r="A872" s="40"/>
      <c r="L872" s="40"/>
      <c r="M872" s="40"/>
      <c r="N872" s="40"/>
    </row>
    <row r="873" spans="1:14">
      <c r="A873" s="40"/>
      <c r="L873" s="40"/>
      <c r="M873" s="40"/>
      <c r="N873" s="40"/>
    </row>
    <row r="874" spans="1:14">
      <c r="A874" s="40"/>
      <c r="L874" s="40"/>
      <c r="M874" s="40"/>
      <c r="N874" s="40"/>
    </row>
    <row r="875" spans="1:14">
      <c r="A875" s="40"/>
      <c r="L875" s="40"/>
      <c r="M875" s="40"/>
      <c r="N875" s="40"/>
    </row>
    <row r="876" spans="1:14">
      <c r="A876" s="40"/>
      <c r="L876" s="40"/>
      <c r="M876" s="40"/>
      <c r="N876" s="40"/>
    </row>
    <row r="877" spans="1:14">
      <c r="A877" s="40"/>
      <c r="L877" s="40"/>
      <c r="M877" s="40"/>
      <c r="N877" s="40"/>
    </row>
    <row r="878" spans="1:14">
      <c r="A878" s="40"/>
      <c r="L878" s="40"/>
      <c r="M878" s="40"/>
      <c r="N878" s="40"/>
    </row>
    <row r="879" spans="1:14">
      <c r="A879" s="40"/>
      <c r="L879" s="40"/>
      <c r="M879" s="40"/>
      <c r="N879" s="40"/>
    </row>
    <row r="880" spans="1:14">
      <c r="A880" s="40"/>
      <c r="L880" s="40"/>
      <c r="M880" s="40"/>
      <c r="N880" s="40"/>
    </row>
    <row r="881" spans="1:14">
      <c r="A881" s="40"/>
      <c r="L881" s="40"/>
      <c r="M881" s="40"/>
      <c r="N881" s="40"/>
    </row>
    <row r="882" spans="1:14">
      <c r="A882" s="40"/>
      <c r="L882" s="40"/>
      <c r="M882" s="40"/>
      <c r="N882" s="40"/>
    </row>
    <row r="883" spans="1:14">
      <c r="A883" s="40"/>
      <c r="L883" s="40"/>
      <c r="M883" s="40"/>
      <c r="N883" s="40"/>
    </row>
    <row r="884" spans="1:14">
      <c r="A884" s="40"/>
      <c r="L884" s="40"/>
      <c r="M884" s="40"/>
      <c r="N884" s="40"/>
    </row>
    <row r="885" spans="1:14">
      <c r="A885" s="40"/>
      <c r="L885" s="40"/>
      <c r="M885" s="40"/>
      <c r="N885" s="40"/>
    </row>
    <row r="886" spans="1:14">
      <c r="A886" s="40"/>
      <c r="L886" s="40"/>
      <c r="M886" s="40"/>
      <c r="N886" s="40"/>
    </row>
    <row r="887" spans="1:14">
      <c r="A887" s="40"/>
      <c r="L887" s="40"/>
      <c r="M887" s="40"/>
      <c r="N887" s="40"/>
    </row>
    <row r="888" spans="1:14">
      <c r="A888" s="40"/>
      <c r="L888" s="40"/>
      <c r="M888" s="40"/>
      <c r="N888" s="40"/>
    </row>
    <row r="889" spans="1:14">
      <c r="A889" s="40"/>
      <c r="L889" s="40"/>
      <c r="M889" s="40"/>
      <c r="N889" s="40"/>
    </row>
    <row r="890" spans="1:14">
      <c r="A890" s="40"/>
      <c r="L890" s="40"/>
      <c r="M890" s="40"/>
      <c r="N890" s="40"/>
    </row>
    <row r="891" spans="1:14">
      <c r="A891" s="40"/>
      <c r="L891" s="40"/>
      <c r="M891" s="40"/>
      <c r="N891" s="40"/>
    </row>
    <row r="892" spans="1:14">
      <c r="A892" s="40"/>
      <c r="L892" s="40"/>
      <c r="M892" s="40"/>
      <c r="N892" s="40"/>
    </row>
    <row r="893" spans="1:14">
      <c r="A893" s="40"/>
      <c r="L893" s="40"/>
      <c r="M893" s="40"/>
      <c r="N893" s="40"/>
    </row>
    <row r="894" spans="1:14">
      <c r="A894" s="40"/>
      <c r="L894" s="40"/>
      <c r="M894" s="40"/>
      <c r="N894" s="40"/>
    </row>
    <row r="895" spans="1:14">
      <c r="A895" s="40"/>
      <c r="L895" s="40"/>
      <c r="M895" s="40"/>
      <c r="N895" s="40"/>
    </row>
    <row r="896" spans="1:14">
      <c r="A896" s="40"/>
      <c r="L896" s="40"/>
      <c r="M896" s="40"/>
      <c r="N896" s="40"/>
    </row>
    <row r="897" spans="1:14">
      <c r="A897" s="40"/>
      <c r="L897" s="40"/>
      <c r="M897" s="40"/>
      <c r="N897" s="40"/>
    </row>
    <row r="898" spans="1:14">
      <c r="A898" s="40"/>
      <c r="L898" s="40"/>
      <c r="M898" s="40"/>
      <c r="N898" s="40"/>
    </row>
    <row r="899" spans="1:14">
      <c r="A899" s="40"/>
      <c r="L899" s="40"/>
      <c r="M899" s="40"/>
      <c r="N899" s="40"/>
    </row>
    <row r="900" spans="1:14">
      <c r="A900" s="40"/>
      <c r="L900" s="40"/>
      <c r="M900" s="40"/>
      <c r="N900" s="40"/>
    </row>
    <row r="901" spans="1:14">
      <c r="A901" s="40"/>
      <c r="L901" s="40"/>
      <c r="M901" s="40"/>
      <c r="N901" s="40"/>
    </row>
    <row r="902" spans="1:14">
      <c r="A902" s="40"/>
      <c r="L902" s="40"/>
      <c r="M902" s="40"/>
      <c r="N902" s="40"/>
    </row>
    <row r="903" spans="1:14">
      <c r="A903" s="40"/>
      <c r="L903" s="40"/>
      <c r="M903" s="40"/>
      <c r="N903" s="40"/>
    </row>
    <row r="904" spans="1:14">
      <c r="A904" s="40"/>
      <c r="L904" s="40"/>
      <c r="M904" s="40"/>
      <c r="N904" s="40"/>
    </row>
    <row r="905" spans="1:14">
      <c r="A905" s="40"/>
      <c r="L905" s="40"/>
      <c r="M905" s="40"/>
      <c r="N905" s="40"/>
    </row>
    <row r="906" spans="1:14">
      <c r="A906" s="40"/>
      <c r="L906" s="40"/>
      <c r="M906" s="40"/>
      <c r="N906" s="40"/>
    </row>
    <row r="907" spans="1:14">
      <c r="A907" s="40"/>
      <c r="L907" s="40"/>
      <c r="M907" s="40"/>
      <c r="N907" s="40"/>
    </row>
    <row r="908" spans="1:14">
      <c r="A908" s="40"/>
      <c r="L908" s="40"/>
      <c r="M908" s="40"/>
      <c r="N908" s="40"/>
    </row>
    <row r="909" spans="1:14">
      <c r="A909" s="40"/>
      <c r="L909" s="40"/>
      <c r="M909" s="40"/>
      <c r="N909" s="40"/>
    </row>
    <row r="910" spans="1:14">
      <c r="A910" s="40"/>
      <c r="L910" s="40"/>
      <c r="M910" s="40"/>
      <c r="N910" s="40"/>
    </row>
    <row r="911" spans="1:14">
      <c r="A911" s="40"/>
      <c r="L911" s="40"/>
      <c r="M911" s="40"/>
      <c r="N911" s="40"/>
    </row>
    <row r="912" spans="1:14">
      <c r="A912" s="40"/>
      <c r="L912" s="40"/>
      <c r="M912" s="40"/>
      <c r="N912" s="40"/>
    </row>
    <row r="913" spans="1:14">
      <c r="A913" s="40"/>
      <c r="L913" s="40"/>
      <c r="M913" s="40"/>
      <c r="N913" s="40"/>
    </row>
    <row r="914" spans="1:14">
      <c r="A914" s="40"/>
      <c r="L914" s="40"/>
      <c r="M914" s="40"/>
      <c r="N914" s="40"/>
    </row>
    <row r="915" spans="1:14">
      <c r="A915" s="40"/>
      <c r="L915" s="40"/>
      <c r="M915" s="40"/>
      <c r="N915" s="40"/>
    </row>
    <row r="916" spans="1:14">
      <c r="A916" s="40"/>
      <c r="L916" s="40"/>
      <c r="M916" s="40"/>
      <c r="N916" s="40"/>
    </row>
    <row r="917" spans="1:14">
      <c r="A917" s="40"/>
      <c r="L917" s="40"/>
      <c r="M917" s="40"/>
      <c r="N917" s="40"/>
    </row>
    <row r="918" spans="1:14">
      <c r="A918" s="40"/>
      <c r="L918" s="40"/>
      <c r="M918" s="40"/>
      <c r="N918" s="40"/>
    </row>
    <row r="919" spans="1:14">
      <c r="A919" s="40"/>
      <c r="L919" s="40"/>
      <c r="M919" s="40"/>
      <c r="N919" s="40"/>
    </row>
    <row r="920" spans="1:14">
      <c r="A920" s="40"/>
      <c r="L920" s="40"/>
      <c r="M920" s="40"/>
      <c r="N920" s="40"/>
    </row>
    <row r="921" spans="1:14">
      <c r="A921" s="40"/>
      <c r="L921" s="40"/>
      <c r="M921" s="40"/>
      <c r="N921" s="40"/>
    </row>
    <row r="922" spans="1:14">
      <c r="A922" s="40"/>
      <c r="L922" s="40"/>
      <c r="M922" s="40"/>
      <c r="N922" s="40"/>
    </row>
    <row r="923" spans="1:14">
      <c r="A923" s="40"/>
      <c r="L923" s="40"/>
      <c r="M923" s="40"/>
      <c r="N923" s="40"/>
    </row>
    <row r="924" spans="1:14">
      <c r="A924" s="40"/>
      <c r="L924" s="40"/>
      <c r="M924" s="40"/>
      <c r="N924" s="40"/>
    </row>
    <row r="925" spans="1:14">
      <c r="A925" s="40"/>
      <c r="L925" s="40"/>
      <c r="M925" s="40"/>
      <c r="N925" s="40"/>
    </row>
    <row r="926" spans="1:14">
      <c r="A926" s="40"/>
      <c r="L926" s="40"/>
      <c r="M926" s="40"/>
      <c r="N926" s="40"/>
    </row>
    <row r="927" spans="1:14">
      <c r="A927" s="40"/>
      <c r="L927" s="40"/>
      <c r="M927" s="40"/>
      <c r="N927" s="40"/>
    </row>
    <row r="928" spans="1:14">
      <c r="A928" s="40"/>
      <c r="L928" s="40"/>
      <c r="M928" s="40"/>
      <c r="N928" s="40"/>
    </row>
    <row r="929" spans="1:14">
      <c r="A929" s="40"/>
      <c r="L929" s="40"/>
      <c r="M929" s="40"/>
      <c r="N929" s="40"/>
    </row>
    <row r="930" spans="1:14">
      <c r="A930" s="40"/>
      <c r="L930" s="40"/>
      <c r="M930" s="40"/>
      <c r="N930" s="40"/>
    </row>
    <row r="931" spans="1:14">
      <c r="A931" s="40"/>
      <c r="L931" s="40"/>
      <c r="M931" s="40"/>
      <c r="N931" s="40"/>
    </row>
    <row r="932" spans="1:14">
      <c r="A932" s="40"/>
      <c r="L932" s="40"/>
      <c r="M932" s="40"/>
      <c r="N932" s="40"/>
    </row>
    <row r="933" spans="1:14">
      <c r="A933" s="40"/>
      <c r="L933" s="40"/>
      <c r="M933" s="40"/>
      <c r="N933" s="40"/>
    </row>
    <row r="934" spans="1:14">
      <c r="A934" s="40"/>
      <c r="L934" s="40"/>
      <c r="M934" s="40"/>
      <c r="N934" s="40"/>
    </row>
    <row r="935" spans="1:14">
      <c r="A935" s="40"/>
      <c r="L935" s="40"/>
      <c r="M935" s="40"/>
      <c r="N935" s="40"/>
    </row>
    <row r="936" spans="1:14">
      <c r="A936" s="40"/>
      <c r="L936" s="40"/>
      <c r="M936" s="40"/>
      <c r="N936" s="40"/>
    </row>
    <row r="937" spans="1:14">
      <c r="A937" s="40"/>
      <c r="L937" s="40"/>
      <c r="M937" s="40"/>
      <c r="N937" s="40"/>
    </row>
    <row r="938" spans="1:14">
      <c r="A938" s="40"/>
      <c r="L938" s="40"/>
      <c r="M938" s="40"/>
      <c r="N938" s="40"/>
    </row>
    <row r="939" spans="1:14">
      <c r="A939" s="40"/>
      <c r="L939" s="40"/>
      <c r="M939" s="40"/>
      <c r="N939" s="40"/>
    </row>
    <row r="940" spans="1:14">
      <c r="A940" s="40"/>
      <c r="L940" s="40"/>
      <c r="M940" s="40"/>
      <c r="N940" s="40"/>
    </row>
    <row r="941" spans="1:14">
      <c r="A941" s="40"/>
      <c r="L941" s="40"/>
      <c r="M941" s="40"/>
      <c r="N941" s="40"/>
    </row>
    <row r="942" spans="1:14">
      <c r="A942" s="40"/>
      <c r="L942" s="40"/>
      <c r="M942" s="40"/>
      <c r="N942" s="40"/>
    </row>
    <row r="943" spans="1:14">
      <c r="A943" s="40"/>
      <c r="L943" s="40"/>
      <c r="M943" s="40"/>
      <c r="N943" s="40"/>
    </row>
    <row r="944" spans="1:14">
      <c r="A944" s="40"/>
      <c r="L944" s="40"/>
      <c r="M944" s="40"/>
      <c r="N944" s="40"/>
    </row>
    <row r="945" spans="1:14">
      <c r="A945" s="40"/>
      <c r="L945" s="40"/>
      <c r="M945" s="40"/>
      <c r="N945" s="40"/>
    </row>
    <row r="946" spans="1:14">
      <c r="A946" s="40"/>
      <c r="L946" s="40"/>
      <c r="M946" s="40"/>
      <c r="N946" s="40"/>
    </row>
    <row r="947" spans="1:14">
      <c r="A947" s="40"/>
      <c r="L947" s="40"/>
      <c r="M947" s="40"/>
      <c r="N947" s="40"/>
    </row>
    <row r="948" spans="1:14">
      <c r="A948" s="40"/>
      <c r="L948" s="40"/>
      <c r="M948" s="40"/>
      <c r="N948" s="40"/>
    </row>
    <row r="949" spans="1:14">
      <c r="A949" s="40"/>
      <c r="L949" s="40"/>
      <c r="M949" s="40"/>
      <c r="N949" s="40"/>
    </row>
    <row r="950" spans="1:14">
      <c r="A950" s="40"/>
      <c r="L950" s="40"/>
      <c r="M950" s="40"/>
      <c r="N950" s="40"/>
    </row>
    <row r="951" spans="1:14">
      <c r="A951" s="40"/>
      <c r="L951" s="40"/>
      <c r="M951" s="40"/>
      <c r="N951" s="40"/>
    </row>
    <row r="952" spans="1:14">
      <c r="A952" s="40"/>
      <c r="L952" s="40"/>
      <c r="M952" s="40"/>
      <c r="N952" s="40"/>
    </row>
    <row r="953" spans="1:14">
      <c r="A953" s="40"/>
      <c r="L953" s="40"/>
      <c r="M953" s="40"/>
      <c r="N953" s="40"/>
    </row>
    <row r="954" spans="1:14">
      <c r="A954" s="40"/>
      <c r="L954" s="40"/>
      <c r="M954" s="40"/>
      <c r="N954" s="40"/>
    </row>
    <row r="955" spans="1:14">
      <c r="A955" s="40"/>
      <c r="L955" s="40"/>
      <c r="M955" s="40"/>
      <c r="N955" s="40"/>
    </row>
    <row r="956" spans="1:14">
      <c r="A956" s="40"/>
      <c r="L956" s="40"/>
      <c r="M956" s="40"/>
      <c r="N956" s="40"/>
    </row>
    <row r="957" spans="1:14">
      <c r="A957" s="40"/>
      <c r="L957" s="40"/>
      <c r="M957" s="40"/>
      <c r="N957" s="40"/>
    </row>
    <row r="958" spans="1:14">
      <c r="A958" s="40"/>
      <c r="L958" s="40"/>
      <c r="M958" s="40"/>
      <c r="N958" s="40"/>
    </row>
    <row r="959" spans="1:14">
      <c r="A959" s="40"/>
      <c r="L959" s="40"/>
      <c r="M959" s="40"/>
      <c r="N959" s="40"/>
    </row>
    <row r="960" spans="1:14">
      <c r="A960" s="40"/>
      <c r="L960" s="40"/>
      <c r="M960" s="40"/>
      <c r="N960" s="40"/>
    </row>
    <row r="961" spans="1:14">
      <c r="A961" s="40"/>
      <c r="L961" s="40"/>
      <c r="M961" s="40"/>
      <c r="N961" s="40"/>
    </row>
    <row r="962" spans="1:14">
      <c r="A962" s="40"/>
      <c r="L962" s="40"/>
      <c r="M962" s="40"/>
      <c r="N962" s="40"/>
    </row>
    <row r="963" spans="1:14">
      <c r="A963" s="40"/>
      <c r="L963" s="40"/>
      <c r="M963" s="40"/>
      <c r="N963" s="40"/>
    </row>
    <row r="964" spans="1:14">
      <c r="A964" s="40"/>
      <c r="L964" s="40"/>
      <c r="M964" s="40"/>
      <c r="N964" s="40"/>
    </row>
    <row r="965" spans="1:14">
      <c r="A965" s="40"/>
      <c r="L965" s="40"/>
      <c r="M965" s="40"/>
      <c r="N965" s="40"/>
    </row>
    <row r="966" spans="1:14">
      <c r="A966" s="40"/>
      <c r="L966" s="40"/>
      <c r="M966" s="40"/>
      <c r="N966" s="40"/>
    </row>
    <row r="967" spans="1:14">
      <c r="A967" s="40"/>
      <c r="L967" s="40"/>
      <c r="M967" s="40"/>
      <c r="N967" s="40"/>
    </row>
    <row r="968" spans="1:14">
      <c r="A968" s="40"/>
      <c r="L968" s="40"/>
      <c r="M968" s="40"/>
      <c r="N968" s="40"/>
    </row>
    <row r="969" spans="1:14">
      <c r="A969" s="40"/>
      <c r="L969" s="40"/>
      <c r="M969" s="40"/>
      <c r="N969" s="40"/>
    </row>
    <row r="970" spans="1:14">
      <c r="A970" s="40"/>
      <c r="L970" s="40"/>
      <c r="M970" s="40"/>
      <c r="N970" s="40"/>
    </row>
    <row r="971" spans="1:14">
      <c r="A971" s="40"/>
      <c r="L971" s="40"/>
      <c r="M971" s="40"/>
      <c r="N971" s="40"/>
    </row>
    <row r="972" spans="1:14">
      <c r="A972" s="40"/>
      <c r="L972" s="40"/>
      <c r="M972" s="40"/>
      <c r="N972" s="40"/>
    </row>
    <row r="973" spans="1:14">
      <c r="A973" s="40"/>
      <c r="L973" s="40"/>
      <c r="M973" s="40"/>
      <c r="N973" s="40"/>
    </row>
    <row r="974" spans="1:14">
      <c r="A974" s="40"/>
      <c r="L974" s="40"/>
      <c r="M974" s="40"/>
      <c r="N974" s="40"/>
    </row>
    <row r="975" spans="1:14">
      <c r="A975" s="40"/>
      <c r="L975" s="40"/>
      <c r="M975" s="40"/>
      <c r="N975" s="40"/>
    </row>
    <row r="976" spans="1:14">
      <c r="A976" s="40"/>
      <c r="L976" s="40"/>
      <c r="M976" s="40"/>
      <c r="N976" s="40"/>
    </row>
    <row r="977" spans="1:14">
      <c r="A977" s="40"/>
      <c r="L977" s="40"/>
      <c r="M977" s="40"/>
      <c r="N977" s="40"/>
    </row>
    <row r="978" spans="1:14">
      <c r="A978" s="40"/>
      <c r="L978" s="40"/>
      <c r="M978" s="40"/>
      <c r="N978" s="40"/>
    </row>
    <row r="979" spans="1:14">
      <c r="A979" s="40"/>
      <c r="L979" s="40"/>
      <c r="M979" s="40"/>
      <c r="N979" s="40"/>
    </row>
    <row r="980" spans="1:14">
      <c r="A980" s="40"/>
      <c r="L980" s="40"/>
      <c r="M980" s="40"/>
      <c r="N980" s="40"/>
    </row>
    <row r="981" spans="1:14">
      <c r="A981" s="40"/>
      <c r="L981" s="40"/>
      <c r="M981" s="40"/>
      <c r="N981" s="40"/>
    </row>
    <row r="982" spans="1:14">
      <c r="A982" s="40"/>
      <c r="L982" s="40"/>
      <c r="M982" s="40"/>
      <c r="N982" s="40"/>
    </row>
    <row r="983" spans="1:14">
      <c r="A983" s="40"/>
      <c r="L983" s="40"/>
      <c r="M983" s="40"/>
      <c r="N983" s="40"/>
    </row>
    <row r="984" spans="1:14">
      <c r="A984" s="40"/>
      <c r="L984" s="40"/>
      <c r="M984" s="40"/>
      <c r="N984" s="40"/>
    </row>
    <row r="985" spans="1:14">
      <c r="A985" s="40"/>
      <c r="L985" s="40"/>
      <c r="M985" s="40"/>
      <c r="N985" s="40"/>
    </row>
    <row r="986" spans="1:14">
      <c r="A986" s="40"/>
      <c r="L986" s="40"/>
      <c r="M986" s="40"/>
      <c r="N986" s="40"/>
    </row>
    <row r="987" spans="1:14">
      <c r="A987" s="40"/>
      <c r="L987" s="40"/>
      <c r="M987" s="40"/>
      <c r="N987" s="40"/>
    </row>
    <row r="988" spans="1:14">
      <c r="A988" s="40"/>
      <c r="L988" s="40"/>
      <c r="M988" s="40"/>
      <c r="N988" s="40"/>
    </row>
    <row r="989" spans="1:14">
      <c r="A989" s="40"/>
      <c r="L989" s="40"/>
      <c r="M989" s="40"/>
      <c r="N989" s="40"/>
    </row>
    <row r="990" spans="1:14">
      <c r="A990" s="40"/>
      <c r="L990" s="40"/>
      <c r="M990" s="40"/>
      <c r="N990" s="40"/>
    </row>
    <row r="991" spans="1:14">
      <c r="A991" s="40"/>
      <c r="L991" s="40"/>
      <c r="M991" s="40"/>
      <c r="N991" s="40"/>
    </row>
    <row r="992" spans="1:14">
      <c r="A992" s="40"/>
      <c r="L992" s="40"/>
      <c r="M992" s="40"/>
      <c r="N992" s="40"/>
    </row>
    <row r="993" spans="1:14">
      <c r="A993" s="40"/>
      <c r="L993" s="40"/>
      <c r="M993" s="40"/>
      <c r="N993" s="40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2.42578125" customWidth="1"/>
    <col min="2" max="2" width="15.42578125" customWidth="1"/>
  </cols>
  <sheetData>
    <row r="1" spans="1:28">
      <c r="A1" s="66" t="s">
        <v>103</v>
      </c>
      <c r="B1" s="50" t="s">
        <v>653</v>
      </c>
      <c r="C1" s="50" t="s">
        <v>654</v>
      </c>
      <c r="D1" s="50" t="s">
        <v>655</v>
      </c>
      <c r="E1" s="50" t="s">
        <v>656</v>
      </c>
      <c r="F1" s="50" t="s">
        <v>657</v>
      </c>
      <c r="G1" s="50" t="s">
        <v>658</v>
      </c>
      <c r="H1" s="50" t="s">
        <v>659</v>
      </c>
      <c r="I1" s="50" t="s">
        <v>58</v>
      </c>
      <c r="J1" s="50" t="s">
        <v>660</v>
      </c>
      <c r="K1" s="51" t="s">
        <v>661</v>
      </c>
      <c r="L1" s="51" t="s">
        <v>662</v>
      </c>
      <c r="M1" s="51" t="s">
        <v>663</v>
      </c>
      <c r="N1" s="51" t="s">
        <v>664</v>
      </c>
      <c r="O1" s="51" t="s">
        <v>665</v>
      </c>
      <c r="P1" s="51" t="s">
        <v>666</v>
      </c>
      <c r="Q1" s="51" t="s">
        <v>667</v>
      </c>
      <c r="R1" s="51" t="s">
        <v>668</v>
      </c>
      <c r="S1" s="51" t="s">
        <v>669</v>
      </c>
      <c r="T1" s="51" t="s">
        <v>670</v>
      </c>
      <c r="U1" s="51" t="s">
        <v>671</v>
      </c>
      <c r="V1" s="52"/>
      <c r="W1" s="52"/>
      <c r="X1" s="52"/>
      <c r="Y1" s="52"/>
      <c r="Z1" s="52"/>
      <c r="AA1" s="52"/>
      <c r="AB1" s="52"/>
    </row>
    <row r="2" spans="1:28">
      <c r="A2" s="59"/>
      <c r="B2" s="50" t="s">
        <v>16</v>
      </c>
      <c r="C2" s="50" t="s">
        <v>15</v>
      </c>
      <c r="D2" s="50" t="s">
        <v>16</v>
      </c>
      <c r="E2" s="50" t="s">
        <v>15</v>
      </c>
      <c r="F2" s="50" t="s">
        <v>672</v>
      </c>
      <c r="G2" s="50" t="s">
        <v>15</v>
      </c>
      <c r="H2" s="50" t="s">
        <v>15</v>
      </c>
      <c r="I2" s="50" t="s">
        <v>15</v>
      </c>
      <c r="J2" s="50" t="s">
        <v>672</v>
      </c>
      <c r="K2" s="51" t="s">
        <v>14</v>
      </c>
      <c r="L2" s="51" t="s">
        <v>672</v>
      </c>
      <c r="M2" s="51" t="s">
        <v>15</v>
      </c>
      <c r="N2" s="51" t="s">
        <v>15</v>
      </c>
      <c r="O2" s="53" t="s">
        <v>15</v>
      </c>
      <c r="P2" s="53" t="s">
        <v>15</v>
      </c>
      <c r="Q2" s="51" t="s">
        <v>15</v>
      </c>
      <c r="R2" s="51" t="s">
        <v>15</v>
      </c>
      <c r="S2" s="51" t="s">
        <v>15</v>
      </c>
      <c r="T2" s="51" t="s">
        <v>16</v>
      </c>
      <c r="U2" s="51" t="s">
        <v>15</v>
      </c>
      <c r="V2" s="52"/>
      <c r="W2" s="52"/>
      <c r="X2" s="52"/>
      <c r="Y2" s="52"/>
      <c r="Z2" s="52"/>
      <c r="AA2" s="52"/>
      <c r="AB2" s="52"/>
    </row>
    <row r="3" spans="1:28">
      <c r="A3" s="41" t="s">
        <v>22</v>
      </c>
      <c r="F3" s="41">
        <v>60</v>
      </c>
      <c r="I3" s="41">
        <v>40</v>
      </c>
      <c r="O3" s="41">
        <v>24</v>
      </c>
      <c r="Q3" s="41">
        <v>50</v>
      </c>
      <c r="T3" s="41">
        <v>12</v>
      </c>
      <c r="U3" s="41">
        <v>48</v>
      </c>
    </row>
    <row r="4" spans="1:28">
      <c r="A4" s="41" t="s">
        <v>489</v>
      </c>
      <c r="D4" s="41">
        <v>20</v>
      </c>
      <c r="I4" s="41">
        <v>50</v>
      </c>
    </row>
    <row r="5" spans="1:28">
      <c r="A5" s="41" t="s">
        <v>23</v>
      </c>
      <c r="D5" s="41">
        <v>25</v>
      </c>
      <c r="Q5" s="41">
        <v>40</v>
      </c>
    </row>
    <row r="6" spans="1:28">
      <c r="A6" s="41" t="s">
        <v>108</v>
      </c>
      <c r="F6" s="41">
        <v>40</v>
      </c>
      <c r="M6" s="41">
        <v>48</v>
      </c>
      <c r="O6" s="41">
        <v>24</v>
      </c>
      <c r="Q6" s="41">
        <v>30</v>
      </c>
    </row>
    <row r="7" spans="1:28">
      <c r="A7" s="41" t="s">
        <v>168</v>
      </c>
      <c r="Q7" s="41">
        <v>40</v>
      </c>
    </row>
    <row r="8" spans="1:28">
      <c r="A8" s="41" t="s">
        <v>113</v>
      </c>
      <c r="Q8" s="41">
        <v>40</v>
      </c>
    </row>
    <row r="9" spans="1:28">
      <c r="A9" s="41" t="s">
        <v>24</v>
      </c>
      <c r="Q9" s="41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2.5703125" defaultRowHeight="15.75" customHeight="1"/>
  <cols>
    <col min="1" max="1" width="16" customWidth="1"/>
  </cols>
  <sheetData>
    <row r="1" spans="1:13">
      <c r="A1" s="67" t="s">
        <v>103</v>
      </c>
      <c r="B1" s="54" t="s">
        <v>673</v>
      </c>
      <c r="C1" s="54" t="s">
        <v>674</v>
      </c>
      <c r="D1" s="54" t="s">
        <v>675</v>
      </c>
      <c r="E1" s="54" t="s">
        <v>676</v>
      </c>
      <c r="F1" s="54" t="s">
        <v>677</v>
      </c>
      <c r="G1" s="54" t="s">
        <v>678</v>
      </c>
      <c r="H1" s="54" t="s">
        <v>679</v>
      </c>
      <c r="I1" s="54" t="s">
        <v>680</v>
      </c>
      <c r="J1" s="54" t="s">
        <v>681</v>
      </c>
      <c r="K1" s="54" t="s">
        <v>682</v>
      </c>
      <c r="L1" s="54" t="s">
        <v>683</v>
      </c>
      <c r="M1" s="54" t="s">
        <v>684</v>
      </c>
    </row>
    <row r="2" spans="1:13">
      <c r="A2" s="59"/>
      <c r="B2" s="55">
        <v>44713</v>
      </c>
      <c r="C2" s="55">
        <v>44835</v>
      </c>
      <c r="D2" s="55">
        <v>44805</v>
      </c>
      <c r="E2" s="55">
        <v>44835</v>
      </c>
      <c r="F2" s="55">
        <v>44835</v>
      </c>
      <c r="G2" s="55">
        <v>44866</v>
      </c>
      <c r="H2" s="55">
        <v>44896</v>
      </c>
      <c r="I2" s="55">
        <v>44896</v>
      </c>
      <c r="J2" s="55">
        <v>44866</v>
      </c>
      <c r="K2" s="55">
        <v>44896</v>
      </c>
      <c r="L2" s="55">
        <v>44927</v>
      </c>
      <c r="M2" s="55">
        <v>44958</v>
      </c>
    </row>
    <row r="3" spans="1:13">
      <c r="A3" s="59"/>
      <c r="B3" s="28" t="s">
        <v>652</v>
      </c>
      <c r="C3" s="28" t="s">
        <v>652</v>
      </c>
      <c r="D3" s="28" t="s">
        <v>652</v>
      </c>
      <c r="E3" s="28" t="s">
        <v>652</v>
      </c>
      <c r="F3" s="28" t="s">
        <v>652</v>
      </c>
      <c r="G3" s="28" t="s">
        <v>652</v>
      </c>
      <c r="H3" s="28" t="s">
        <v>652</v>
      </c>
      <c r="I3" s="28" t="s">
        <v>652</v>
      </c>
      <c r="J3" s="28" t="s">
        <v>652</v>
      </c>
      <c r="K3" s="28" t="s">
        <v>652</v>
      </c>
      <c r="L3" s="28" t="s">
        <v>685</v>
      </c>
      <c r="M3" s="28" t="s">
        <v>652</v>
      </c>
    </row>
    <row r="4" spans="1:13">
      <c r="A4" s="39" t="s">
        <v>22</v>
      </c>
      <c r="B4" s="38">
        <v>18</v>
      </c>
      <c r="C4" s="38">
        <v>18</v>
      </c>
      <c r="D4" s="38">
        <v>18</v>
      </c>
      <c r="E4" s="38">
        <v>20</v>
      </c>
      <c r="F4" s="38">
        <v>0</v>
      </c>
      <c r="G4" s="38">
        <v>20</v>
      </c>
      <c r="H4" s="38">
        <v>20</v>
      </c>
      <c r="I4" s="38">
        <v>20</v>
      </c>
      <c r="J4" s="38">
        <v>0</v>
      </c>
      <c r="K4" s="38">
        <v>0</v>
      </c>
      <c r="L4" s="40"/>
      <c r="M4" s="40"/>
    </row>
    <row r="5" spans="1:13">
      <c r="A5" s="39" t="s">
        <v>111</v>
      </c>
      <c r="B5" s="38">
        <v>18</v>
      </c>
      <c r="C5" s="38">
        <v>18</v>
      </c>
      <c r="D5" s="38">
        <v>18</v>
      </c>
      <c r="E5" s="38">
        <v>20</v>
      </c>
      <c r="F5" s="38">
        <v>18</v>
      </c>
      <c r="G5" s="38">
        <v>20</v>
      </c>
      <c r="H5" s="38">
        <v>20</v>
      </c>
      <c r="I5" s="38">
        <v>0</v>
      </c>
      <c r="J5" s="38">
        <v>12</v>
      </c>
      <c r="K5" s="38">
        <v>12</v>
      </c>
      <c r="L5" s="40"/>
      <c r="M5" s="40">
        <v>14</v>
      </c>
    </row>
    <row r="6" spans="1:13">
      <c r="A6" s="39" t="s">
        <v>23</v>
      </c>
      <c r="B6" s="38">
        <v>14</v>
      </c>
      <c r="C6" s="38">
        <v>20</v>
      </c>
      <c r="D6" s="38">
        <v>20</v>
      </c>
      <c r="E6" s="38">
        <v>14</v>
      </c>
      <c r="F6" s="38">
        <v>0</v>
      </c>
      <c r="G6" s="38">
        <v>0</v>
      </c>
      <c r="H6" s="38">
        <v>0</v>
      </c>
      <c r="I6" s="38">
        <v>18</v>
      </c>
      <c r="J6" s="38">
        <v>14</v>
      </c>
      <c r="K6" s="38">
        <v>20</v>
      </c>
      <c r="L6" s="40"/>
      <c r="M6" s="40">
        <v>14</v>
      </c>
    </row>
    <row r="7" spans="1:13">
      <c r="A7" s="39" t="s">
        <v>686</v>
      </c>
      <c r="B7" s="38">
        <v>20</v>
      </c>
      <c r="C7" s="38">
        <v>20</v>
      </c>
      <c r="D7" s="38">
        <v>20</v>
      </c>
      <c r="E7" s="38">
        <v>12</v>
      </c>
      <c r="F7" s="38">
        <v>0</v>
      </c>
      <c r="G7" s="38">
        <v>0</v>
      </c>
      <c r="H7" s="38">
        <v>0</v>
      </c>
      <c r="I7" s="38">
        <v>0</v>
      </c>
      <c r="J7" s="38">
        <v>20</v>
      </c>
      <c r="K7" s="38">
        <v>16</v>
      </c>
      <c r="L7" s="40"/>
      <c r="M7" s="40">
        <v>18</v>
      </c>
    </row>
    <row r="8" spans="1:13">
      <c r="A8" s="39" t="s">
        <v>168</v>
      </c>
      <c r="B8" s="38">
        <v>16</v>
      </c>
      <c r="C8" s="38">
        <v>0</v>
      </c>
      <c r="D8" s="38">
        <v>0</v>
      </c>
      <c r="E8" s="38">
        <v>16</v>
      </c>
      <c r="F8" s="38">
        <v>20</v>
      </c>
      <c r="G8" s="38">
        <v>0</v>
      </c>
      <c r="H8" s="38">
        <v>0</v>
      </c>
      <c r="I8" s="38">
        <v>14</v>
      </c>
      <c r="J8" s="38">
        <v>16</v>
      </c>
      <c r="K8" s="38">
        <v>18</v>
      </c>
      <c r="L8" s="40">
        <v>8</v>
      </c>
      <c r="M8" s="40">
        <v>20</v>
      </c>
    </row>
    <row r="9" spans="1:13">
      <c r="A9" s="39" t="s">
        <v>297</v>
      </c>
      <c r="B9" s="38">
        <v>10</v>
      </c>
      <c r="C9" s="38">
        <v>16</v>
      </c>
      <c r="D9" s="38">
        <v>12</v>
      </c>
      <c r="E9" s="38">
        <v>12</v>
      </c>
      <c r="F9" s="38">
        <v>16</v>
      </c>
      <c r="G9" s="38">
        <v>18</v>
      </c>
      <c r="H9" s="38">
        <v>16</v>
      </c>
      <c r="I9" s="38">
        <v>0</v>
      </c>
      <c r="J9" s="38">
        <v>12</v>
      </c>
      <c r="K9" s="38">
        <v>14</v>
      </c>
      <c r="L9" s="40"/>
      <c r="M9" s="40">
        <v>12</v>
      </c>
    </row>
    <row r="10" spans="1:13">
      <c r="A10" s="39" t="s">
        <v>108</v>
      </c>
      <c r="B10" s="38">
        <v>12</v>
      </c>
      <c r="C10" s="38">
        <v>12</v>
      </c>
      <c r="D10" s="38">
        <v>12</v>
      </c>
      <c r="E10" s="38">
        <v>10</v>
      </c>
      <c r="F10" s="38">
        <v>16</v>
      </c>
      <c r="G10" s="38">
        <v>18</v>
      </c>
      <c r="H10" s="38">
        <v>0</v>
      </c>
      <c r="I10" s="38">
        <v>12</v>
      </c>
      <c r="J10" s="38">
        <v>12</v>
      </c>
      <c r="K10" s="38">
        <v>14</v>
      </c>
      <c r="L10" s="40">
        <v>6</v>
      </c>
      <c r="M10" s="40">
        <v>12</v>
      </c>
    </row>
    <row r="11" spans="1:13">
      <c r="A11" s="39" t="s">
        <v>137</v>
      </c>
      <c r="B11" s="38">
        <v>16</v>
      </c>
      <c r="C11" s="38">
        <v>0</v>
      </c>
      <c r="D11" s="38">
        <v>0</v>
      </c>
      <c r="E11" s="38">
        <v>16</v>
      </c>
      <c r="F11" s="38">
        <v>20</v>
      </c>
      <c r="G11" s="38">
        <v>0</v>
      </c>
      <c r="H11" s="38">
        <v>0</v>
      </c>
      <c r="I11" s="38">
        <v>0</v>
      </c>
      <c r="J11" s="38">
        <v>16</v>
      </c>
      <c r="K11" s="38">
        <v>18</v>
      </c>
      <c r="L11" s="40">
        <v>9</v>
      </c>
      <c r="M11" s="40">
        <v>20</v>
      </c>
    </row>
    <row r="12" spans="1:13">
      <c r="A12" s="39" t="s">
        <v>113</v>
      </c>
      <c r="B12" s="38">
        <v>0</v>
      </c>
      <c r="C12" s="38">
        <v>16</v>
      </c>
      <c r="D12" s="38">
        <v>12</v>
      </c>
      <c r="E12" s="38">
        <v>12</v>
      </c>
      <c r="F12" s="38">
        <v>12</v>
      </c>
      <c r="G12" s="38">
        <v>16</v>
      </c>
      <c r="H12" s="38">
        <v>16</v>
      </c>
      <c r="I12" s="38">
        <v>12</v>
      </c>
      <c r="J12" s="38">
        <v>12</v>
      </c>
      <c r="K12" s="38">
        <v>12</v>
      </c>
      <c r="L12" s="40">
        <v>8</v>
      </c>
      <c r="M12" s="40">
        <v>12</v>
      </c>
    </row>
    <row r="13" spans="1:13">
      <c r="A13" s="39" t="s">
        <v>158</v>
      </c>
      <c r="B13" s="38">
        <v>12</v>
      </c>
      <c r="C13" s="38">
        <v>12</v>
      </c>
      <c r="D13" s="38">
        <v>12</v>
      </c>
      <c r="E13" s="38">
        <v>0</v>
      </c>
      <c r="F13" s="38">
        <v>14</v>
      </c>
      <c r="G13" s="38">
        <v>12</v>
      </c>
      <c r="H13" s="38">
        <v>0</v>
      </c>
      <c r="I13" s="38">
        <v>0</v>
      </c>
      <c r="J13" s="38">
        <v>12</v>
      </c>
      <c r="K13" s="38">
        <v>12</v>
      </c>
      <c r="L13" s="40"/>
      <c r="M13" s="40"/>
    </row>
    <row r="14" spans="1:13">
      <c r="A14" s="39" t="s">
        <v>489</v>
      </c>
      <c r="B14" s="38">
        <v>12</v>
      </c>
      <c r="C14" s="38">
        <v>0</v>
      </c>
      <c r="D14" s="38">
        <v>0</v>
      </c>
      <c r="E14" s="38">
        <v>12</v>
      </c>
      <c r="F14" s="38">
        <v>0</v>
      </c>
      <c r="G14" s="38">
        <v>0</v>
      </c>
      <c r="H14" s="38">
        <v>12</v>
      </c>
      <c r="I14" s="38">
        <v>0</v>
      </c>
      <c r="J14" s="38">
        <v>20</v>
      </c>
      <c r="K14" s="38">
        <v>16</v>
      </c>
      <c r="L14" s="40"/>
      <c r="M14" s="40"/>
    </row>
    <row r="15" spans="1:13">
      <c r="A15" s="39" t="s">
        <v>196</v>
      </c>
      <c r="B15" s="38">
        <v>10</v>
      </c>
      <c r="C15" s="38">
        <v>10</v>
      </c>
      <c r="D15" s="38">
        <v>10</v>
      </c>
      <c r="E15" s="38">
        <v>0</v>
      </c>
      <c r="F15" s="38">
        <v>12</v>
      </c>
      <c r="G15" s="38">
        <v>12</v>
      </c>
      <c r="H15" s="38">
        <v>0</v>
      </c>
      <c r="I15" s="38">
        <v>12</v>
      </c>
      <c r="J15" s="38">
        <v>10</v>
      </c>
      <c r="K15" s="38">
        <v>12</v>
      </c>
      <c r="L15" s="40"/>
      <c r="M15" s="40">
        <v>10</v>
      </c>
    </row>
    <row r="16" spans="1:13">
      <c r="A16" s="39" t="s">
        <v>24</v>
      </c>
      <c r="B16" s="38">
        <v>10</v>
      </c>
      <c r="C16" s="38">
        <v>10</v>
      </c>
      <c r="D16" s="38">
        <v>10</v>
      </c>
      <c r="E16" s="38">
        <v>0</v>
      </c>
      <c r="F16" s="38">
        <v>0</v>
      </c>
      <c r="G16" s="38">
        <v>12</v>
      </c>
      <c r="H16" s="38">
        <v>12</v>
      </c>
      <c r="I16" s="38">
        <v>12</v>
      </c>
      <c r="J16" s="38">
        <v>10</v>
      </c>
      <c r="K16" s="38">
        <v>12</v>
      </c>
      <c r="L16" s="40"/>
      <c r="M16" s="40">
        <v>10</v>
      </c>
    </row>
    <row r="17" spans="1:13">
      <c r="A17" s="39" t="s">
        <v>121</v>
      </c>
      <c r="B17" s="38">
        <v>0</v>
      </c>
      <c r="C17" s="38">
        <v>0</v>
      </c>
      <c r="D17" s="38">
        <v>0</v>
      </c>
      <c r="E17" s="38">
        <v>14</v>
      </c>
      <c r="F17" s="38">
        <v>0</v>
      </c>
      <c r="G17" s="38">
        <v>0</v>
      </c>
      <c r="H17" s="38">
        <v>0</v>
      </c>
      <c r="I17" s="38">
        <v>18</v>
      </c>
      <c r="J17" s="38">
        <v>14</v>
      </c>
      <c r="K17" s="38">
        <v>20</v>
      </c>
      <c r="L17" s="40"/>
      <c r="M17" s="40"/>
    </row>
    <row r="18" spans="1:13">
      <c r="A18" s="39" t="s">
        <v>300</v>
      </c>
      <c r="B18" s="38">
        <v>0</v>
      </c>
      <c r="C18" s="38">
        <v>12</v>
      </c>
      <c r="D18" s="38">
        <v>12</v>
      </c>
      <c r="E18" s="38">
        <v>10</v>
      </c>
      <c r="F18" s="38">
        <v>12</v>
      </c>
      <c r="G18" s="38">
        <v>0</v>
      </c>
      <c r="H18" s="38">
        <v>12</v>
      </c>
      <c r="I18" s="38">
        <v>0</v>
      </c>
      <c r="J18" s="38">
        <v>0</v>
      </c>
      <c r="K18" s="38">
        <v>0</v>
      </c>
      <c r="L18" s="40"/>
      <c r="M18" s="40"/>
    </row>
    <row r="19" spans="1:13">
      <c r="A19" s="39" t="s">
        <v>126</v>
      </c>
      <c r="B19" s="38">
        <v>14</v>
      </c>
      <c r="C19" s="38">
        <v>0</v>
      </c>
      <c r="D19" s="38">
        <v>16</v>
      </c>
      <c r="E19" s="38">
        <v>12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40"/>
      <c r="M19" s="40"/>
    </row>
    <row r="20" spans="1:13">
      <c r="A20" s="39" t="s">
        <v>298</v>
      </c>
      <c r="B20" s="38">
        <v>12</v>
      </c>
      <c r="C20" s="38">
        <v>0</v>
      </c>
      <c r="D20" s="38">
        <v>16</v>
      </c>
      <c r="E20" s="38">
        <v>12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40"/>
      <c r="M20" s="40"/>
    </row>
    <row r="21" spans="1:13">
      <c r="A21" s="39" t="s">
        <v>124</v>
      </c>
      <c r="B21" s="38">
        <v>0</v>
      </c>
      <c r="C21" s="38">
        <v>12</v>
      </c>
      <c r="D21" s="38">
        <v>0</v>
      </c>
      <c r="E21" s="38">
        <v>10</v>
      </c>
      <c r="F21" s="38">
        <v>18</v>
      </c>
      <c r="G21" s="38">
        <v>0</v>
      </c>
      <c r="H21" s="38">
        <v>14</v>
      </c>
      <c r="I21" s="38">
        <v>0</v>
      </c>
      <c r="J21" s="38">
        <v>0</v>
      </c>
      <c r="K21" s="38">
        <v>0</v>
      </c>
      <c r="L21" s="40"/>
      <c r="M21" s="40"/>
    </row>
    <row r="22" spans="1:13">
      <c r="A22" s="39" t="s">
        <v>192</v>
      </c>
      <c r="B22" s="38">
        <v>0</v>
      </c>
      <c r="C22" s="38">
        <v>0</v>
      </c>
      <c r="D22" s="38">
        <v>0</v>
      </c>
      <c r="E22" s="38">
        <v>10</v>
      </c>
      <c r="F22" s="38">
        <v>10</v>
      </c>
      <c r="G22" s="38">
        <v>0</v>
      </c>
      <c r="H22" s="38">
        <v>12</v>
      </c>
      <c r="I22" s="38">
        <v>0</v>
      </c>
      <c r="J22" s="38">
        <v>0</v>
      </c>
      <c r="K22" s="38">
        <v>10</v>
      </c>
      <c r="L22" s="40">
        <v>5</v>
      </c>
      <c r="M22" s="40">
        <v>12</v>
      </c>
    </row>
    <row r="23" spans="1:13">
      <c r="A23" s="39" t="s">
        <v>115</v>
      </c>
      <c r="B23" s="38">
        <v>0</v>
      </c>
      <c r="C23" s="38">
        <v>0</v>
      </c>
      <c r="D23" s="38">
        <v>0</v>
      </c>
      <c r="E23" s="38">
        <v>0</v>
      </c>
      <c r="F23" s="38">
        <v>12</v>
      </c>
      <c r="G23" s="38">
        <v>16</v>
      </c>
      <c r="H23" s="38">
        <v>0</v>
      </c>
      <c r="I23" s="38">
        <v>12</v>
      </c>
      <c r="J23" s="38">
        <v>0</v>
      </c>
      <c r="K23" s="38">
        <v>12</v>
      </c>
      <c r="L23" s="40">
        <v>6</v>
      </c>
      <c r="M23" s="40">
        <v>12</v>
      </c>
    </row>
    <row r="24" spans="1:13">
      <c r="A24" s="39" t="s">
        <v>687</v>
      </c>
      <c r="B24" s="38">
        <v>20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40"/>
      <c r="M24" s="40"/>
    </row>
    <row r="25" spans="1:13">
      <c r="A25" s="39" t="s">
        <v>326</v>
      </c>
      <c r="B25" s="38">
        <v>10</v>
      </c>
      <c r="C25" s="38">
        <v>0</v>
      </c>
      <c r="D25" s="38">
        <v>0</v>
      </c>
      <c r="E25" s="38">
        <v>0</v>
      </c>
      <c r="F25" s="38">
        <v>14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40"/>
      <c r="M25" s="40"/>
    </row>
    <row r="26" spans="1:13">
      <c r="A26" s="39" t="s">
        <v>332</v>
      </c>
      <c r="B26" s="38">
        <v>0</v>
      </c>
      <c r="C26" s="38">
        <v>0</v>
      </c>
      <c r="D26" s="38">
        <v>0</v>
      </c>
      <c r="E26" s="38">
        <v>10</v>
      </c>
      <c r="F26" s="38">
        <v>12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  <c r="L26" s="40"/>
      <c r="M26" s="40"/>
    </row>
    <row r="27" spans="1:13">
      <c r="A27" s="39" t="s">
        <v>377</v>
      </c>
      <c r="B27" s="38">
        <v>10</v>
      </c>
      <c r="C27" s="38">
        <v>0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40"/>
      <c r="M27" s="40"/>
    </row>
    <row r="28" spans="1:13">
      <c r="A28" s="39" t="s">
        <v>331</v>
      </c>
      <c r="B28" s="38">
        <v>10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40"/>
      <c r="M28" s="40"/>
    </row>
    <row r="29" spans="1:13">
      <c r="A29" s="39" t="s">
        <v>316</v>
      </c>
      <c r="B29" s="38">
        <v>10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40"/>
      <c r="M29" s="40"/>
    </row>
    <row r="30" spans="1:13">
      <c r="A30" s="39" t="s">
        <v>346</v>
      </c>
      <c r="B30" s="38">
        <v>10</v>
      </c>
      <c r="C30" s="38">
        <v>0</v>
      </c>
      <c r="D30" s="38">
        <v>0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40"/>
      <c r="M30" s="40"/>
    </row>
    <row r="31" spans="1:13">
      <c r="A31" s="39" t="s">
        <v>334</v>
      </c>
      <c r="B31" s="38">
        <v>10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40"/>
      <c r="M31" s="40"/>
    </row>
    <row r="32" spans="1:13">
      <c r="A32" s="39" t="s">
        <v>307</v>
      </c>
      <c r="B32" s="38">
        <v>0</v>
      </c>
      <c r="C32" s="38">
        <v>0</v>
      </c>
      <c r="D32" s="38">
        <v>0</v>
      </c>
      <c r="E32" s="38">
        <v>10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40"/>
      <c r="M32" s="40"/>
    </row>
    <row r="33" spans="1:13">
      <c r="A33" s="39" t="s">
        <v>376</v>
      </c>
      <c r="B33" s="38">
        <v>0</v>
      </c>
      <c r="C33" s="38">
        <v>0</v>
      </c>
      <c r="D33" s="38">
        <v>0</v>
      </c>
      <c r="E33" s="38">
        <v>10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40"/>
      <c r="M33" s="40"/>
    </row>
    <row r="34" spans="1:13">
      <c r="A34" s="39" t="s">
        <v>330</v>
      </c>
      <c r="B34" s="38">
        <v>0</v>
      </c>
      <c r="C34" s="38">
        <v>0</v>
      </c>
      <c r="D34" s="38">
        <v>0</v>
      </c>
      <c r="E34" s="38">
        <v>10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40"/>
      <c r="M34" s="40"/>
    </row>
    <row r="35" spans="1:13">
      <c r="A35" s="39" t="s">
        <v>191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12</v>
      </c>
      <c r="K35" s="38">
        <v>0</v>
      </c>
      <c r="L35" s="40">
        <v>6</v>
      </c>
      <c r="M35" s="40">
        <v>12</v>
      </c>
    </row>
    <row r="36" spans="1:13">
      <c r="A36" s="39" t="s">
        <v>135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10</v>
      </c>
      <c r="K36" s="38">
        <v>0</v>
      </c>
      <c r="L36" s="40"/>
      <c r="M36" s="40"/>
    </row>
    <row r="37" spans="1:13">
      <c r="A37" s="39" t="s">
        <v>347</v>
      </c>
      <c r="B37" s="38">
        <v>0</v>
      </c>
      <c r="C37" s="38">
        <v>14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40"/>
      <c r="M37" s="40"/>
    </row>
    <row r="38" spans="1:13">
      <c r="A38" s="41" t="s">
        <v>169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9</v>
      </c>
      <c r="M38" s="40"/>
    </row>
    <row r="39" spans="1:13">
      <c r="A39" s="41" t="s">
        <v>335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>
        <v>9</v>
      </c>
    </row>
    <row r="40" spans="1:13">
      <c r="A40" s="41" t="s">
        <v>210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>
        <v>5</v>
      </c>
      <c r="M40" s="40">
        <v>12</v>
      </c>
    </row>
    <row r="41" spans="1:13">
      <c r="A41" s="41" t="s">
        <v>303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>
        <v>8</v>
      </c>
      <c r="M41" s="40"/>
    </row>
    <row r="42" spans="1:13">
      <c r="A42" s="41" t="s">
        <v>26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>
        <v>8</v>
      </c>
      <c r="M42" s="40">
        <v>10</v>
      </c>
    </row>
    <row r="43" spans="1:13">
      <c r="A43" s="41" t="s">
        <v>117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>
        <v>10</v>
      </c>
    </row>
    <row r="44" spans="1:13">
      <c r="A44" s="41" t="s">
        <v>135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>
        <v>10</v>
      </c>
    </row>
    <row r="45" spans="1:13">
      <c r="A45" s="41" t="s">
        <v>333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>
        <v>10</v>
      </c>
    </row>
    <row r="46" spans="1:13">
      <c r="A46" s="41" t="s">
        <v>193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>
        <v>6</v>
      </c>
      <c r="M46" s="40"/>
    </row>
    <row r="47" spans="1:13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1:13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2:13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2:13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</row>
    <row r="51" spans="2:13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3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2.42578125" customWidth="1"/>
    <col min="2" max="2" width="15.42578125" customWidth="1"/>
  </cols>
  <sheetData>
    <row r="1" spans="1:28">
      <c r="A1" s="66" t="s">
        <v>103</v>
      </c>
      <c r="B1" s="50" t="s">
        <v>653</v>
      </c>
      <c r="C1" s="50" t="s">
        <v>654</v>
      </c>
      <c r="D1" s="50" t="s">
        <v>655</v>
      </c>
      <c r="E1" s="50" t="s">
        <v>656</v>
      </c>
      <c r="F1" s="50" t="s">
        <v>657</v>
      </c>
      <c r="G1" s="50" t="s">
        <v>658</v>
      </c>
      <c r="H1" s="50" t="s">
        <v>659</v>
      </c>
      <c r="I1" s="50" t="s">
        <v>58</v>
      </c>
      <c r="J1" s="50" t="s">
        <v>660</v>
      </c>
      <c r="K1" s="51" t="s">
        <v>661</v>
      </c>
      <c r="L1" s="51" t="s">
        <v>662</v>
      </c>
      <c r="M1" s="51" t="s">
        <v>663</v>
      </c>
      <c r="N1" s="51" t="s">
        <v>664</v>
      </c>
      <c r="O1" s="51" t="s">
        <v>665</v>
      </c>
      <c r="P1" s="51" t="s">
        <v>666</v>
      </c>
      <c r="Q1" s="51" t="s">
        <v>667</v>
      </c>
      <c r="R1" s="51" t="s">
        <v>668</v>
      </c>
      <c r="S1" s="51" t="s">
        <v>669</v>
      </c>
      <c r="T1" s="51" t="s">
        <v>670</v>
      </c>
      <c r="U1" s="51" t="s">
        <v>671</v>
      </c>
      <c r="V1" s="52"/>
      <c r="W1" s="52"/>
      <c r="X1" s="52"/>
      <c r="Y1" s="52"/>
      <c r="Z1" s="52"/>
      <c r="AA1" s="52"/>
      <c r="AB1" s="52"/>
    </row>
    <row r="2" spans="1:28">
      <c r="A2" s="59"/>
      <c r="B2" s="50" t="s">
        <v>16</v>
      </c>
      <c r="C2" s="50" t="s">
        <v>15</v>
      </c>
      <c r="D2" s="50" t="s">
        <v>16</v>
      </c>
      <c r="E2" s="50" t="s">
        <v>15</v>
      </c>
      <c r="F2" s="50" t="s">
        <v>672</v>
      </c>
      <c r="G2" s="50" t="s">
        <v>15</v>
      </c>
      <c r="H2" s="50" t="s">
        <v>15</v>
      </c>
      <c r="I2" s="50" t="s">
        <v>15</v>
      </c>
      <c r="J2" s="50" t="s">
        <v>672</v>
      </c>
      <c r="K2" s="51" t="s">
        <v>14</v>
      </c>
      <c r="L2" s="51" t="s">
        <v>672</v>
      </c>
      <c r="M2" s="51" t="s">
        <v>15</v>
      </c>
      <c r="N2" s="51" t="s">
        <v>15</v>
      </c>
      <c r="O2" s="53" t="s">
        <v>15</v>
      </c>
      <c r="P2" s="53" t="s">
        <v>15</v>
      </c>
      <c r="Q2" s="51" t="s">
        <v>15</v>
      </c>
      <c r="R2" s="51" t="s">
        <v>15</v>
      </c>
      <c r="S2" s="51" t="s">
        <v>15</v>
      </c>
      <c r="T2" s="51" t="s">
        <v>16</v>
      </c>
      <c r="U2" s="51" t="s">
        <v>15</v>
      </c>
      <c r="V2" s="52"/>
      <c r="W2" s="52"/>
      <c r="X2" s="52"/>
      <c r="Y2" s="52"/>
      <c r="Z2" s="52"/>
      <c r="AA2" s="52"/>
      <c r="AB2" s="52"/>
    </row>
    <row r="3" spans="1:28">
      <c r="A3" s="41" t="s">
        <v>28</v>
      </c>
      <c r="B3" s="41">
        <v>45</v>
      </c>
      <c r="C3" s="41">
        <v>96</v>
      </c>
      <c r="D3" s="41">
        <v>30</v>
      </c>
      <c r="E3" s="41">
        <v>100</v>
      </c>
      <c r="F3" s="41">
        <v>140</v>
      </c>
      <c r="G3" s="41">
        <v>72</v>
      </c>
      <c r="H3" s="41">
        <v>80</v>
      </c>
      <c r="I3" s="41">
        <v>80</v>
      </c>
      <c r="J3" s="41">
        <v>120</v>
      </c>
      <c r="L3" s="41">
        <v>200</v>
      </c>
      <c r="N3" s="41">
        <v>90</v>
      </c>
      <c r="P3" s="41">
        <v>72</v>
      </c>
      <c r="Q3" s="41">
        <v>100</v>
      </c>
      <c r="S3" s="41">
        <v>72</v>
      </c>
    </row>
    <row r="4" spans="1:28">
      <c r="A4" s="41" t="s">
        <v>30</v>
      </c>
      <c r="C4" s="41">
        <v>72</v>
      </c>
      <c r="D4" s="41">
        <v>25</v>
      </c>
      <c r="F4" s="41">
        <v>100</v>
      </c>
      <c r="G4" s="41">
        <v>48</v>
      </c>
      <c r="H4" s="41">
        <v>90</v>
      </c>
      <c r="I4" s="41">
        <v>60</v>
      </c>
      <c r="K4" s="41">
        <v>75</v>
      </c>
      <c r="M4" s="41">
        <v>50</v>
      </c>
      <c r="R4" s="41">
        <v>50</v>
      </c>
      <c r="S4" s="41">
        <v>72</v>
      </c>
    </row>
    <row r="5" spans="1:28">
      <c r="A5" s="41" t="s">
        <v>29</v>
      </c>
      <c r="D5" s="41">
        <v>30</v>
      </c>
      <c r="F5" s="41">
        <v>80</v>
      </c>
      <c r="J5" s="41">
        <v>80</v>
      </c>
      <c r="M5" s="41">
        <v>50</v>
      </c>
      <c r="Q5" s="41">
        <v>100</v>
      </c>
      <c r="R5" s="41">
        <v>50</v>
      </c>
      <c r="T5" s="41">
        <v>45</v>
      </c>
    </row>
    <row r="6" spans="1:28">
      <c r="A6" s="41" t="s">
        <v>505</v>
      </c>
    </row>
    <row r="7" spans="1:28">
      <c r="A7" s="41" t="s">
        <v>504</v>
      </c>
      <c r="Q7" s="41">
        <v>60</v>
      </c>
    </row>
    <row r="8" spans="1:28">
      <c r="A8" s="41" t="s">
        <v>519</v>
      </c>
      <c r="Q8" s="41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13"/>
  <sheetViews>
    <sheetView showGridLines="0" workbookViewId="0"/>
  </sheetViews>
  <sheetFormatPr defaultColWidth="12.5703125" defaultRowHeight="15.75" customHeight="1"/>
  <sheetData>
    <row r="1" spans="1:13">
      <c r="A1" s="56" t="s">
        <v>688</v>
      </c>
      <c r="B1" s="47" t="s">
        <v>673</v>
      </c>
      <c r="C1" s="47" t="s">
        <v>674</v>
      </c>
      <c r="D1" s="47" t="s">
        <v>675</v>
      </c>
      <c r="E1" s="47" t="s">
        <v>676</v>
      </c>
      <c r="F1" s="47" t="s">
        <v>677</v>
      </c>
      <c r="G1" s="47" t="s">
        <v>678</v>
      </c>
      <c r="H1" s="47" t="s">
        <v>679</v>
      </c>
      <c r="I1" s="47" t="s">
        <v>680</v>
      </c>
      <c r="J1" s="47" t="s">
        <v>681</v>
      </c>
      <c r="K1" s="47" t="s">
        <v>682</v>
      </c>
      <c r="L1" s="47" t="s">
        <v>689</v>
      </c>
      <c r="M1" s="47" t="s">
        <v>690</v>
      </c>
    </row>
    <row r="2" spans="1:13">
      <c r="A2" s="39" t="s">
        <v>29</v>
      </c>
      <c r="B2" s="38">
        <v>20</v>
      </c>
      <c r="C2" s="38">
        <v>20</v>
      </c>
      <c r="D2" s="38">
        <v>20</v>
      </c>
      <c r="E2" s="38">
        <v>20</v>
      </c>
      <c r="F2" s="38">
        <v>0</v>
      </c>
      <c r="G2" s="38">
        <v>0</v>
      </c>
      <c r="H2" s="38">
        <v>20</v>
      </c>
      <c r="I2" s="38">
        <v>18</v>
      </c>
      <c r="J2" s="38">
        <v>20</v>
      </c>
      <c r="K2" s="38">
        <v>20</v>
      </c>
      <c r="L2" s="41">
        <v>10</v>
      </c>
      <c r="M2" s="41">
        <v>20</v>
      </c>
    </row>
    <row r="3" spans="1:13">
      <c r="A3" s="39" t="s">
        <v>28</v>
      </c>
      <c r="B3" s="38">
        <v>20</v>
      </c>
      <c r="C3" s="38">
        <v>20</v>
      </c>
      <c r="D3" s="38">
        <v>20</v>
      </c>
      <c r="E3" s="38">
        <v>20</v>
      </c>
      <c r="F3" s="38">
        <v>0</v>
      </c>
      <c r="G3" s="38">
        <v>0</v>
      </c>
      <c r="H3" s="38">
        <v>0</v>
      </c>
      <c r="I3" s="38">
        <v>18</v>
      </c>
      <c r="J3" s="38">
        <v>20</v>
      </c>
      <c r="K3" s="38">
        <v>20</v>
      </c>
      <c r="L3" s="41">
        <v>9</v>
      </c>
      <c r="M3" s="41">
        <v>20</v>
      </c>
    </row>
    <row r="4" spans="1:13">
      <c r="A4" s="39" t="s">
        <v>505</v>
      </c>
      <c r="B4" s="38">
        <v>20</v>
      </c>
      <c r="C4" s="38">
        <v>18</v>
      </c>
      <c r="D4" s="38">
        <v>16</v>
      </c>
      <c r="E4" s="38">
        <v>16</v>
      </c>
      <c r="F4" s="38">
        <v>20</v>
      </c>
      <c r="G4" s="38">
        <v>18</v>
      </c>
      <c r="H4" s="38">
        <v>18</v>
      </c>
      <c r="I4" s="38">
        <v>0</v>
      </c>
      <c r="J4" s="38">
        <v>18</v>
      </c>
      <c r="K4" s="38">
        <v>0</v>
      </c>
      <c r="L4" s="41">
        <v>0</v>
      </c>
      <c r="M4" s="41">
        <v>12</v>
      </c>
    </row>
    <row r="5" spans="1:13">
      <c r="A5" s="39" t="s">
        <v>504</v>
      </c>
      <c r="B5" s="38">
        <v>0</v>
      </c>
      <c r="C5" s="38">
        <v>0</v>
      </c>
      <c r="D5" s="38">
        <v>0</v>
      </c>
      <c r="E5" s="38">
        <v>16</v>
      </c>
      <c r="F5" s="38">
        <v>20</v>
      </c>
      <c r="G5" s="38">
        <v>20</v>
      </c>
      <c r="H5" s="38">
        <v>20</v>
      </c>
      <c r="I5" s="38">
        <v>0</v>
      </c>
      <c r="J5" s="38">
        <v>16</v>
      </c>
      <c r="K5" s="38">
        <v>0</v>
      </c>
      <c r="L5" s="41">
        <v>9</v>
      </c>
      <c r="M5" s="41">
        <v>18</v>
      </c>
    </row>
    <row r="6" spans="1:13">
      <c r="A6" s="39" t="s">
        <v>526</v>
      </c>
      <c r="B6" s="38">
        <v>20</v>
      </c>
      <c r="C6" s="38">
        <v>18</v>
      </c>
      <c r="D6" s="38">
        <v>18</v>
      </c>
      <c r="E6" s="38">
        <v>18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41">
        <v>0</v>
      </c>
      <c r="M6" s="41">
        <v>0</v>
      </c>
    </row>
    <row r="7" spans="1:13">
      <c r="A7" s="39" t="s">
        <v>554</v>
      </c>
      <c r="B7" s="38">
        <v>18</v>
      </c>
      <c r="C7" s="38">
        <v>0</v>
      </c>
      <c r="D7" s="38">
        <v>18</v>
      </c>
      <c r="E7" s="38">
        <v>18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41">
        <v>0</v>
      </c>
      <c r="M7" s="41">
        <v>0</v>
      </c>
    </row>
    <row r="8" spans="1:13">
      <c r="A8" s="39" t="s">
        <v>576</v>
      </c>
      <c r="B8" s="38">
        <v>18</v>
      </c>
      <c r="C8" s="38">
        <v>0</v>
      </c>
      <c r="D8" s="38">
        <v>18</v>
      </c>
      <c r="E8" s="38">
        <v>0</v>
      </c>
      <c r="F8" s="38">
        <v>0</v>
      </c>
      <c r="G8" s="38">
        <v>0</v>
      </c>
      <c r="H8" s="38">
        <v>0</v>
      </c>
      <c r="I8" s="38">
        <v>20</v>
      </c>
      <c r="J8" s="38">
        <v>0</v>
      </c>
      <c r="K8" s="38">
        <v>0</v>
      </c>
      <c r="L8" s="41">
        <v>0</v>
      </c>
      <c r="M8" s="41">
        <v>0</v>
      </c>
    </row>
    <row r="9" spans="1:13">
      <c r="A9" s="39" t="s">
        <v>511</v>
      </c>
      <c r="B9" s="38">
        <v>18</v>
      </c>
      <c r="C9" s="38">
        <v>0</v>
      </c>
      <c r="D9" s="38">
        <v>0</v>
      </c>
      <c r="E9" s="38">
        <v>16</v>
      </c>
      <c r="F9" s="38">
        <v>0</v>
      </c>
      <c r="G9" s="38">
        <v>0</v>
      </c>
      <c r="H9" s="38">
        <v>16</v>
      </c>
      <c r="I9" s="38">
        <v>0</v>
      </c>
      <c r="J9" s="38">
        <v>0</v>
      </c>
      <c r="K9" s="38">
        <v>0</v>
      </c>
      <c r="L9" s="41">
        <v>0</v>
      </c>
      <c r="M9" s="41">
        <v>0</v>
      </c>
    </row>
    <row r="10" spans="1:13">
      <c r="A10" s="39" t="s">
        <v>519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20</v>
      </c>
      <c r="H10" s="38">
        <v>0</v>
      </c>
      <c r="I10" s="38">
        <v>16</v>
      </c>
      <c r="J10" s="38">
        <v>18</v>
      </c>
      <c r="K10" s="38">
        <v>0</v>
      </c>
      <c r="L10" s="41">
        <v>10</v>
      </c>
      <c r="M10" s="41">
        <v>18</v>
      </c>
    </row>
    <row r="11" spans="1:13">
      <c r="A11" s="39" t="s">
        <v>30</v>
      </c>
      <c r="B11" s="38">
        <v>0</v>
      </c>
      <c r="C11" s="38">
        <v>18</v>
      </c>
      <c r="D11" s="38">
        <v>16</v>
      </c>
      <c r="E11" s="38">
        <v>0</v>
      </c>
      <c r="F11" s="38">
        <v>0</v>
      </c>
      <c r="G11" s="38">
        <v>0</v>
      </c>
      <c r="H11" s="38">
        <v>0</v>
      </c>
      <c r="I11" s="38">
        <v>14</v>
      </c>
      <c r="J11" s="38">
        <v>0</v>
      </c>
      <c r="K11" s="38">
        <v>0</v>
      </c>
      <c r="L11" s="41">
        <v>9</v>
      </c>
      <c r="M11" s="41">
        <v>16</v>
      </c>
    </row>
    <row r="12" spans="1:13">
      <c r="A12" s="39" t="s">
        <v>570</v>
      </c>
      <c r="B12" s="38">
        <v>0</v>
      </c>
      <c r="C12" s="38">
        <v>0</v>
      </c>
      <c r="D12" s="38">
        <v>0</v>
      </c>
      <c r="E12" s="38">
        <v>16</v>
      </c>
      <c r="F12" s="38">
        <v>20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41">
        <v>0</v>
      </c>
      <c r="M12" s="41">
        <v>0</v>
      </c>
    </row>
    <row r="13" spans="1:13">
      <c r="A13" s="39" t="s">
        <v>602</v>
      </c>
      <c r="B13" s="38">
        <v>0</v>
      </c>
      <c r="C13" s="38">
        <v>0</v>
      </c>
      <c r="D13" s="38">
        <v>0</v>
      </c>
      <c r="E13" s="38">
        <v>0</v>
      </c>
      <c r="F13" s="38">
        <v>18</v>
      </c>
      <c r="G13" s="38">
        <v>0</v>
      </c>
      <c r="H13" s="38">
        <v>16</v>
      </c>
      <c r="I13" s="38">
        <v>0</v>
      </c>
      <c r="J13" s="38">
        <v>0</v>
      </c>
      <c r="K13" s="38">
        <v>18</v>
      </c>
      <c r="L13" s="41">
        <v>0</v>
      </c>
      <c r="M13" s="41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2.42578125" customWidth="1"/>
    <col min="2" max="2" width="15.42578125" customWidth="1"/>
  </cols>
  <sheetData>
    <row r="1" spans="1:28">
      <c r="A1" s="66" t="s">
        <v>103</v>
      </c>
      <c r="B1" s="50" t="s">
        <v>653</v>
      </c>
      <c r="C1" s="50" t="s">
        <v>654</v>
      </c>
      <c r="D1" s="50" t="s">
        <v>655</v>
      </c>
      <c r="E1" s="50" t="s">
        <v>656</v>
      </c>
      <c r="F1" s="50" t="s">
        <v>657</v>
      </c>
      <c r="G1" s="50" t="s">
        <v>658</v>
      </c>
      <c r="H1" s="50" t="s">
        <v>659</v>
      </c>
      <c r="I1" s="50" t="s">
        <v>58</v>
      </c>
      <c r="J1" s="50" t="s">
        <v>660</v>
      </c>
      <c r="K1" s="51" t="s">
        <v>661</v>
      </c>
      <c r="L1" s="51" t="s">
        <v>662</v>
      </c>
      <c r="M1" s="51" t="s">
        <v>663</v>
      </c>
      <c r="N1" s="51" t="s">
        <v>664</v>
      </c>
      <c r="O1" s="51" t="s">
        <v>665</v>
      </c>
      <c r="P1" s="51" t="s">
        <v>666</v>
      </c>
      <c r="Q1" s="51" t="s">
        <v>667</v>
      </c>
      <c r="R1" s="51" t="s">
        <v>668</v>
      </c>
      <c r="S1" s="51" t="s">
        <v>669</v>
      </c>
      <c r="T1" s="51" t="s">
        <v>670</v>
      </c>
      <c r="U1" s="51" t="s">
        <v>671</v>
      </c>
      <c r="V1" s="52"/>
      <c r="W1" s="52"/>
      <c r="X1" s="52"/>
      <c r="Y1" s="52"/>
      <c r="Z1" s="52"/>
      <c r="AA1" s="52"/>
      <c r="AB1" s="52"/>
    </row>
    <row r="2" spans="1:28">
      <c r="A2" s="59"/>
      <c r="B2" s="50" t="s">
        <v>16</v>
      </c>
      <c r="C2" s="50" t="s">
        <v>15</v>
      </c>
      <c r="D2" s="50" t="s">
        <v>16</v>
      </c>
      <c r="E2" s="50" t="s">
        <v>15</v>
      </c>
      <c r="F2" s="50" t="s">
        <v>672</v>
      </c>
      <c r="G2" s="50" t="s">
        <v>15</v>
      </c>
      <c r="H2" s="50" t="s">
        <v>15</v>
      </c>
      <c r="I2" s="50" t="s">
        <v>15</v>
      </c>
      <c r="J2" s="50" t="s">
        <v>672</v>
      </c>
      <c r="K2" s="51" t="s">
        <v>14</v>
      </c>
      <c r="L2" s="51" t="s">
        <v>672</v>
      </c>
      <c r="M2" s="51" t="s">
        <v>15</v>
      </c>
      <c r="N2" s="51" t="s">
        <v>15</v>
      </c>
      <c r="O2" s="53" t="s">
        <v>15</v>
      </c>
      <c r="P2" s="53" t="s">
        <v>15</v>
      </c>
      <c r="Q2" s="51" t="s">
        <v>15</v>
      </c>
      <c r="R2" s="51" t="s">
        <v>15</v>
      </c>
      <c r="S2" s="51" t="s">
        <v>15</v>
      </c>
      <c r="T2" s="51" t="s">
        <v>16</v>
      </c>
      <c r="U2" s="51" t="s">
        <v>15</v>
      </c>
      <c r="V2" s="52"/>
      <c r="W2" s="52"/>
      <c r="X2" s="52"/>
      <c r="Y2" s="52"/>
      <c r="Z2" s="52"/>
      <c r="AA2" s="52"/>
      <c r="AB2" s="52"/>
    </row>
    <row r="3" spans="1:28">
      <c r="A3" s="41" t="s">
        <v>22</v>
      </c>
      <c r="F3" s="41">
        <v>20</v>
      </c>
      <c r="I3" s="41">
        <v>40</v>
      </c>
      <c r="O3" s="41">
        <v>24</v>
      </c>
      <c r="Q3" s="41">
        <v>30</v>
      </c>
      <c r="T3" s="41">
        <v>12</v>
      </c>
      <c r="U3" s="41">
        <v>36</v>
      </c>
    </row>
    <row r="4" spans="1:28">
      <c r="A4" s="41" t="s">
        <v>489</v>
      </c>
      <c r="D4" s="41">
        <v>20</v>
      </c>
      <c r="I4" s="41">
        <v>30</v>
      </c>
    </row>
    <row r="5" spans="1:28">
      <c r="A5" s="41" t="s">
        <v>23</v>
      </c>
      <c r="Q5" s="41">
        <v>30</v>
      </c>
    </row>
    <row r="6" spans="1:28">
      <c r="A6" s="41" t="s">
        <v>108</v>
      </c>
      <c r="F6" s="41">
        <v>12</v>
      </c>
      <c r="M6" s="41">
        <v>30</v>
      </c>
      <c r="O6" s="41">
        <v>12</v>
      </c>
      <c r="Q6" s="41">
        <v>30</v>
      </c>
    </row>
    <row r="7" spans="1:28">
      <c r="A7" s="41" t="s">
        <v>168</v>
      </c>
      <c r="Q7" s="41">
        <v>30</v>
      </c>
    </row>
    <row r="8" spans="1:28">
      <c r="A8" s="41" t="s">
        <v>113</v>
      </c>
      <c r="Q8" s="41">
        <v>20</v>
      </c>
    </row>
    <row r="9" spans="1:28">
      <c r="A9" s="41" t="s">
        <v>24</v>
      </c>
      <c r="Q9" s="41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21"/>
  <sheetViews>
    <sheetView showGridLines="0" workbookViewId="0"/>
  </sheetViews>
  <sheetFormatPr defaultColWidth="12.5703125" defaultRowHeight="15.75" customHeight="1"/>
  <cols>
    <col min="1" max="1" width="14.85546875" customWidth="1"/>
  </cols>
  <sheetData>
    <row r="1" spans="1:5">
      <c r="A1" s="68" t="s">
        <v>688</v>
      </c>
      <c r="B1" s="47" t="s">
        <v>691</v>
      </c>
      <c r="C1" s="47" t="s">
        <v>692</v>
      </c>
      <c r="D1" s="47" t="s">
        <v>693</v>
      </c>
      <c r="E1" s="47" t="s">
        <v>694</v>
      </c>
    </row>
    <row r="2" spans="1:5">
      <c r="A2" s="59"/>
      <c r="B2" s="57">
        <v>44713</v>
      </c>
      <c r="C2" s="57">
        <v>44835</v>
      </c>
      <c r="D2" s="57">
        <v>44866</v>
      </c>
      <c r="E2" s="57">
        <v>44866</v>
      </c>
    </row>
    <row r="3" spans="1:5">
      <c r="A3" s="59"/>
      <c r="B3" s="44" t="s">
        <v>652</v>
      </c>
      <c r="C3" s="44" t="s">
        <v>652</v>
      </c>
      <c r="D3" s="44" t="s">
        <v>652</v>
      </c>
      <c r="E3" s="44" t="s">
        <v>652</v>
      </c>
    </row>
    <row r="4" spans="1:5">
      <c r="A4" s="39" t="s">
        <v>22</v>
      </c>
      <c r="B4" s="38">
        <v>20</v>
      </c>
      <c r="C4" s="38">
        <v>20</v>
      </c>
      <c r="D4" s="38">
        <v>20</v>
      </c>
      <c r="E4" s="38">
        <v>0</v>
      </c>
    </row>
    <row r="5" spans="1:5">
      <c r="A5" s="39" t="s">
        <v>168</v>
      </c>
      <c r="B5" s="38">
        <v>14</v>
      </c>
      <c r="C5" s="38">
        <v>18</v>
      </c>
      <c r="D5" s="38">
        <v>18</v>
      </c>
      <c r="E5" s="38">
        <v>20</v>
      </c>
    </row>
    <row r="6" spans="1:5">
      <c r="A6" s="39" t="s">
        <v>111</v>
      </c>
      <c r="B6" s="38">
        <v>16</v>
      </c>
      <c r="C6" s="38">
        <v>16</v>
      </c>
      <c r="D6" s="38">
        <v>12</v>
      </c>
      <c r="E6" s="38">
        <v>12</v>
      </c>
    </row>
    <row r="7" spans="1:5">
      <c r="A7" s="39" t="s">
        <v>23</v>
      </c>
      <c r="B7" s="38">
        <v>12</v>
      </c>
      <c r="C7" s="38">
        <v>12</v>
      </c>
      <c r="D7" s="38">
        <v>0</v>
      </c>
      <c r="E7" s="38">
        <v>18</v>
      </c>
    </row>
    <row r="8" spans="1:5">
      <c r="A8" s="39" t="s">
        <v>108</v>
      </c>
      <c r="B8" s="38">
        <v>12</v>
      </c>
      <c r="C8" s="38">
        <v>10</v>
      </c>
      <c r="D8" s="38">
        <v>12</v>
      </c>
      <c r="E8" s="38">
        <v>0</v>
      </c>
    </row>
    <row r="9" spans="1:5">
      <c r="A9" s="39" t="s">
        <v>297</v>
      </c>
      <c r="B9" s="38">
        <v>0</v>
      </c>
      <c r="C9" s="38">
        <v>10</v>
      </c>
      <c r="D9" s="38">
        <v>12</v>
      </c>
      <c r="E9" s="38">
        <v>12</v>
      </c>
    </row>
    <row r="10" spans="1:5">
      <c r="A10" s="39" t="s">
        <v>298</v>
      </c>
      <c r="B10" s="38">
        <v>18</v>
      </c>
      <c r="C10" s="38">
        <v>12</v>
      </c>
      <c r="D10" s="38">
        <v>0</v>
      </c>
      <c r="E10" s="38">
        <v>0</v>
      </c>
    </row>
    <row r="11" spans="1:5">
      <c r="A11" s="39" t="s">
        <v>24</v>
      </c>
      <c r="B11" s="38">
        <v>10</v>
      </c>
      <c r="C11" s="38">
        <v>10</v>
      </c>
      <c r="D11" s="38">
        <v>10</v>
      </c>
      <c r="E11" s="38">
        <v>10</v>
      </c>
    </row>
    <row r="12" spans="1:5">
      <c r="A12" s="39" t="s">
        <v>124</v>
      </c>
      <c r="B12" s="38">
        <v>10</v>
      </c>
      <c r="C12" s="38">
        <v>10</v>
      </c>
      <c r="D12" s="38">
        <v>10</v>
      </c>
      <c r="E12" s="38">
        <v>0</v>
      </c>
    </row>
    <row r="13" spans="1:5">
      <c r="A13" s="39" t="s">
        <v>113</v>
      </c>
      <c r="B13" s="38">
        <v>0</v>
      </c>
      <c r="C13" s="38">
        <v>10</v>
      </c>
      <c r="D13" s="38">
        <v>10</v>
      </c>
      <c r="E13" s="38">
        <v>10</v>
      </c>
    </row>
    <row r="14" spans="1:5">
      <c r="A14" s="39" t="s">
        <v>121</v>
      </c>
      <c r="B14" s="38">
        <v>0</v>
      </c>
      <c r="C14" s="38">
        <v>14</v>
      </c>
      <c r="D14" s="38">
        <v>14</v>
      </c>
      <c r="E14" s="38">
        <v>0</v>
      </c>
    </row>
    <row r="15" spans="1:5">
      <c r="A15" s="39" t="s">
        <v>137</v>
      </c>
      <c r="B15" s="38">
        <v>12</v>
      </c>
      <c r="C15" s="38">
        <v>0</v>
      </c>
      <c r="D15" s="38">
        <v>0</v>
      </c>
      <c r="E15" s="38">
        <v>16</v>
      </c>
    </row>
    <row r="16" spans="1:5">
      <c r="A16" s="39" t="s">
        <v>326</v>
      </c>
      <c r="B16" s="38">
        <v>0</v>
      </c>
      <c r="C16" s="38">
        <v>0</v>
      </c>
      <c r="D16" s="38">
        <v>12</v>
      </c>
      <c r="E16" s="38">
        <v>12</v>
      </c>
    </row>
    <row r="17" spans="1:5">
      <c r="A17" s="39" t="s">
        <v>192</v>
      </c>
      <c r="B17" s="38">
        <v>10</v>
      </c>
      <c r="C17" s="38">
        <v>8</v>
      </c>
      <c r="D17" s="38">
        <v>0</v>
      </c>
      <c r="E17" s="38">
        <v>0</v>
      </c>
    </row>
    <row r="18" spans="1:5">
      <c r="A18" s="39" t="s">
        <v>158</v>
      </c>
      <c r="B18" s="38">
        <v>0</v>
      </c>
      <c r="C18" s="38">
        <v>0</v>
      </c>
      <c r="D18" s="38">
        <v>0</v>
      </c>
      <c r="E18" s="38">
        <v>0</v>
      </c>
    </row>
    <row r="19" spans="1:5">
      <c r="A19" s="39" t="s">
        <v>489</v>
      </c>
      <c r="B19" s="38">
        <v>12</v>
      </c>
      <c r="C19" s="38">
        <v>0</v>
      </c>
      <c r="D19" s="38">
        <v>0</v>
      </c>
      <c r="E19" s="38">
        <v>0</v>
      </c>
    </row>
    <row r="20" spans="1:5">
      <c r="A20" s="39" t="s">
        <v>374</v>
      </c>
      <c r="B20" s="38">
        <v>10</v>
      </c>
      <c r="C20" s="38">
        <v>0</v>
      </c>
      <c r="D20" s="38">
        <v>0</v>
      </c>
      <c r="E20" s="38">
        <v>0</v>
      </c>
    </row>
    <row r="21" spans="1:5">
      <c r="A21" s="39" t="s">
        <v>115</v>
      </c>
      <c r="B21" s="38">
        <v>0</v>
      </c>
      <c r="C21" s="38">
        <v>0</v>
      </c>
      <c r="D21" s="38">
        <v>0</v>
      </c>
      <c r="E21" s="38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E19"/>
  <sheetViews>
    <sheetView showGridLines="0" workbookViewId="0"/>
  </sheetViews>
  <sheetFormatPr defaultColWidth="12.5703125" defaultRowHeight="15.75" customHeight="1"/>
  <cols>
    <col min="1" max="1" width="16.85546875" customWidth="1"/>
  </cols>
  <sheetData>
    <row r="1" spans="1:5">
      <c r="A1" s="56" t="s">
        <v>688</v>
      </c>
      <c r="B1" s="47" t="s">
        <v>691</v>
      </c>
      <c r="C1" s="47" t="s">
        <v>692</v>
      </c>
      <c r="D1" s="47" t="s">
        <v>693</v>
      </c>
      <c r="E1" s="47" t="s">
        <v>694</v>
      </c>
    </row>
    <row r="2" spans="1:5">
      <c r="A2" s="39" t="s">
        <v>519</v>
      </c>
      <c r="B2" s="38">
        <v>0</v>
      </c>
      <c r="C2" s="38">
        <v>18</v>
      </c>
      <c r="D2" s="38">
        <v>18</v>
      </c>
      <c r="E2" s="38">
        <v>16</v>
      </c>
    </row>
    <row r="3" spans="1:5">
      <c r="A3" s="39" t="s">
        <v>29</v>
      </c>
      <c r="B3" s="38">
        <v>0</v>
      </c>
      <c r="C3" s="38">
        <v>0</v>
      </c>
      <c r="D3" s="38">
        <v>20</v>
      </c>
      <c r="E3" s="38">
        <v>20</v>
      </c>
    </row>
    <row r="4" spans="1:5">
      <c r="A4" s="39" t="s">
        <v>505</v>
      </c>
      <c r="B4" s="38">
        <v>20</v>
      </c>
      <c r="C4" s="38">
        <v>16</v>
      </c>
      <c r="D4" s="38">
        <v>0</v>
      </c>
      <c r="E4" s="38">
        <v>16</v>
      </c>
    </row>
    <row r="5" spans="1:5">
      <c r="A5" s="39" t="s">
        <v>554</v>
      </c>
      <c r="B5" s="38">
        <v>20</v>
      </c>
      <c r="C5" s="38">
        <v>18</v>
      </c>
      <c r="D5" s="38">
        <v>0</v>
      </c>
      <c r="E5" s="38">
        <v>0</v>
      </c>
    </row>
    <row r="6" spans="1:5">
      <c r="A6" s="39" t="s">
        <v>30</v>
      </c>
      <c r="B6" s="38">
        <v>0</v>
      </c>
      <c r="C6" s="38">
        <v>0</v>
      </c>
      <c r="D6" s="38">
        <v>18</v>
      </c>
      <c r="E6" s="38">
        <v>18</v>
      </c>
    </row>
    <row r="7" spans="1:5">
      <c r="A7" s="39" t="s">
        <v>576</v>
      </c>
      <c r="B7" s="38">
        <v>20</v>
      </c>
      <c r="C7" s="38">
        <v>0</v>
      </c>
      <c r="D7" s="38">
        <v>18</v>
      </c>
      <c r="E7" s="38">
        <v>0</v>
      </c>
    </row>
    <row r="8" spans="1:5">
      <c r="A8" s="39" t="s">
        <v>28</v>
      </c>
      <c r="B8" s="38">
        <v>0</v>
      </c>
      <c r="C8" s="38">
        <v>20</v>
      </c>
      <c r="D8" s="38">
        <v>0</v>
      </c>
      <c r="E8" s="38">
        <v>0</v>
      </c>
    </row>
    <row r="9" spans="1:5">
      <c r="A9" s="39" t="s">
        <v>602</v>
      </c>
      <c r="B9" s="38">
        <v>0</v>
      </c>
      <c r="C9" s="38">
        <v>18</v>
      </c>
      <c r="D9" s="38">
        <v>0</v>
      </c>
      <c r="E9" s="38">
        <v>0</v>
      </c>
    </row>
    <row r="10" spans="1:5">
      <c r="A10" s="39" t="s">
        <v>526</v>
      </c>
      <c r="B10" s="38">
        <v>20</v>
      </c>
      <c r="C10" s="38">
        <v>0</v>
      </c>
      <c r="D10" s="38">
        <v>0</v>
      </c>
      <c r="E10" s="38">
        <v>0</v>
      </c>
    </row>
    <row r="11" spans="1:5">
      <c r="A11" s="39" t="s">
        <v>504</v>
      </c>
      <c r="B11" s="38">
        <v>0</v>
      </c>
      <c r="C11" s="38">
        <v>0</v>
      </c>
      <c r="D11" s="38">
        <v>0</v>
      </c>
      <c r="E11" s="38">
        <v>16</v>
      </c>
    </row>
    <row r="12" spans="1:5">
      <c r="A12" s="39"/>
      <c r="B12" s="38"/>
      <c r="C12" s="38"/>
      <c r="D12" s="38"/>
      <c r="E12" s="38"/>
    </row>
    <row r="13" spans="1:5">
      <c r="A13" s="39"/>
      <c r="B13" s="38"/>
      <c r="C13" s="38"/>
      <c r="D13" s="38"/>
      <c r="E13" s="38"/>
    </row>
    <row r="14" spans="1:5">
      <c r="A14" s="39"/>
      <c r="B14" s="38"/>
      <c r="C14" s="38"/>
      <c r="D14" s="38"/>
      <c r="E14" s="38"/>
    </row>
    <row r="15" spans="1:5">
      <c r="A15" s="39"/>
      <c r="B15" s="38"/>
      <c r="C15" s="38"/>
      <c r="D15" s="38"/>
      <c r="E15" s="38"/>
    </row>
    <row r="16" spans="1:5">
      <c r="A16" s="39"/>
      <c r="B16" s="38"/>
      <c r="C16" s="38"/>
      <c r="D16" s="38"/>
      <c r="E16" s="38"/>
    </row>
    <row r="17" spans="1:5">
      <c r="A17" s="39"/>
      <c r="B17" s="38"/>
      <c r="C17" s="38"/>
      <c r="D17" s="38"/>
      <c r="E17" s="38"/>
    </row>
    <row r="18" spans="1:5">
      <c r="A18" s="39"/>
      <c r="B18" s="38"/>
      <c r="C18" s="38"/>
      <c r="D18" s="38"/>
      <c r="E18" s="38"/>
    </row>
    <row r="19" spans="1:5">
      <c r="A19" s="39"/>
      <c r="B19" s="38"/>
      <c r="C19" s="38"/>
      <c r="D19" s="38"/>
      <c r="E19" s="38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2.42578125" customWidth="1"/>
    <col min="2" max="2" width="15.42578125" customWidth="1"/>
  </cols>
  <sheetData>
    <row r="1" spans="1:27">
      <c r="A1" s="66" t="s">
        <v>103</v>
      </c>
      <c r="B1" s="50" t="s">
        <v>653</v>
      </c>
      <c r="C1" s="50" t="s">
        <v>654</v>
      </c>
      <c r="D1" s="50" t="s">
        <v>655</v>
      </c>
      <c r="E1" s="50" t="s">
        <v>656</v>
      </c>
      <c r="F1" s="50" t="s">
        <v>657</v>
      </c>
      <c r="G1" s="50" t="s">
        <v>658</v>
      </c>
      <c r="H1" s="50" t="s">
        <v>659</v>
      </c>
      <c r="I1" s="50" t="s">
        <v>58</v>
      </c>
      <c r="J1" s="50" t="s">
        <v>660</v>
      </c>
      <c r="K1" s="51" t="s">
        <v>695</v>
      </c>
      <c r="L1" s="51" t="s">
        <v>662</v>
      </c>
      <c r="M1" s="51" t="s">
        <v>663</v>
      </c>
      <c r="N1" s="51" t="s">
        <v>664</v>
      </c>
      <c r="O1" s="51" t="s">
        <v>665</v>
      </c>
      <c r="P1" s="51" t="s">
        <v>666</v>
      </c>
      <c r="Q1" s="51" t="s">
        <v>667</v>
      </c>
      <c r="R1" s="51" t="s">
        <v>668</v>
      </c>
      <c r="S1" s="51" t="s">
        <v>669</v>
      </c>
      <c r="T1" s="51" t="s">
        <v>670</v>
      </c>
      <c r="U1" s="51" t="s">
        <v>671</v>
      </c>
      <c r="V1" s="52"/>
      <c r="W1" s="52"/>
      <c r="X1" s="52"/>
      <c r="Y1" s="52"/>
      <c r="Z1" s="52"/>
      <c r="AA1" s="52"/>
    </row>
    <row r="2" spans="1:27">
      <c r="A2" s="59"/>
      <c r="B2" s="50" t="s">
        <v>16</v>
      </c>
      <c r="C2" s="50" t="s">
        <v>15</v>
      </c>
      <c r="D2" s="50" t="s">
        <v>16</v>
      </c>
      <c r="E2" s="50" t="s">
        <v>15</v>
      </c>
      <c r="F2" s="50" t="s">
        <v>672</v>
      </c>
      <c r="G2" s="50" t="s">
        <v>15</v>
      </c>
      <c r="H2" s="50" t="s">
        <v>15</v>
      </c>
      <c r="I2" s="50" t="s">
        <v>15</v>
      </c>
      <c r="J2" s="50" t="s">
        <v>672</v>
      </c>
      <c r="K2" s="51" t="s">
        <v>14</v>
      </c>
      <c r="L2" s="51" t="s">
        <v>672</v>
      </c>
      <c r="M2" s="51" t="s">
        <v>15</v>
      </c>
      <c r="N2" s="51" t="s">
        <v>15</v>
      </c>
      <c r="O2" s="53" t="s">
        <v>15</v>
      </c>
      <c r="P2" s="53" t="s">
        <v>15</v>
      </c>
      <c r="Q2" s="51" t="s">
        <v>15</v>
      </c>
      <c r="R2" s="51" t="s">
        <v>15</v>
      </c>
      <c r="S2" s="51" t="s">
        <v>15</v>
      </c>
      <c r="T2" s="51" t="s">
        <v>16</v>
      </c>
      <c r="U2" s="51" t="s">
        <v>15</v>
      </c>
      <c r="V2" s="52"/>
      <c r="W2" s="52"/>
      <c r="X2" s="52"/>
      <c r="Y2" s="52"/>
      <c r="Z2" s="52"/>
      <c r="AA2" s="52"/>
    </row>
    <row r="3" spans="1:27">
      <c r="A3" s="41" t="s">
        <v>28</v>
      </c>
      <c r="B3" s="41">
        <v>50</v>
      </c>
      <c r="C3" s="41">
        <v>60</v>
      </c>
      <c r="D3" s="41">
        <v>45</v>
      </c>
      <c r="E3" s="41">
        <v>90</v>
      </c>
      <c r="F3" s="41">
        <v>100</v>
      </c>
      <c r="G3" s="41">
        <v>96</v>
      </c>
      <c r="H3" s="41">
        <v>100</v>
      </c>
      <c r="I3" s="41">
        <v>100</v>
      </c>
      <c r="J3" s="41">
        <v>200</v>
      </c>
      <c r="L3" s="41">
        <v>120</v>
      </c>
      <c r="M3" s="41"/>
      <c r="N3" s="41">
        <v>72</v>
      </c>
      <c r="Q3" s="41">
        <v>50</v>
      </c>
      <c r="S3" s="41">
        <v>60</v>
      </c>
    </row>
    <row r="4" spans="1:27">
      <c r="A4" s="41" t="s">
        <v>30</v>
      </c>
      <c r="C4" s="41">
        <v>50</v>
      </c>
      <c r="D4" s="41">
        <v>25</v>
      </c>
      <c r="F4" s="41">
        <v>60</v>
      </c>
      <c r="G4" s="41">
        <v>36</v>
      </c>
      <c r="H4" s="41">
        <v>60</v>
      </c>
      <c r="I4" s="41">
        <v>40</v>
      </c>
      <c r="K4" s="41">
        <v>60</v>
      </c>
      <c r="M4" s="41">
        <v>40</v>
      </c>
      <c r="Q4" s="41">
        <v>40</v>
      </c>
      <c r="S4" s="41">
        <v>48</v>
      </c>
    </row>
    <row r="5" spans="1:27">
      <c r="A5" s="41" t="s">
        <v>29</v>
      </c>
      <c r="D5" s="41">
        <v>25</v>
      </c>
      <c r="F5" s="41">
        <v>60</v>
      </c>
      <c r="I5" s="41">
        <v>40</v>
      </c>
      <c r="J5" s="41">
        <v>80</v>
      </c>
      <c r="M5" s="41">
        <v>50</v>
      </c>
      <c r="Q5" s="41">
        <v>60</v>
      </c>
      <c r="T5" s="41">
        <v>25</v>
      </c>
    </row>
    <row r="6" spans="1:27">
      <c r="A6" s="41" t="s">
        <v>505</v>
      </c>
      <c r="Q6" s="41">
        <v>40</v>
      </c>
    </row>
    <row r="7" spans="1:27">
      <c r="A7" s="41" t="s">
        <v>504</v>
      </c>
      <c r="Q7" s="41">
        <v>40</v>
      </c>
    </row>
    <row r="8" spans="1:27">
      <c r="A8" s="41" t="s">
        <v>519</v>
      </c>
      <c r="Q8" s="41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24"/>
  <sheetViews>
    <sheetView showGridLines="0" workbookViewId="0"/>
  </sheetViews>
  <sheetFormatPr defaultColWidth="12.5703125" defaultRowHeight="15.75" customHeight="1"/>
  <cols>
    <col min="1" max="1" width="18.7109375" customWidth="1"/>
  </cols>
  <sheetData>
    <row r="1" spans="1:4">
      <c r="A1" s="47" t="s">
        <v>688</v>
      </c>
      <c r="B1" s="47" t="s">
        <v>675</v>
      </c>
      <c r="C1" s="47" t="s">
        <v>692</v>
      </c>
      <c r="D1" s="47" t="s">
        <v>680</v>
      </c>
    </row>
    <row r="2" spans="1:4">
      <c r="A2" s="39" t="s">
        <v>23</v>
      </c>
      <c r="B2" s="38">
        <v>20</v>
      </c>
      <c r="C2" s="38">
        <v>18</v>
      </c>
      <c r="D2" s="38">
        <v>18</v>
      </c>
    </row>
    <row r="3" spans="1:4">
      <c r="A3" s="39" t="s">
        <v>28</v>
      </c>
      <c r="B3" s="38">
        <v>20</v>
      </c>
      <c r="C3" s="38">
        <v>18</v>
      </c>
      <c r="D3" s="38">
        <v>18</v>
      </c>
    </row>
    <row r="4" spans="1:4">
      <c r="A4" s="39" t="s">
        <v>22</v>
      </c>
      <c r="B4" s="38">
        <v>18</v>
      </c>
      <c r="C4" s="38">
        <v>16</v>
      </c>
      <c r="D4" s="38">
        <v>20</v>
      </c>
    </row>
    <row r="5" spans="1:4">
      <c r="A5" s="39" t="s">
        <v>29</v>
      </c>
      <c r="B5" s="38">
        <v>16</v>
      </c>
      <c r="C5" s="38">
        <v>20</v>
      </c>
      <c r="D5" s="38">
        <v>16</v>
      </c>
    </row>
    <row r="6" spans="1:4">
      <c r="A6" s="39" t="s">
        <v>576</v>
      </c>
      <c r="B6" s="38">
        <v>18</v>
      </c>
      <c r="C6" s="38">
        <v>0</v>
      </c>
      <c r="D6" s="38">
        <v>20</v>
      </c>
    </row>
    <row r="7" spans="1:4">
      <c r="A7" s="39" t="s">
        <v>108</v>
      </c>
      <c r="B7" s="38">
        <v>12</v>
      </c>
      <c r="C7" s="38">
        <v>12</v>
      </c>
      <c r="D7" s="38">
        <v>12</v>
      </c>
    </row>
    <row r="8" spans="1:4">
      <c r="A8" s="39" t="s">
        <v>121</v>
      </c>
      <c r="B8" s="38">
        <v>0</v>
      </c>
      <c r="C8" s="38">
        <v>0</v>
      </c>
      <c r="D8" s="38">
        <v>16</v>
      </c>
    </row>
    <row r="9" spans="1:4">
      <c r="A9" s="39" t="s">
        <v>298</v>
      </c>
      <c r="B9" s="38">
        <v>14</v>
      </c>
      <c r="C9" s="38">
        <v>14</v>
      </c>
      <c r="D9" s="38">
        <v>0</v>
      </c>
    </row>
    <row r="10" spans="1:4">
      <c r="A10" s="39" t="s">
        <v>554</v>
      </c>
      <c r="B10" s="38">
        <v>14</v>
      </c>
      <c r="C10" s="38">
        <v>14</v>
      </c>
      <c r="D10" s="38">
        <v>0</v>
      </c>
    </row>
    <row r="11" spans="1:4">
      <c r="A11" s="39" t="s">
        <v>113</v>
      </c>
      <c r="B11" s="38">
        <v>16</v>
      </c>
      <c r="C11" s="38">
        <v>0</v>
      </c>
      <c r="D11" s="38">
        <v>12</v>
      </c>
    </row>
    <row r="12" spans="1:4">
      <c r="A12" s="39" t="s">
        <v>168</v>
      </c>
      <c r="B12" s="38">
        <v>0</v>
      </c>
      <c r="C12" s="38">
        <v>12</v>
      </c>
      <c r="D12" s="38">
        <v>14</v>
      </c>
    </row>
    <row r="13" spans="1:4">
      <c r="A13" s="39" t="s">
        <v>519</v>
      </c>
      <c r="B13" s="38">
        <v>0</v>
      </c>
      <c r="C13" s="38">
        <v>12</v>
      </c>
      <c r="D13" s="38">
        <v>14</v>
      </c>
    </row>
    <row r="14" spans="1:4">
      <c r="A14" s="39" t="s">
        <v>505</v>
      </c>
      <c r="B14" s="38">
        <v>12</v>
      </c>
      <c r="C14" s="38">
        <v>12</v>
      </c>
      <c r="D14" s="38">
        <v>0</v>
      </c>
    </row>
    <row r="15" spans="1:4">
      <c r="A15" s="39" t="s">
        <v>30</v>
      </c>
      <c r="B15" s="38">
        <v>12</v>
      </c>
      <c r="C15" s="38">
        <v>0</v>
      </c>
      <c r="D15" s="38">
        <v>12</v>
      </c>
    </row>
    <row r="16" spans="1:4">
      <c r="A16" s="39" t="s">
        <v>518</v>
      </c>
      <c r="B16" s="38">
        <v>0</v>
      </c>
      <c r="C16" s="38">
        <v>16</v>
      </c>
      <c r="D16" s="38">
        <v>0</v>
      </c>
    </row>
    <row r="17" spans="1:4">
      <c r="A17" s="39" t="s">
        <v>111</v>
      </c>
      <c r="B17" s="38">
        <v>12</v>
      </c>
      <c r="C17" s="38">
        <v>0</v>
      </c>
      <c r="D17" s="38">
        <v>0</v>
      </c>
    </row>
    <row r="18" spans="1:4">
      <c r="A18" s="39" t="s">
        <v>526</v>
      </c>
      <c r="B18" s="38">
        <v>12</v>
      </c>
      <c r="C18" s="38">
        <v>0</v>
      </c>
      <c r="D18" s="38">
        <v>0</v>
      </c>
    </row>
    <row r="19" spans="1:4">
      <c r="A19" s="39" t="s">
        <v>126</v>
      </c>
      <c r="B19" s="38">
        <v>12</v>
      </c>
      <c r="C19" s="38">
        <v>0</v>
      </c>
      <c r="D19" s="38">
        <v>0</v>
      </c>
    </row>
    <row r="20" spans="1:4">
      <c r="A20" s="39" t="s">
        <v>511</v>
      </c>
      <c r="B20" s="38">
        <v>12</v>
      </c>
      <c r="C20" s="38">
        <v>0</v>
      </c>
      <c r="D20" s="38">
        <v>0</v>
      </c>
    </row>
    <row r="21" spans="1:4">
      <c r="A21" s="39" t="s">
        <v>24</v>
      </c>
      <c r="B21" s="38">
        <v>12</v>
      </c>
      <c r="C21" s="38">
        <v>0</v>
      </c>
      <c r="D21" s="38">
        <v>0</v>
      </c>
    </row>
    <row r="22" spans="1:4">
      <c r="A22" s="39" t="s">
        <v>192</v>
      </c>
      <c r="B22" s="38">
        <v>0</v>
      </c>
      <c r="C22" s="38">
        <v>12</v>
      </c>
      <c r="D22" s="38">
        <v>0</v>
      </c>
    </row>
    <row r="23" spans="1:4">
      <c r="A23" s="39" t="s">
        <v>602</v>
      </c>
      <c r="B23" s="38">
        <v>0</v>
      </c>
      <c r="C23" s="38">
        <v>12</v>
      </c>
      <c r="D23" s="38">
        <v>0</v>
      </c>
    </row>
    <row r="24" spans="1:4">
      <c r="A24" s="39" t="s">
        <v>504</v>
      </c>
      <c r="B24" s="38">
        <v>0</v>
      </c>
      <c r="C24" s="38">
        <v>0</v>
      </c>
      <c r="D24" s="38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2.42578125" customWidth="1"/>
    <col min="2" max="2" width="15.42578125" customWidth="1"/>
  </cols>
  <sheetData>
    <row r="1" spans="1:28">
      <c r="A1" s="66" t="s">
        <v>103</v>
      </c>
      <c r="B1" s="50" t="s">
        <v>653</v>
      </c>
      <c r="C1" s="50" t="s">
        <v>654</v>
      </c>
      <c r="D1" s="50" t="s">
        <v>655</v>
      </c>
      <c r="E1" s="50" t="s">
        <v>656</v>
      </c>
      <c r="F1" s="50" t="s">
        <v>657</v>
      </c>
      <c r="G1" s="50" t="s">
        <v>658</v>
      </c>
      <c r="H1" s="50" t="s">
        <v>659</v>
      </c>
      <c r="I1" s="50" t="s">
        <v>58</v>
      </c>
      <c r="J1" s="50" t="s">
        <v>660</v>
      </c>
      <c r="K1" s="51" t="s">
        <v>661</v>
      </c>
      <c r="L1" s="51" t="s">
        <v>662</v>
      </c>
      <c r="M1" s="51" t="s">
        <v>663</v>
      </c>
      <c r="N1" s="51" t="s">
        <v>664</v>
      </c>
      <c r="O1" s="51" t="s">
        <v>665</v>
      </c>
      <c r="P1" s="51" t="s">
        <v>666</v>
      </c>
      <c r="Q1" s="51" t="s">
        <v>667</v>
      </c>
      <c r="R1" s="51" t="s">
        <v>668</v>
      </c>
      <c r="S1" s="51" t="s">
        <v>669</v>
      </c>
      <c r="T1" s="51" t="s">
        <v>670</v>
      </c>
      <c r="U1" s="51" t="s">
        <v>671</v>
      </c>
      <c r="V1" s="52"/>
      <c r="W1" s="52"/>
      <c r="X1" s="52"/>
      <c r="Y1" s="52"/>
      <c r="Z1" s="52"/>
      <c r="AA1" s="52"/>
      <c r="AB1" s="52"/>
    </row>
    <row r="2" spans="1:28">
      <c r="A2" s="59"/>
      <c r="B2" s="50" t="s">
        <v>16</v>
      </c>
      <c r="C2" s="50" t="s">
        <v>15</v>
      </c>
      <c r="D2" s="50" t="s">
        <v>16</v>
      </c>
      <c r="E2" s="50" t="s">
        <v>15</v>
      </c>
      <c r="F2" s="50" t="s">
        <v>672</v>
      </c>
      <c r="G2" s="50" t="s">
        <v>15</v>
      </c>
      <c r="H2" s="50" t="s">
        <v>15</v>
      </c>
      <c r="I2" s="50" t="s">
        <v>15</v>
      </c>
      <c r="J2" s="50" t="s">
        <v>672</v>
      </c>
      <c r="K2" s="51" t="s">
        <v>14</v>
      </c>
      <c r="L2" s="51" t="s">
        <v>672</v>
      </c>
      <c r="M2" s="51" t="s">
        <v>15</v>
      </c>
      <c r="N2" s="51" t="s">
        <v>15</v>
      </c>
      <c r="O2" s="53" t="s">
        <v>15</v>
      </c>
      <c r="P2" s="53" t="s">
        <v>15</v>
      </c>
      <c r="Q2" s="51" t="s">
        <v>15</v>
      </c>
      <c r="R2" s="51" t="s">
        <v>15</v>
      </c>
      <c r="S2" s="51" t="s">
        <v>15</v>
      </c>
      <c r="T2" s="51" t="s">
        <v>16</v>
      </c>
      <c r="U2" s="51" t="s">
        <v>15</v>
      </c>
      <c r="V2" s="52"/>
      <c r="W2" s="52"/>
      <c r="X2" s="52"/>
      <c r="Y2" s="52"/>
      <c r="Z2" s="52"/>
      <c r="AA2" s="52"/>
      <c r="AB2" s="52"/>
    </row>
    <row r="3" spans="1:28">
      <c r="A3" s="41" t="s">
        <v>28</v>
      </c>
      <c r="B3" s="41">
        <v>50</v>
      </c>
      <c r="C3" s="41">
        <v>50</v>
      </c>
      <c r="D3" s="41">
        <v>35</v>
      </c>
      <c r="E3" s="41">
        <v>50</v>
      </c>
      <c r="F3" s="41">
        <v>60</v>
      </c>
      <c r="H3" s="41">
        <v>100</v>
      </c>
      <c r="I3" s="41">
        <v>90</v>
      </c>
      <c r="J3" s="41">
        <v>80</v>
      </c>
      <c r="L3" s="41">
        <v>60</v>
      </c>
      <c r="O3" s="41"/>
      <c r="P3" s="41">
        <v>96</v>
      </c>
      <c r="Q3" s="41">
        <v>80</v>
      </c>
      <c r="S3" s="41">
        <v>50</v>
      </c>
    </row>
    <row r="4" spans="1:28">
      <c r="A4" s="41" t="s">
        <v>30</v>
      </c>
      <c r="C4" s="41">
        <v>50</v>
      </c>
      <c r="D4" s="41">
        <v>30</v>
      </c>
      <c r="F4" s="41">
        <v>60</v>
      </c>
      <c r="H4" s="41">
        <v>60</v>
      </c>
      <c r="I4" s="41">
        <v>60</v>
      </c>
      <c r="K4" s="41">
        <v>45</v>
      </c>
      <c r="M4" s="41">
        <v>50</v>
      </c>
      <c r="Q4" s="41">
        <v>100</v>
      </c>
      <c r="S4" s="41">
        <v>40</v>
      </c>
    </row>
    <row r="5" spans="1:28">
      <c r="A5" s="41" t="s">
        <v>29</v>
      </c>
      <c r="D5" s="41">
        <v>25</v>
      </c>
      <c r="F5" s="41">
        <v>60</v>
      </c>
      <c r="I5" s="41">
        <v>100</v>
      </c>
      <c r="J5" s="41">
        <v>60</v>
      </c>
      <c r="M5" s="41">
        <v>60</v>
      </c>
      <c r="Q5" s="41">
        <v>40</v>
      </c>
      <c r="R5" s="41">
        <v>72</v>
      </c>
      <c r="T5" s="41">
        <v>35</v>
      </c>
    </row>
    <row r="6" spans="1:28">
      <c r="A6" s="41" t="s">
        <v>22</v>
      </c>
      <c r="F6" s="41">
        <v>60</v>
      </c>
      <c r="I6" s="41">
        <v>40</v>
      </c>
    </row>
    <row r="7" spans="1:28">
      <c r="A7" s="41" t="s">
        <v>489</v>
      </c>
      <c r="D7" s="41">
        <v>30</v>
      </c>
    </row>
    <row r="8" spans="1:28">
      <c r="A8" s="41" t="s">
        <v>23</v>
      </c>
      <c r="D8" s="41">
        <v>25</v>
      </c>
      <c r="Q8" s="41">
        <v>40</v>
      </c>
    </row>
    <row r="9" spans="1:28">
      <c r="A9" s="41" t="s">
        <v>505</v>
      </c>
      <c r="Q9" s="41">
        <v>30</v>
      </c>
    </row>
    <row r="10" spans="1:28">
      <c r="A10" s="41" t="s">
        <v>504</v>
      </c>
      <c r="Q10" s="41">
        <v>40</v>
      </c>
    </row>
    <row r="11" spans="1:28">
      <c r="A11" s="41" t="s">
        <v>519</v>
      </c>
      <c r="Q11" s="41">
        <v>40</v>
      </c>
    </row>
    <row r="12" spans="1:28">
      <c r="A12" s="41" t="s">
        <v>168</v>
      </c>
      <c r="Q12" s="41">
        <v>40</v>
      </c>
    </row>
    <row r="13" spans="1:28">
      <c r="A13" s="41" t="s">
        <v>113</v>
      </c>
      <c r="Q13" s="41">
        <v>30</v>
      </c>
    </row>
    <row r="14" spans="1:28">
      <c r="A14" s="41" t="s">
        <v>24</v>
      </c>
    </row>
    <row r="15" spans="1:28">
      <c r="A15" s="41" t="s">
        <v>108</v>
      </c>
      <c r="Q15" s="41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Points Lookup</vt:lpstr>
      <vt:lpstr>Ranking Podium</vt:lpstr>
      <vt:lpstr>Mens Doubles</vt:lpstr>
      <vt:lpstr>Mens Classic Doubles</vt:lpstr>
      <vt:lpstr>Womens Doubles</vt:lpstr>
      <vt:lpstr>Womens Classic Doubles</vt:lpstr>
      <vt:lpstr>Mens Singles</vt:lpstr>
      <vt:lpstr>Womens Singles</vt:lpstr>
      <vt:lpstr>Mixed Doubles</vt:lpstr>
      <vt:lpstr>Junior Doubles</vt:lpstr>
      <vt:lpstr>Junior Classic Doubles</vt:lpstr>
      <vt:lpstr>Junior Singles</vt:lpstr>
      <vt:lpstr>ITSF 2022 - MD</vt:lpstr>
      <vt:lpstr>MD Local Cleaned</vt:lpstr>
      <vt:lpstr>ITSF 2022 - WD</vt:lpstr>
      <vt:lpstr>WD Local Cleaned</vt:lpstr>
      <vt:lpstr>ITSF 2022 - MS</vt:lpstr>
      <vt:lpstr>MS Local Cleaned</vt:lpstr>
      <vt:lpstr>WS Local Cleaned</vt:lpstr>
      <vt:lpstr>ITSF 2022 - WS</vt:lpstr>
      <vt:lpstr>MXD Local Cleaned</vt:lpstr>
      <vt:lpstr>ITSF 2022 - MXD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Vezsenyi, Akos</cp:lastModifiedBy>
  <dcterms:created xsi:type="dcterms:W3CDTF">2025-09-15T22:02:00Z</dcterms:created>
  <dcterms:modified xsi:type="dcterms:W3CDTF">2025-09-18T12:36:05Z</dcterms:modified>
</cp:coreProperties>
</file>